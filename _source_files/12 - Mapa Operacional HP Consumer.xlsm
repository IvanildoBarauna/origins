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fileSharing userName="Pedro Carmo" reservationPassword="DE72"/>
  <workbookPr codeName="EstaPasta_de_trabalho" defaultThemeVersion="124226"/>
  <bookViews>
    <workbookView xWindow="420" yWindow="5085" windowWidth="17280" windowHeight="2550" tabRatio="637" activeTab="1"/>
  </bookViews>
  <sheets>
    <sheet name="Consolidado" sheetId="71" r:id="rId1"/>
    <sheet name="Production" sheetId="62" r:id="rId2"/>
    <sheet name="Leaders" sheetId="63" r:id="rId3"/>
    <sheet name="Staff" sheetId="64" r:id="rId4"/>
    <sheet name="Attrition" sheetId="12" r:id="rId5"/>
    <sheet name="HC" sheetId="70" state="hidden" r:id="rId6"/>
    <sheet name="Grupos CMS" sheetId="73" r:id="rId7"/>
    <sheet name="Skills" sheetId="66" r:id="rId8"/>
    <sheet name="Termed" sheetId="65" state="hidden" r:id="rId9"/>
    <sheet name="Parametros" sheetId="67" state="hidden" r:id="rId10"/>
    <sheet name="Range de Logins" sheetId="72" state="hidden" r:id="rId11"/>
  </sheets>
  <functionGroups builtInGroupCount="17"/>
  <externalReferences>
    <externalReference r:id="rId12"/>
  </externalReferences>
  <definedNames>
    <definedName name="_xlnm._FilterDatabase" localSheetId="4" hidden="1">Attrition!$D$29:$Q$32</definedName>
    <definedName name="_xlnm._FilterDatabase" localSheetId="0" hidden="1">Consolidado!$C$2:$P$2</definedName>
    <definedName name="_xlnm._FilterDatabase" localSheetId="6" hidden="1">'Grupos CMS'!$E$24:$R$24</definedName>
    <definedName name="_xlnm._FilterDatabase" localSheetId="2" hidden="1">Leaders!$D$7:$AT$18</definedName>
    <definedName name="_xlnm._FilterDatabase" localSheetId="1" hidden="1">Production!$D$7:$AV$155</definedName>
    <definedName name="_xlnm._FilterDatabase" localSheetId="10" hidden="1">'Range de Logins'!$D$6:$I$1252</definedName>
    <definedName name="_xlnm._FilterDatabase" localSheetId="3" hidden="1">Staff!$D$7:$AS$27</definedName>
    <definedName name="_xlnm._FilterDatabase" localSheetId="8" hidden="1">Termed!$D$7:$AM$7</definedName>
    <definedName name="Cells">Attrition!$D$9:$D$24</definedName>
    <definedName name="HORA_180">[1]DATA!$N$13</definedName>
    <definedName name="Z_2B3ACAE6_CC35_4FF5_BF05_BF2598712AD6_.wvu.FilterData" localSheetId="2" hidden="1">Leaders!$D$7:$AM$8</definedName>
    <definedName name="Z_2B3ACAE6_CC35_4FF5_BF05_BF2598712AD6_.wvu.FilterData" localSheetId="1" hidden="1">Production!$D$7:$AM$8</definedName>
    <definedName name="Z_2B3ACAE6_CC35_4FF5_BF05_BF2598712AD6_.wvu.FilterData" localSheetId="3" hidden="1">Staff!$D$7:$AM$8</definedName>
    <definedName name="Z_2B3ACAE6_CC35_4FF5_BF05_BF2598712AD6_.wvu.FilterData" localSheetId="8" hidden="1">Termed!$D$7:$AH$7</definedName>
    <definedName name="Z_404301AC_1776_4C75_8D0E_D23A554F27E1_.wvu.Cols" localSheetId="4" hidden="1">Attrition!$S:$XFD</definedName>
    <definedName name="Z_404301AC_1776_4C75_8D0E_D23A554F27E1_.wvu.Cols" localSheetId="2" hidden="1">Leaders!#REF!</definedName>
    <definedName name="Z_404301AC_1776_4C75_8D0E_D23A554F27E1_.wvu.Cols" localSheetId="1" hidden="1">Production!#REF!</definedName>
    <definedName name="Z_404301AC_1776_4C75_8D0E_D23A554F27E1_.wvu.Cols" localSheetId="3" hidden="1">Staff!#REF!</definedName>
    <definedName name="Z_404301AC_1776_4C75_8D0E_D23A554F27E1_.wvu.Cols" localSheetId="8" hidden="1">Termed!#REF!</definedName>
    <definedName name="Z_404301AC_1776_4C75_8D0E_D23A554F27E1_.wvu.FilterData" localSheetId="2" hidden="1">Leaders!$D$7:$AT$8</definedName>
    <definedName name="Z_404301AC_1776_4C75_8D0E_D23A554F27E1_.wvu.FilterData" localSheetId="1" hidden="1">Production!$D$7:$AR$8</definedName>
    <definedName name="Z_404301AC_1776_4C75_8D0E_D23A554F27E1_.wvu.FilterData" localSheetId="3" hidden="1">Staff!$D$7:$AW$8</definedName>
    <definedName name="Z_404301AC_1776_4C75_8D0E_D23A554F27E1_.wvu.FilterData" localSheetId="8" hidden="1">Termed!$D$7:$AM$7</definedName>
    <definedName name="Z_6F061F08_8F41_4C2B_9780_A21323D97F3B_.wvu.FilterData" localSheetId="2" hidden="1">Leaders!$D$7:$AM$8</definedName>
    <definedName name="Z_6F061F08_8F41_4C2B_9780_A21323D97F3B_.wvu.FilterData" localSheetId="1" hidden="1">Production!$D$7:$AM$8</definedName>
    <definedName name="Z_6F061F08_8F41_4C2B_9780_A21323D97F3B_.wvu.FilterData" localSheetId="3" hidden="1">Staff!$D$7:$AM$8</definedName>
    <definedName name="Z_6F061F08_8F41_4C2B_9780_A21323D97F3B_.wvu.FilterData" localSheetId="8" hidden="1">Termed!$D$7:$AH$7</definedName>
    <definedName name="Z_9E187917_B45F_47C7_A622_F631A454E833_.wvu.FilterData" localSheetId="2" hidden="1">Leaders!$D$7:$AM$8</definedName>
    <definedName name="Z_9E187917_B45F_47C7_A622_F631A454E833_.wvu.FilterData" localSheetId="1" hidden="1">Production!$D$7:$AM$8</definedName>
    <definedName name="Z_9E187917_B45F_47C7_A622_F631A454E833_.wvu.FilterData" localSheetId="3" hidden="1">Staff!$D$7:$AM$8</definedName>
    <definedName name="Z_9E187917_B45F_47C7_A622_F631A454E833_.wvu.FilterData" localSheetId="8" hidden="1">Termed!$D$7:$AH$7</definedName>
    <definedName name="Z_E69158A3_B5B3_444B_9EB6_E726BE46123C_.wvu.FilterData" localSheetId="2" hidden="1">Leaders!$D$7:$AM$8</definedName>
    <definedName name="Z_E69158A3_B5B3_444B_9EB6_E726BE46123C_.wvu.FilterData" localSheetId="1" hidden="1">Production!$D$7:$AM$8</definedName>
    <definedName name="Z_E69158A3_B5B3_444B_9EB6_E726BE46123C_.wvu.FilterData" localSheetId="3" hidden="1">Staff!$D$7:$AM$8</definedName>
    <definedName name="Z_E69158A3_B5B3_444B_9EB6_E726BE46123C_.wvu.FilterData" localSheetId="8" hidden="1">Termed!$D$7:$AH$7</definedName>
    <definedName name="Z_EEBDAD2D_BE5E_4872_AC98_12BBEC80349C_.wvu.FilterData" localSheetId="2" hidden="1">Leaders!$C$7:$AM$8</definedName>
    <definedName name="Z_EEBDAD2D_BE5E_4872_AC98_12BBEC80349C_.wvu.FilterData" localSheetId="1" hidden="1">Production!$C$7:$AM$8</definedName>
    <definedName name="Z_EEBDAD2D_BE5E_4872_AC98_12BBEC80349C_.wvu.FilterData" localSheetId="3" hidden="1">Staff!$C$7:$AM$8</definedName>
    <definedName name="Z_EEBDAD2D_BE5E_4872_AC98_12BBEC80349C_.wvu.FilterData" localSheetId="8" hidden="1">Termed!$C$7:$AH$11</definedName>
    <definedName name="Z_F485B4EB_6B87_41B0_AAB1_63A46C2BF4E3_.wvu.FilterData" localSheetId="2" hidden="1">Leaders!$D$7:$AM$8</definedName>
    <definedName name="Z_F485B4EB_6B87_41B0_AAB1_63A46C2BF4E3_.wvu.FilterData" localSheetId="1" hidden="1">Production!$D$7:$AM$8</definedName>
    <definedName name="Z_F485B4EB_6B87_41B0_AAB1_63A46C2BF4E3_.wvu.FilterData" localSheetId="3" hidden="1">Staff!$D$7:$AM$8</definedName>
    <definedName name="Z_F485B4EB_6B87_41B0_AAB1_63A46C2BF4E3_.wvu.FilterData" localSheetId="8" hidden="1">Termed!$D$7:$AH$7</definedName>
    <definedName name="Z_FAB67097_D57D_41E8_BB4D_81946D8CC462_.wvu.Cols" localSheetId="4" hidden="1">Attrition!$S:$XFD</definedName>
    <definedName name="Z_FAB67097_D57D_41E8_BB4D_81946D8CC462_.wvu.Cols" localSheetId="2" hidden="1">Leaders!#REF!</definedName>
    <definedName name="Z_FAB67097_D57D_41E8_BB4D_81946D8CC462_.wvu.Cols" localSheetId="1" hidden="1">Production!#REF!</definedName>
    <definedName name="Z_FAB67097_D57D_41E8_BB4D_81946D8CC462_.wvu.Cols" localSheetId="3" hidden="1">Staff!#REF!</definedName>
    <definedName name="Z_FAB67097_D57D_41E8_BB4D_81946D8CC462_.wvu.Cols" localSheetId="8" hidden="1">Termed!#REF!</definedName>
    <definedName name="Z_FAB67097_D57D_41E8_BB4D_81946D8CC462_.wvu.FilterData" localSheetId="2" hidden="1">Leaders!$D$7:$AM$8</definedName>
    <definedName name="Z_FAB67097_D57D_41E8_BB4D_81946D8CC462_.wvu.FilterData" localSheetId="1" hidden="1">Production!$D$7:$AM$8</definedName>
    <definedName name="Z_FAB67097_D57D_41E8_BB4D_81946D8CC462_.wvu.FilterData" localSheetId="3" hidden="1">Staff!$D$7:$AM$8</definedName>
    <definedName name="Z_FAB67097_D57D_41E8_BB4D_81946D8CC462_.wvu.FilterData" localSheetId="8" hidden="1">Termed!$D$7:$AH$7</definedName>
  </definedNames>
  <calcPr calcId="144525" calcMode="manual"/>
  <customWorkbookViews>
    <customWorkbookView name="rafael.freitas - Modo de exibição pessoal" guid="{FAB67097-D57D-41E8-BB4D-81946D8CC462}" mergeInterval="0" personalView="1" maximized="1" xWindow="1" yWindow="1" windowWidth="1436" windowHeight="679" tabRatio="805" activeSheetId="3"/>
    <customWorkbookView name="fabio.santana - Modo de exibição pessoal" guid="{404301AC-1776-4C75-8D0E-D23A554F27E1}" mergeInterval="0" personalView="1" maximized="1" xWindow="1" yWindow="1" windowWidth="1436" windowHeight="653" tabRatio="805" activeSheetId="3" showComments="commIndAndComment"/>
  </customWorkbookViews>
  <fileRecoveryPr autoRecover="0"/>
</workbook>
</file>

<file path=xl/calcChain.xml><?xml version="1.0" encoding="utf-8"?>
<calcChain xmlns="http://schemas.openxmlformats.org/spreadsheetml/2006/main">
  <c r="H31" i="12" l="1"/>
  <c r="F71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9" i="12"/>
  <c r="E31" i="12"/>
  <c r="R18" i="63"/>
  <c r="R17" i="63"/>
  <c r="R16" i="63"/>
  <c r="R15" i="63"/>
  <c r="R14" i="63"/>
  <c r="R13" i="63"/>
  <c r="R12" i="63"/>
  <c r="R11" i="63"/>
  <c r="R10" i="63"/>
  <c r="R9" i="63"/>
  <c r="T27" i="64" l="1"/>
  <c r="T26" i="64"/>
  <c r="T25" i="64"/>
  <c r="T24" i="64"/>
  <c r="T23" i="64"/>
  <c r="T22" i="64"/>
  <c r="T21" i="64"/>
  <c r="T20" i="64"/>
  <c r="T19" i="64"/>
  <c r="T18" i="64"/>
  <c r="T17" i="64"/>
  <c r="T16" i="64"/>
  <c r="T15" i="64"/>
  <c r="T14" i="64"/>
  <c r="T13" i="64"/>
  <c r="T12" i="64"/>
  <c r="T11" i="64"/>
  <c r="T10" i="64"/>
  <c r="T9" i="64"/>
  <c r="T8" i="64"/>
  <c r="T47" i="62" l="1"/>
  <c r="R47" i="62" s="1"/>
  <c r="T46" i="62"/>
  <c r="R46" i="62" s="1"/>
  <c r="T495" i="65" l="1"/>
  <c r="H1252" i="72" l="1"/>
  <c r="H1251" i="72"/>
  <c r="H1250" i="72"/>
  <c r="H1249" i="72"/>
  <c r="H1248" i="72"/>
  <c r="H1247" i="72"/>
  <c r="H1246" i="72"/>
  <c r="H1245" i="72"/>
  <c r="H1244" i="72"/>
  <c r="H1243" i="72"/>
  <c r="H1242" i="72"/>
  <c r="H1241" i="72"/>
  <c r="H1240" i="72"/>
  <c r="H1239" i="72"/>
  <c r="H1238" i="72"/>
  <c r="H1237" i="72"/>
  <c r="H1236" i="72"/>
  <c r="H1235" i="72"/>
  <c r="H1234" i="72"/>
  <c r="H1233" i="72"/>
  <c r="H1232" i="72"/>
  <c r="H1231" i="72"/>
  <c r="H1230" i="72"/>
  <c r="H1229" i="72"/>
  <c r="H1228" i="72"/>
  <c r="H1227" i="72"/>
  <c r="H1226" i="72"/>
  <c r="H1225" i="72"/>
  <c r="H1224" i="72"/>
  <c r="H1223" i="72"/>
  <c r="H1222" i="72"/>
  <c r="H1221" i="72"/>
  <c r="H1220" i="72"/>
  <c r="H1219" i="72"/>
  <c r="H1218" i="72"/>
  <c r="H1217" i="72"/>
  <c r="H1216" i="72"/>
  <c r="H1215" i="72"/>
  <c r="H1214" i="72"/>
  <c r="H1213" i="72"/>
  <c r="H1212" i="72"/>
  <c r="H1211" i="72"/>
  <c r="H1210" i="72"/>
  <c r="H1209" i="72"/>
  <c r="H1208" i="72"/>
  <c r="H1207" i="72"/>
  <c r="H1206" i="72"/>
  <c r="H1205" i="72"/>
  <c r="H1204" i="72"/>
  <c r="H1203" i="72"/>
  <c r="H1202" i="72"/>
  <c r="H1201" i="72"/>
  <c r="H1200" i="72"/>
  <c r="H1199" i="72"/>
  <c r="H1198" i="72"/>
  <c r="H1197" i="72"/>
  <c r="H1196" i="72"/>
  <c r="H1195" i="72"/>
  <c r="H1194" i="72"/>
  <c r="H1193" i="72"/>
  <c r="H1192" i="72"/>
  <c r="H1191" i="72"/>
  <c r="H1190" i="72"/>
  <c r="H1189" i="72"/>
  <c r="H1188" i="72"/>
  <c r="H1187" i="72"/>
  <c r="H1186" i="72"/>
  <c r="H1185" i="72"/>
  <c r="H1184" i="72"/>
  <c r="H1183" i="72"/>
  <c r="H1182" i="72"/>
  <c r="H1181" i="72"/>
  <c r="H1180" i="72"/>
  <c r="H1179" i="72"/>
  <c r="H1178" i="72"/>
  <c r="H1177" i="72"/>
  <c r="H1176" i="72"/>
  <c r="H1175" i="72"/>
  <c r="H1174" i="72"/>
  <c r="H1173" i="72"/>
  <c r="H1172" i="72"/>
  <c r="H1171" i="72"/>
  <c r="H1170" i="72"/>
  <c r="H1169" i="72"/>
  <c r="H1168" i="72"/>
  <c r="H1167" i="72"/>
  <c r="H1166" i="72"/>
  <c r="H1165" i="72"/>
  <c r="H1164" i="72"/>
  <c r="H1163" i="72"/>
  <c r="H1162" i="72"/>
  <c r="H1161" i="72"/>
  <c r="H1160" i="72"/>
  <c r="H1159" i="72"/>
  <c r="H1158" i="72"/>
  <c r="H1157" i="72"/>
  <c r="H1156" i="72"/>
  <c r="H1155" i="72"/>
  <c r="H1154" i="72"/>
  <c r="H1153" i="72"/>
  <c r="H1152" i="72"/>
  <c r="H1151" i="72"/>
  <c r="H1150" i="72"/>
  <c r="H1149" i="72"/>
  <c r="H1148" i="72"/>
  <c r="H1147" i="72"/>
  <c r="H1146" i="72"/>
  <c r="H1145" i="72"/>
  <c r="H1144" i="72"/>
  <c r="H1143" i="72"/>
  <c r="H1142" i="72"/>
  <c r="H1141" i="72"/>
  <c r="H1140" i="72"/>
  <c r="H1139" i="72"/>
  <c r="H1138" i="72"/>
  <c r="H1137" i="72"/>
  <c r="H1136" i="72"/>
  <c r="H1135" i="72"/>
  <c r="H1134" i="72"/>
  <c r="H1133" i="72"/>
  <c r="H1132" i="72"/>
  <c r="H1131" i="72"/>
  <c r="H1130" i="72"/>
  <c r="H1129" i="72"/>
  <c r="H1128" i="72"/>
  <c r="H1127" i="72"/>
  <c r="H1126" i="72"/>
  <c r="H1125" i="72"/>
  <c r="H1124" i="72"/>
  <c r="H1123" i="72"/>
  <c r="H1122" i="72"/>
  <c r="H1121" i="72"/>
  <c r="H1120" i="72"/>
  <c r="H1119" i="72"/>
  <c r="H1118" i="72"/>
  <c r="H1117" i="72"/>
  <c r="H1116" i="72"/>
  <c r="H1115" i="72"/>
  <c r="H1114" i="72"/>
  <c r="H1113" i="72"/>
  <c r="H1112" i="72"/>
  <c r="H1111" i="72"/>
  <c r="H1110" i="72"/>
  <c r="H1109" i="72"/>
  <c r="H1108" i="72"/>
  <c r="H1107" i="72"/>
  <c r="H1106" i="72"/>
  <c r="H1105" i="72"/>
  <c r="H1104" i="72"/>
  <c r="H1103" i="72"/>
  <c r="H1102" i="72"/>
  <c r="H1101" i="72"/>
  <c r="H1100" i="72"/>
  <c r="H1099" i="72"/>
  <c r="H1098" i="72"/>
  <c r="H1097" i="72"/>
  <c r="H1096" i="72"/>
  <c r="H1095" i="72"/>
  <c r="H1094" i="72"/>
  <c r="H1093" i="72"/>
  <c r="H1092" i="72"/>
  <c r="H1091" i="72"/>
  <c r="H1090" i="72"/>
  <c r="H1089" i="72"/>
  <c r="H1088" i="72"/>
  <c r="H1087" i="72"/>
  <c r="H1086" i="72"/>
  <c r="H1085" i="72"/>
  <c r="H1084" i="72"/>
  <c r="H1083" i="72"/>
  <c r="H1082" i="72"/>
  <c r="H1081" i="72"/>
  <c r="H1080" i="72"/>
  <c r="H1079" i="72"/>
  <c r="H1078" i="72"/>
  <c r="H1077" i="72"/>
  <c r="H1076" i="72"/>
  <c r="H1075" i="72"/>
  <c r="H1074" i="72"/>
  <c r="H1073" i="72"/>
  <c r="H1072" i="72"/>
  <c r="H1071" i="72"/>
  <c r="H1070" i="72"/>
  <c r="H1069" i="72"/>
  <c r="H1068" i="72"/>
  <c r="H1067" i="72"/>
  <c r="H1066" i="72"/>
  <c r="H1065" i="72"/>
  <c r="H1064" i="72"/>
  <c r="H1063" i="72"/>
  <c r="H1062" i="72"/>
  <c r="H1061" i="72"/>
  <c r="H1060" i="72"/>
  <c r="H1059" i="72"/>
  <c r="H1058" i="72"/>
  <c r="H1057" i="72"/>
  <c r="H1056" i="72"/>
  <c r="H1055" i="72"/>
  <c r="H1054" i="72"/>
  <c r="H1053" i="72"/>
  <c r="H1052" i="72"/>
  <c r="H1051" i="72"/>
  <c r="H1050" i="72"/>
  <c r="H1049" i="72"/>
  <c r="H1048" i="72"/>
  <c r="H1047" i="72"/>
  <c r="H1046" i="72"/>
  <c r="H1045" i="72"/>
  <c r="H1044" i="72"/>
  <c r="H1043" i="72"/>
  <c r="H1042" i="72"/>
  <c r="H1041" i="72"/>
  <c r="H1040" i="72"/>
  <c r="H1039" i="72"/>
  <c r="H1038" i="72"/>
  <c r="H1037" i="72"/>
  <c r="H1036" i="72"/>
  <c r="H1035" i="72"/>
  <c r="H1034" i="72"/>
  <c r="H1033" i="72"/>
  <c r="H1032" i="72"/>
  <c r="H1031" i="72"/>
  <c r="H1030" i="72"/>
  <c r="H1029" i="72"/>
  <c r="H1028" i="72"/>
  <c r="H1027" i="72"/>
  <c r="H1026" i="72"/>
  <c r="H1025" i="72"/>
  <c r="H1024" i="72"/>
  <c r="H1023" i="72"/>
  <c r="H1022" i="72"/>
  <c r="H1021" i="72"/>
  <c r="H1020" i="72"/>
  <c r="H1019" i="72"/>
  <c r="H1018" i="72"/>
  <c r="H1017" i="72"/>
  <c r="H1016" i="72"/>
  <c r="H1015" i="72"/>
  <c r="H1014" i="72"/>
  <c r="H1013" i="72"/>
  <c r="H1012" i="72"/>
  <c r="H1011" i="72"/>
  <c r="H1010" i="72"/>
  <c r="H1009" i="72"/>
  <c r="H1008" i="72"/>
  <c r="H1007" i="72"/>
  <c r="H1006" i="72"/>
  <c r="H1005" i="72"/>
  <c r="H1004" i="72"/>
  <c r="H1003" i="72"/>
  <c r="H1002" i="72"/>
  <c r="H1001" i="72"/>
  <c r="H1000" i="72"/>
  <c r="H999" i="72"/>
  <c r="H998" i="72"/>
  <c r="H997" i="72"/>
  <c r="H996" i="72"/>
  <c r="H995" i="72"/>
  <c r="H994" i="72"/>
  <c r="H993" i="72"/>
  <c r="H992" i="72"/>
  <c r="H991" i="72"/>
  <c r="H990" i="72"/>
  <c r="H989" i="72"/>
  <c r="H988" i="72"/>
  <c r="H987" i="72"/>
  <c r="H986" i="72"/>
  <c r="H985" i="72"/>
  <c r="H984" i="72"/>
  <c r="H983" i="72"/>
  <c r="H982" i="72"/>
  <c r="H981" i="72"/>
  <c r="H980" i="72"/>
  <c r="H979" i="72"/>
  <c r="H978" i="72"/>
  <c r="H977" i="72"/>
  <c r="H976" i="72"/>
  <c r="H975" i="72"/>
  <c r="H974" i="72"/>
  <c r="H973" i="72"/>
  <c r="H972" i="72"/>
  <c r="H971" i="72"/>
  <c r="H970" i="72"/>
  <c r="H969" i="72"/>
  <c r="H968" i="72"/>
  <c r="H967" i="72"/>
  <c r="H966" i="72"/>
  <c r="H965" i="72"/>
  <c r="H964" i="72"/>
  <c r="H963" i="72"/>
  <c r="H962" i="72"/>
  <c r="H961" i="72"/>
  <c r="H960" i="72"/>
  <c r="H959" i="72"/>
  <c r="H958" i="72"/>
  <c r="H957" i="72"/>
  <c r="H956" i="72"/>
  <c r="H955" i="72"/>
  <c r="H954" i="72"/>
  <c r="H953" i="72"/>
  <c r="H952" i="72"/>
  <c r="H951" i="72"/>
  <c r="H950" i="72"/>
  <c r="H949" i="72"/>
  <c r="H948" i="72"/>
  <c r="H947" i="72"/>
  <c r="H946" i="72"/>
  <c r="H945" i="72"/>
  <c r="H944" i="72"/>
  <c r="H943" i="72"/>
  <c r="H942" i="72"/>
  <c r="H941" i="72"/>
  <c r="H940" i="72"/>
  <c r="H939" i="72"/>
  <c r="H938" i="72"/>
  <c r="H937" i="72"/>
  <c r="H936" i="72"/>
  <c r="H935" i="72"/>
  <c r="H934" i="72"/>
  <c r="H933" i="72"/>
  <c r="H932" i="72"/>
  <c r="H931" i="72"/>
  <c r="H930" i="72"/>
  <c r="H929" i="72"/>
  <c r="H928" i="72"/>
  <c r="H927" i="72"/>
  <c r="H926" i="72"/>
  <c r="H925" i="72"/>
  <c r="H924" i="72"/>
  <c r="H923" i="72"/>
  <c r="H922" i="72"/>
  <c r="H921" i="72"/>
  <c r="H920" i="72"/>
  <c r="H919" i="72"/>
  <c r="H918" i="72"/>
  <c r="H917" i="72"/>
  <c r="H916" i="72"/>
  <c r="H915" i="72"/>
  <c r="H914" i="72"/>
  <c r="H913" i="72"/>
  <c r="H912" i="72"/>
  <c r="H911" i="72"/>
  <c r="H910" i="72"/>
  <c r="H909" i="72"/>
  <c r="H908" i="72"/>
  <c r="H907" i="72"/>
  <c r="H906" i="72"/>
  <c r="H905" i="72"/>
  <c r="H904" i="72"/>
  <c r="H903" i="72"/>
  <c r="H902" i="72"/>
  <c r="H901" i="72"/>
  <c r="H900" i="72"/>
  <c r="H899" i="72"/>
  <c r="H898" i="72"/>
  <c r="H897" i="72"/>
  <c r="H896" i="72"/>
  <c r="H895" i="72"/>
  <c r="H894" i="72"/>
  <c r="H893" i="72"/>
  <c r="H892" i="72"/>
  <c r="H891" i="72"/>
  <c r="H890" i="72"/>
  <c r="H889" i="72"/>
  <c r="H888" i="72"/>
  <c r="H887" i="72"/>
  <c r="H886" i="72"/>
  <c r="H885" i="72"/>
  <c r="H884" i="72"/>
  <c r="H883" i="72"/>
  <c r="H882" i="72"/>
  <c r="H881" i="72"/>
  <c r="H880" i="72"/>
  <c r="H879" i="72"/>
  <c r="H878" i="72"/>
  <c r="H877" i="72"/>
  <c r="H876" i="72"/>
  <c r="H875" i="72"/>
  <c r="H874" i="72"/>
  <c r="H873" i="72"/>
  <c r="H872" i="72"/>
  <c r="H871" i="72"/>
  <c r="H870" i="72"/>
  <c r="H869" i="72"/>
  <c r="H868" i="72"/>
  <c r="H867" i="72"/>
  <c r="H866" i="72"/>
  <c r="H865" i="72"/>
  <c r="H864" i="72"/>
  <c r="H863" i="72"/>
  <c r="H862" i="72"/>
  <c r="H861" i="72"/>
  <c r="H860" i="72"/>
  <c r="H859" i="72"/>
  <c r="H858" i="72"/>
  <c r="H857" i="72"/>
  <c r="H856" i="72"/>
  <c r="H855" i="72"/>
  <c r="H854" i="72"/>
  <c r="H853" i="72"/>
  <c r="H852" i="72"/>
  <c r="H851" i="72"/>
  <c r="H850" i="72"/>
  <c r="H849" i="72"/>
  <c r="H848" i="72"/>
  <c r="H847" i="72"/>
  <c r="H846" i="72"/>
  <c r="H845" i="72"/>
  <c r="H844" i="72"/>
  <c r="H843" i="72"/>
  <c r="H842" i="72"/>
  <c r="H841" i="72"/>
  <c r="H840" i="72"/>
  <c r="H839" i="72"/>
  <c r="H838" i="72"/>
  <c r="H837" i="72"/>
  <c r="H836" i="72"/>
  <c r="H835" i="72"/>
  <c r="H834" i="72"/>
  <c r="H833" i="72"/>
  <c r="H832" i="72"/>
  <c r="H831" i="72"/>
  <c r="H830" i="72"/>
  <c r="H829" i="72"/>
  <c r="H828" i="72"/>
  <c r="H827" i="72"/>
  <c r="H826" i="72"/>
  <c r="H825" i="72"/>
  <c r="H824" i="72"/>
  <c r="H823" i="72"/>
  <c r="H822" i="72"/>
  <c r="H821" i="72"/>
  <c r="H820" i="72"/>
  <c r="H819" i="72"/>
  <c r="H818" i="72"/>
  <c r="H817" i="72"/>
  <c r="H816" i="72"/>
  <c r="H815" i="72"/>
  <c r="H814" i="72"/>
  <c r="H813" i="72"/>
  <c r="H812" i="72"/>
  <c r="H811" i="72"/>
  <c r="H810" i="72"/>
  <c r="H809" i="72"/>
  <c r="H808" i="72"/>
  <c r="H807" i="72"/>
  <c r="H806" i="72"/>
  <c r="H805" i="72"/>
  <c r="H804" i="72"/>
  <c r="H803" i="72"/>
  <c r="H802" i="72"/>
  <c r="H801" i="72"/>
  <c r="H800" i="72"/>
  <c r="H799" i="72"/>
  <c r="H798" i="72"/>
  <c r="H797" i="72"/>
  <c r="H796" i="72"/>
  <c r="H795" i="72"/>
  <c r="H794" i="72"/>
  <c r="H793" i="72"/>
  <c r="H792" i="72"/>
  <c r="H791" i="72"/>
  <c r="H790" i="72"/>
  <c r="H789" i="72"/>
  <c r="H788" i="72"/>
  <c r="H787" i="72"/>
  <c r="H786" i="72"/>
  <c r="H785" i="72"/>
  <c r="H784" i="72"/>
  <c r="H783" i="72"/>
  <c r="H782" i="72"/>
  <c r="H781" i="72"/>
  <c r="H780" i="72"/>
  <c r="H779" i="72"/>
  <c r="H778" i="72"/>
  <c r="H777" i="72"/>
  <c r="H776" i="72"/>
  <c r="H775" i="72"/>
  <c r="H774" i="72"/>
  <c r="H773" i="72"/>
  <c r="H772" i="72"/>
  <c r="H771" i="72"/>
  <c r="H770" i="72"/>
  <c r="H769" i="72"/>
  <c r="H768" i="72"/>
  <c r="H767" i="72"/>
  <c r="H766" i="72"/>
  <c r="H765" i="72"/>
  <c r="H764" i="72"/>
  <c r="H763" i="72"/>
  <c r="H762" i="72"/>
  <c r="H761" i="72"/>
  <c r="H760" i="72"/>
  <c r="H759" i="72"/>
  <c r="H758" i="72"/>
  <c r="H757" i="72"/>
  <c r="H756" i="72"/>
  <c r="H755" i="72"/>
  <c r="H754" i="72"/>
  <c r="H753" i="72"/>
  <c r="H752" i="72"/>
  <c r="H751" i="72"/>
  <c r="H750" i="72"/>
  <c r="H749" i="72"/>
  <c r="H748" i="72"/>
  <c r="H747" i="72"/>
  <c r="H746" i="72"/>
  <c r="H745" i="72"/>
  <c r="H744" i="72"/>
  <c r="H743" i="72"/>
  <c r="H742" i="72"/>
  <c r="H741" i="72"/>
  <c r="H740" i="72"/>
  <c r="H739" i="72"/>
  <c r="H738" i="72"/>
  <c r="H737" i="72"/>
  <c r="H736" i="72"/>
  <c r="H735" i="72"/>
  <c r="H734" i="72"/>
  <c r="H733" i="72"/>
  <c r="H732" i="72"/>
  <c r="H731" i="72"/>
  <c r="H730" i="72"/>
  <c r="H729" i="72"/>
  <c r="H728" i="72"/>
  <c r="H727" i="72"/>
  <c r="H726" i="72"/>
  <c r="H725" i="72"/>
  <c r="H724" i="72"/>
  <c r="H723" i="72"/>
  <c r="H722" i="72"/>
  <c r="H721" i="72"/>
  <c r="H720" i="72"/>
  <c r="H719" i="72"/>
  <c r="H718" i="72"/>
  <c r="H717" i="72"/>
  <c r="H716" i="72"/>
  <c r="H715" i="72"/>
  <c r="H714" i="72"/>
  <c r="H713" i="72"/>
  <c r="H712" i="72"/>
  <c r="H711" i="72"/>
  <c r="H710" i="72"/>
  <c r="H709" i="72"/>
  <c r="H708" i="72"/>
  <c r="H707" i="72"/>
  <c r="H706" i="72"/>
  <c r="H705" i="72"/>
  <c r="H704" i="72"/>
  <c r="H703" i="72"/>
  <c r="H702" i="72"/>
  <c r="H701" i="72"/>
  <c r="H700" i="72"/>
  <c r="H699" i="72"/>
  <c r="H698" i="72"/>
  <c r="H697" i="72"/>
  <c r="H696" i="72"/>
  <c r="H695" i="72"/>
  <c r="H694" i="72"/>
  <c r="H693" i="72"/>
  <c r="H692" i="72"/>
  <c r="H691" i="72"/>
  <c r="H690" i="72"/>
  <c r="H689" i="72"/>
  <c r="H688" i="72"/>
  <c r="H687" i="72"/>
  <c r="H686" i="72"/>
  <c r="H685" i="72"/>
  <c r="H684" i="72"/>
  <c r="H683" i="72"/>
  <c r="H682" i="72"/>
  <c r="H681" i="72"/>
  <c r="H680" i="72"/>
  <c r="H679" i="72"/>
  <c r="H678" i="72"/>
  <c r="H677" i="72"/>
  <c r="H676" i="72"/>
  <c r="H675" i="72"/>
  <c r="H674" i="72"/>
  <c r="H673" i="72"/>
  <c r="H672" i="72"/>
  <c r="H671" i="72"/>
  <c r="H670" i="72"/>
  <c r="H669" i="72"/>
  <c r="H668" i="72"/>
  <c r="H667" i="72"/>
  <c r="H666" i="72"/>
  <c r="H665" i="72"/>
  <c r="H664" i="72"/>
  <c r="H663" i="72"/>
  <c r="H662" i="72"/>
  <c r="H661" i="72"/>
  <c r="H660" i="72"/>
  <c r="H659" i="72"/>
  <c r="H658" i="72"/>
  <c r="H657" i="72"/>
  <c r="H656" i="72"/>
  <c r="H655" i="72"/>
  <c r="H654" i="72"/>
  <c r="H653" i="72"/>
  <c r="H652" i="72"/>
  <c r="H651" i="72"/>
  <c r="H650" i="72"/>
  <c r="H649" i="72"/>
  <c r="H648" i="72"/>
  <c r="H647" i="72"/>
  <c r="H646" i="72"/>
  <c r="H645" i="72"/>
  <c r="H644" i="72"/>
  <c r="H643" i="72"/>
  <c r="H642" i="72"/>
  <c r="H641" i="72"/>
  <c r="H640" i="72"/>
  <c r="H639" i="72"/>
  <c r="H638" i="72"/>
  <c r="H637" i="72"/>
  <c r="H636" i="72"/>
  <c r="H635" i="72"/>
  <c r="H634" i="72"/>
  <c r="H633" i="72"/>
  <c r="H632" i="72"/>
  <c r="H631" i="72"/>
  <c r="H630" i="72"/>
  <c r="H629" i="72"/>
  <c r="H628" i="72"/>
  <c r="H627" i="72"/>
  <c r="H626" i="72"/>
  <c r="H625" i="72"/>
  <c r="H624" i="72"/>
  <c r="H623" i="72"/>
  <c r="H622" i="72"/>
  <c r="H621" i="72"/>
  <c r="H620" i="72"/>
  <c r="H619" i="72"/>
  <c r="H618" i="72"/>
  <c r="H617" i="72"/>
  <c r="H616" i="72"/>
  <c r="H615" i="72"/>
  <c r="H614" i="72"/>
  <c r="H613" i="72"/>
  <c r="H612" i="72"/>
  <c r="H611" i="72"/>
  <c r="H610" i="72"/>
  <c r="H609" i="72"/>
  <c r="H608" i="72"/>
  <c r="H607" i="72"/>
  <c r="H606" i="72"/>
  <c r="H605" i="72"/>
  <c r="H604" i="72"/>
  <c r="H603" i="72"/>
  <c r="H602" i="72"/>
  <c r="H601" i="72"/>
  <c r="H600" i="72"/>
  <c r="H599" i="72"/>
  <c r="H598" i="72"/>
  <c r="H597" i="72"/>
  <c r="H596" i="72"/>
  <c r="H595" i="72"/>
  <c r="H594" i="72"/>
  <c r="H593" i="72"/>
  <c r="H592" i="72"/>
  <c r="H591" i="72"/>
  <c r="H590" i="72"/>
  <c r="H589" i="72"/>
  <c r="H588" i="72"/>
  <c r="H587" i="72"/>
  <c r="H586" i="72"/>
  <c r="H585" i="72"/>
  <c r="H584" i="72"/>
  <c r="H583" i="72"/>
  <c r="H582" i="72"/>
  <c r="H581" i="72"/>
  <c r="H580" i="72"/>
  <c r="H579" i="72"/>
  <c r="H578" i="72"/>
  <c r="H577" i="72"/>
  <c r="H576" i="72"/>
  <c r="H575" i="72"/>
  <c r="H574" i="72"/>
  <c r="H573" i="72"/>
  <c r="H572" i="72"/>
  <c r="H571" i="72"/>
  <c r="H570" i="72"/>
  <c r="H569" i="72"/>
  <c r="H568" i="72"/>
  <c r="H567" i="72"/>
  <c r="H566" i="72"/>
  <c r="H565" i="72"/>
  <c r="H564" i="72"/>
  <c r="H563" i="72"/>
  <c r="H562" i="72"/>
  <c r="H561" i="72"/>
  <c r="H560" i="72"/>
  <c r="H559" i="72"/>
  <c r="H558" i="72"/>
  <c r="H557" i="72"/>
  <c r="H556" i="72"/>
  <c r="H555" i="72"/>
  <c r="H554" i="72"/>
  <c r="H553" i="72"/>
  <c r="H552" i="72"/>
  <c r="H551" i="72"/>
  <c r="H550" i="72"/>
  <c r="H549" i="72"/>
  <c r="H548" i="72"/>
  <c r="H547" i="72"/>
  <c r="H546" i="72"/>
  <c r="H545" i="72"/>
  <c r="H544" i="72"/>
  <c r="H543" i="72"/>
  <c r="H542" i="72"/>
  <c r="H541" i="72"/>
  <c r="H540" i="72"/>
  <c r="H539" i="72"/>
  <c r="H538" i="72"/>
  <c r="H537" i="72"/>
  <c r="H536" i="72"/>
  <c r="H535" i="72"/>
  <c r="H534" i="72"/>
  <c r="H533" i="72"/>
  <c r="H532" i="72"/>
  <c r="H531" i="72"/>
  <c r="H530" i="72"/>
  <c r="H529" i="72"/>
  <c r="H528" i="72"/>
  <c r="H527" i="72"/>
  <c r="H526" i="72"/>
  <c r="H525" i="72"/>
  <c r="H524" i="72"/>
  <c r="H523" i="72"/>
  <c r="H522" i="72"/>
  <c r="H521" i="72"/>
  <c r="H520" i="72"/>
  <c r="H519" i="72"/>
  <c r="H518" i="72"/>
  <c r="H517" i="72"/>
  <c r="H516" i="72"/>
  <c r="H515" i="72"/>
  <c r="H514" i="72"/>
  <c r="H513" i="72"/>
  <c r="H512" i="72"/>
  <c r="H511" i="72"/>
  <c r="H510" i="72"/>
  <c r="H509" i="72"/>
  <c r="H508" i="72"/>
  <c r="H507" i="72"/>
  <c r="H506" i="72"/>
  <c r="H505" i="72"/>
  <c r="H504" i="72"/>
  <c r="H503" i="72"/>
  <c r="H502" i="72"/>
  <c r="H501" i="72"/>
  <c r="H500" i="72"/>
  <c r="H499" i="72"/>
  <c r="H498" i="72"/>
  <c r="H497" i="72"/>
  <c r="H496" i="72"/>
  <c r="H495" i="72"/>
  <c r="H494" i="72"/>
  <c r="H493" i="72"/>
  <c r="H492" i="72"/>
  <c r="H491" i="72"/>
  <c r="H490" i="72"/>
  <c r="H489" i="72"/>
  <c r="H488" i="72"/>
  <c r="H487" i="72"/>
  <c r="H486" i="72"/>
  <c r="H485" i="72"/>
  <c r="H484" i="72"/>
  <c r="H483" i="72"/>
  <c r="H482" i="72"/>
  <c r="H481" i="72"/>
  <c r="H480" i="72"/>
  <c r="H479" i="72"/>
  <c r="H478" i="72"/>
  <c r="H477" i="72"/>
  <c r="H476" i="72"/>
  <c r="H475" i="72"/>
  <c r="H474" i="72"/>
  <c r="H473" i="72"/>
  <c r="H472" i="72"/>
  <c r="H471" i="72"/>
  <c r="H470" i="72"/>
  <c r="H469" i="72"/>
  <c r="H468" i="72"/>
  <c r="H467" i="72"/>
  <c r="H466" i="72"/>
  <c r="H465" i="72"/>
  <c r="H464" i="72"/>
  <c r="H463" i="72"/>
  <c r="H462" i="72"/>
  <c r="H461" i="72"/>
  <c r="H460" i="72"/>
  <c r="H459" i="72"/>
  <c r="H458" i="72"/>
  <c r="H457" i="72"/>
  <c r="H456" i="72"/>
  <c r="H455" i="72"/>
  <c r="H454" i="72"/>
  <c r="H453" i="72"/>
  <c r="H452" i="72"/>
  <c r="H451" i="72"/>
  <c r="H450" i="72"/>
  <c r="H449" i="72"/>
  <c r="H448" i="72"/>
  <c r="H447" i="72"/>
  <c r="H446" i="72"/>
  <c r="H445" i="72"/>
  <c r="H444" i="72"/>
  <c r="H443" i="72"/>
  <c r="H442" i="72"/>
  <c r="H441" i="72"/>
  <c r="H440" i="72"/>
  <c r="H439" i="72"/>
  <c r="H438" i="72"/>
  <c r="H437" i="72"/>
  <c r="H436" i="72"/>
  <c r="H435" i="72"/>
  <c r="H434" i="72"/>
  <c r="H433" i="72"/>
  <c r="H432" i="72"/>
  <c r="H431" i="72"/>
  <c r="H430" i="72"/>
  <c r="H429" i="72"/>
  <c r="H428" i="72"/>
  <c r="H427" i="72"/>
  <c r="H426" i="72"/>
  <c r="H425" i="72"/>
  <c r="H424" i="72"/>
  <c r="H423" i="72"/>
  <c r="H422" i="72"/>
  <c r="H421" i="72"/>
  <c r="H420" i="72"/>
  <c r="H419" i="72"/>
  <c r="H418" i="72"/>
  <c r="H417" i="72"/>
  <c r="H416" i="72"/>
  <c r="H415" i="72"/>
  <c r="H414" i="72"/>
  <c r="H413" i="72"/>
  <c r="H412" i="72"/>
  <c r="H411" i="72"/>
  <c r="H410" i="72"/>
  <c r="H409" i="72"/>
  <c r="H408" i="72"/>
  <c r="H407" i="72"/>
  <c r="H406" i="72"/>
  <c r="H405" i="72"/>
  <c r="H404" i="72"/>
  <c r="H403" i="72"/>
  <c r="H402" i="72"/>
  <c r="H401" i="72"/>
  <c r="H400" i="72"/>
  <c r="H399" i="72"/>
  <c r="H398" i="72"/>
  <c r="H397" i="72"/>
  <c r="H396" i="72"/>
  <c r="H395" i="72"/>
  <c r="H394" i="72"/>
  <c r="H393" i="72"/>
  <c r="H392" i="72"/>
  <c r="H391" i="72"/>
  <c r="H390" i="72"/>
  <c r="H389" i="72"/>
  <c r="H388" i="72"/>
  <c r="H387" i="72"/>
  <c r="H386" i="72"/>
  <c r="H385" i="72"/>
  <c r="H384" i="72"/>
  <c r="H383" i="72"/>
  <c r="H382" i="72"/>
  <c r="H381" i="72"/>
  <c r="H380" i="72"/>
  <c r="H379" i="72"/>
  <c r="H378" i="72"/>
  <c r="H377" i="72"/>
  <c r="H376" i="72"/>
  <c r="H375" i="72"/>
  <c r="H374" i="72"/>
  <c r="H373" i="72"/>
  <c r="H372" i="72"/>
  <c r="H371" i="72"/>
  <c r="H370" i="72"/>
  <c r="H369" i="72"/>
  <c r="H368" i="72"/>
  <c r="H367" i="72"/>
  <c r="H366" i="72"/>
  <c r="H365" i="72"/>
  <c r="H364" i="72"/>
  <c r="H363" i="72"/>
  <c r="H362" i="72"/>
  <c r="H361" i="72"/>
  <c r="H360" i="72"/>
  <c r="H359" i="72"/>
  <c r="H358" i="72"/>
  <c r="H357" i="72"/>
  <c r="H356" i="72"/>
  <c r="H355" i="72"/>
  <c r="H354" i="72"/>
  <c r="H353" i="72"/>
  <c r="H352" i="72"/>
  <c r="H351" i="72"/>
  <c r="H350" i="72"/>
  <c r="H349" i="72"/>
  <c r="H348" i="72"/>
  <c r="H347" i="72"/>
  <c r="H346" i="72"/>
  <c r="H345" i="72"/>
  <c r="H344" i="72"/>
  <c r="H343" i="72"/>
  <c r="H342" i="72"/>
  <c r="H341" i="72"/>
  <c r="H340" i="72"/>
  <c r="H339" i="72"/>
  <c r="H338" i="72"/>
  <c r="H337" i="72"/>
  <c r="H336" i="72"/>
  <c r="H335" i="72"/>
  <c r="H334" i="72"/>
  <c r="H333" i="72"/>
  <c r="H332" i="72"/>
  <c r="H331" i="72"/>
  <c r="H330" i="72"/>
  <c r="H329" i="72"/>
  <c r="H328" i="72"/>
  <c r="H327" i="72"/>
  <c r="H326" i="72"/>
  <c r="H325" i="72"/>
  <c r="H324" i="72"/>
  <c r="H323" i="72"/>
  <c r="H322" i="72"/>
  <c r="H321" i="72"/>
  <c r="H320" i="72"/>
  <c r="H319" i="72"/>
  <c r="H318" i="72"/>
  <c r="H317" i="72"/>
  <c r="H316" i="72"/>
  <c r="H315" i="72"/>
  <c r="H314" i="72"/>
  <c r="H313" i="72"/>
  <c r="H312" i="72"/>
  <c r="H311" i="72"/>
  <c r="H310" i="72"/>
  <c r="H309" i="72"/>
  <c r="H308" i="72"/>
  <c r="H307" i="72"/>
  <c r="H306" i="72"/>
  <c r="H305" i="72"/>
  <c r="H304" i="72"/>
  <c r="H303" i="72"/>
  <c r="H302" i="72"/>
  <c r="H301" i="72"/>
  <c r="H300" i="72"/>
  <c r="H299" i="72"/>
  <c r="H298" i="72"/>
  <c r="H297" i="72"/>
  <c r="H296" i="72"/>
  <c r="H295" i="72"/>
  <c r="H294" i="72"/>
  <c r="H293" i="72"/>
  <c r="H292" i="72"/>
  <c r="H291" i="72"/>
  <c r="H290" i="72"/>
  <c r="H289" i="72"/>
  <c r="H288" i="72"/>
  <c r="H287" i="72"/>
  <c r="H286" i="72"/>
  <c r="H285" i="72"/>
  <c r="H284" i="72"/>
  <c r="H283" i="72"/>
  <c r="H282" i="72"/>
  <c r="H281" i="72"/>
  <c r="H280" i="72"/>
  <c r="H279" i="72"/>
  <c r="H278" i="72"/>
  <c r="H277" i="72"/>
  <c r="H276" i="72"/>
  <c r="H275" i="72"/>
  <c r="H274" i="72"/>
  <c r="H273" i="72"/>
  <c r="H272" i="72"/>
  <c r="H271" i="72"/>
  <c r="H270" i="72"/>
  <c r="H269" i="72"/>
  <c r="H268" i="72"/>
  <c r="H267" i="72"/>
  <c r="H266" i="72"/>
  <c r="H265" i="72"/>
  <c r="H264" i="72"/>
  <c r="H263" i="72"/>
  <c r="H262" i="72"/>
  <c r="H261" i="72"/>
  <c r="H260" i="72"/>
  <c r="H259" i="72"/>
  <c r="H258" i="72"/>
  <c r="H257" i="72"/>
  <c r="H256" i="72"/>
  <c r="H255" i="72"/>
  <c r="H254" i="72"/>
  <c r="H253" i="72"/>
  <c r="H252" i="72"/>
  <c r="H251" i="72"/>
  <c r="H250" i="72"/>
  <c r="H249" i="72"/>
  <c r="H248" i="72"/>
  <c r="H247" i="72"/>
  <c r="H246" i="72"/>
  <c r="H245" i="72"/>
  <c r="H244" i="72"/>
  <c r="H243" i="72"/>
  <c r="H242" i="72"/>
  <c r="H241" i="72"/>
  <c r="H240" i="72"/>
  <c r="H239" i="72"/>
  <c r="H238" i="72"/>
  <c r="H237" i="72"/>
  <c r="H236" i="72"/>
  <c r="H235" i="72"/>
  <c r="H234" i="72"/>
  <c r="H233" i="72"/>
  <c r="H232" i="72"/>
  <c r="H231" i="72"/>
  <c r="H230" i="72"/>
  <c r="H229" i="72"/>
  <c r="H228" i="72"/>
  <c r="H227" i="72"/>
  <c r="H226" i="72"/>
  <c r="H225" i="72"/>
  <c r="H224" i="72"/>
  <c r="H223" i="72"/>
  <c r="H222" i="72"/>
  <c r="H221" i="72"/>
  <c r="H220" i="72"/>
  <c r="H219" i="72"/>
  <c r="H218" i="72"/>
  <c r="H217" i="72"/>
  <c r="H216" i="72"/>
  <c r="H215" i="72"/>
  <c r="H214" i="72"/>
  <c r="H213" i="72"/>
  <c r="H212" i="72"/>
  <c r="H211" i="72"/>
  <c r="H210" i="72"/>
  <c r="H209" i="72"/>
  <c r="H208" i="72"/>
  <c r="H207" i="72"/>
  <c r="H206" i="72"/>
  <c r="H205" i="72"/>
  <c r="H204" i="72"/>
  <c r="H203" i="72"/>
  <c r="H202" i="72"/>
  <c r="H201" i="72"/>
  <c r="H200" i="72"/>
  <c r="H199" i="72"/>
  <c r="H198" i="72"/>
  <c r="H197" i="72"/>
  <c r="H196" i="72"/>
  <c r="H195" i="72"/>
  <c r="H194" i="72"/>
  <c r="H193" i="72"/>
  <c r="H192" i="72"/>
  <c r="H191" i="72"/>
  <c r="H190" i="72"/>
  <c r="H189" i="72"/>
  <c r="H188" i="72"/>
  <c r="H187" i="72"/>
  <c r="H186" i="72"/>
  <c r="H185" i="72"/>
  <c r="H184" i="72"/>
  <c r="H183" i="72"/>
  <c r="H182" i="72"/>
  <c r="H181" i="72"/>
  <c r="H180" i="72"/>
  <c r="H179" i="72"/>
  <c r="H178" i="72"/>
  <c r="H177" i="72"/>
  <c r="H176" i="72"/>
  <c r="H175" i="72"/>
  <c r="H174" i="72"/>
  <c r="H173" i="72"/>
  <c r="H172" i="72"/>
  <c r="H171" i="72"/>
  <c r="H170" i="72"/>
  <c r="H169" i="72"/>
  <c r="H168" i="72"/>
  <c r="H167" i="72"/>
  <c r="H166" i="72"/>
  <c r="H165" i="72"/>
  <c r="H164" i="72"/>
  <c r="H163" i="72"/>
  <c r="H162" i="72"/>
  <c r="H161" i="72"/>
  <c r="H160" i="72"/>
  <c r="H159" i="72"/>
  <c r="H158" i="72"/>
  <c r="H157" i="72"/>
  <c r="H156" i="72"/>
  <c r="H155" i="72"/>
  <c r="H154" i="72"/>
  <c r="H153" i="72"/>
  <c r="H152" i="72"/>
  <c r="H151" i="72"/>
  <c r="H150" i="72"/>
  <c r="H149" i="72"/>
  <c r="H148" i="72"/>
  <c r="H147" i="72"/>
  <c r="H146" i="72"/>
  <c r="H145" i="72"/>
  <c r="H144" i="72"/>
  <c r="H143" i="72"/>
  <c r="H142" i="72"/>
  <c r="H141" i="72"/>
  <c r="H140" i="72"/>
  <c r="H139" i="72"/>
  <c r="H138" i="72"/>
  <c r="H137" i="72"/>
  <c r="H136" i="72"/>
  <c r="H135" i="72"/>
  <c r="H134" i="72"/>
  <c r="H133" i="72"/>
  <c r="H132" i="72"/>
  <c r="H131" i="72"/>
  <c r="H130" i="72"/>
  <c r="H129" i="72"/>
  <c r="H128" i="72"/>
  <c r="H127" i="72"/>
  <c r="H126" i="72"/>
  <c r="H125" i="72"/>
  <c r="H124" i="72"/>
  <c r="H123" i="72"/>
  <c r="H122" i="72"/>
  <c r="H121" i="72"/>
  <c r="H120" i="72"/>
  <c r="H119" i="72"/>
  <c r="H118" i="72"/>
  <c r="H117" i="72"/>
  <c r="H116" i="72"/>
  <c r="H115" i="72"/>
  <c r="H114" i="72"/>
  <c r="H113" i="72"/>
  <c r="H112" i="72"/>
  <c r="H111" i="72"/>
  <c r="H110" i="72"/>
  <c r="H109" i="72"/>
  <c r="H108" i="72"/>
  <c r="H107" i="72"/>
  <c r="H106" i="72"/>
  <c r="H105" i="72"/>
  <c r="H104" i="72"/>
  <c r="H103" i="72"/>
  <c r="H102" i="72"/>
  <c r="H101" i="72"/>
  <c r="H100" i="72"/>
  <c r="H99" i="72"/>
  <c r="H98" i="72"/>
  <c r="H97" i="72"/>
  <c r="H96" i="72"/>
  <c r="H95" i="72"/>
  <c r="H94" i="72"/>
  <c r="H93" i="72"/>
  <c r="H92" i="72"/>
  <c r="H91" i="72"/>
  <c r="H90" i="72"/>
  <c r="H89" i="72"/>
  <c r="H88" i="72"/>
  <c r="H87" i="72"/>
  <c r="H86" i="72"/>
  <c r="H85" i="72"/>
  <c r="H84" i="72"/>
  <c r="H83" i="72"/>
  <c r="H82" i="72"/>
  <c r="H81" i="72"/>
  <c r="H80" i="72"/>
  <c r="H79" i="72"/>
  <c r="H78" i="72"/>
  <c r="H77" i="72"/>
  <c r="H76" i="72"/>
  <c r="H75" i="72"/>
  <c r="H74" i="72"/>
  <c r="H73" i="72"/>
  <c r="H72" i="72"/>
  <c r="H71" i="72"/>
  <c r="H70" i="72"/>
  <c r="H69" i="72"/>
  <c r="H68" i="72"/>
  <c r="H67" i="72"/>
  <c r="H66" i="72"/>
  <c r="H65" i="72"/>
  <c r="H64" i="72"/>
  <c r="H63" i="72"/>
  <c r="H62" i="72"/>
  <c r="H61" i="72"/>
  <c r="H60" i="72"/>
  <c r="H59" i="72"/>
  <c r="H58" i="72"/>
  <c r="H57" i="72"/>
  <c r="H56" i="72"/>
  <c r="H55" i="72"/>
  <c r="H54" i="72"/>
  <c r="H53" i="72"/>
  <c r="H52" i="72"/>
  <c r="H51" i="72"/>
  <c r="H50" i="72"/>
  <c r="H49" i="72"/>
  <c r="H48" i="72"/>
  <c r="H47" i="72"/>
  <c r="H46" i="72"/>
  <c r="H45" i="72"/>
  <c r="H44" i="72"/>
  <c r="H43" i="72"/>
  <c r="H42" i="72"/>
  <c r="H41" i="72"/>
  <c r="H40" i="72"/>
  <c r="H39" i="72"/>
  <c r="H38" i="72"/>
  <c r="H37" i="72"/>
  <c r="H36" i="72"/>
  <c r="H35" i="72"/>
  <c r="H34" i="72"/>
  <c r="H33" i="72"/>
  <c r="H32" i="72"/>
  <c r="H31" i="72"/>
  <c r="H30" i="72"/>
  <c r="H29" i="72"/>
  <c r="H28" i="72"/>
  <c r="H27" i="72"/>
  <c r="H26" i="72"/>
  <c r="H25" i="72"/>
  <c r="H24" i="72"/>
  <c r="H23" i="72"/>
  <c r="H22" i="72"/>
  <c r="H21" i="72"/>
  <c r="H20" i="72"/>
  <c r="H19" i="72"/>
  <c r="H18" i="72"/>
  <c r="H17" i="72"/>
  <c r="H16" i="72"/>
  <c r="H15" i="72"/>
  <c r="H14" i="72"/>
  <c r="H13" i="72"/>
  <c r="H12" i="72"/>
  <c r="H11" i="72"/>
  <c r="H10" i="72"/>
  <c r="H9" i="72"/>
  <c r="H8" i="72"/>
  <c r="F1252" i="72"/>
  <c r="F1251" i="72"/>
  <c r="F1250" i="72"/>
  <c r="F1249" i="72"/>
  <c r="F1248" i="72"/>
  <c r="F1247" i="72"/>
  <c r="F1246" i="72"/>
  <c r="F1245" i="72"/>
  <c r="F1244" i="72"/>
  <c r="F1243" i="72"/>
  <c r="F1242" i="72"/>
  <c r="F1241" i="72"/>
  <c r="F1240" i="72"/>
  <c r="F1239" i="72"/>
  <c r="F1238" i="72"/>
  <c r="F1237" i="72"/>
  <c r="F1236" i="72"/>
  <c r="F1235" i="72"/>
  <c r="F1234" i="72"/>
  <c r="F1233" i="72"/>
  <c r="F1232" i="72"/>
  <c r="F1231" i="72"/>
  <c r="F1230" i="72"/>
  <c r="F1229" i="72"/>
  <c r="F1228" i="72"/>
  <c r="F1227" i="72"/>
  <c r="F1226" i="72"/>
  <c r="F1225" i="72"/>
  <c r="F1224" i="72"/>
  <c r="F1223" i="72"/>
  <c r="F1222" i="72"/>
  <c r="F1221" i="72"/>
  <c r="F1220" i="72"/>
  <c r="F1219" i="72"/>
  <c r="F1218" i="72"/>
  <c r="F1217" i="72"/>
  <c r="F1216" i="72"/>
  <c r="F1215" i="72"/>
  <c r="F1214" i="72"/>
  <c r="F1213" i="72"/>
  <c r="F1212" i="72"/>
  <c r="F1211" i="72"/>
  <c r="F1210" i="72"/>
  <c r="F1209" i="72"/>
  <c r="F1208" i="72"/>
  <c r="F1207" i="72"/>
  <c r="F1206" i="72"/>
  <c r="F1205" i="72"/>
  <c r="F1204" i="72"/>
  <c r="F1203" i="72"/>
  <c r="F1202" i="72"/>
  <c r="F1201" i="72"/>
  <c r="F1200" i="72"/>
  <c r="F1199" i="72"/>
  <c r="F1198" i="72"/>
  <c r="F1197" i="72"/>
  <c r="F1196" i="72"/>
  <c r="F1195" i="72"/>
  <c r="F1194" i="72"/>
  <c r="F1193" i="72"/>
  <c r="F1192" i="72"/>
  <c r="F1191" i="72"/>
  <c r="F1190" i="72"/>
  <c r="F1189" i="72"/>
  <c r="F1188" i="72"/>
  <c r="F1187" i="72"/>
  <c r="F1186" i="72"/>
  <c r="F1185" i="72"/>
  <c r="F1184" i="72"/>
  <c r="F1183" i="72"/>
  <c r="F1182" i="72"/>
  <c r="F1181" i="72"/>
  <c r="F1180" i="72"/>
  <c r="F1179" i="72"/>
  <c r="F1178" i="72"/>
  <c r="F1177" i="72"/>
  <c r="F1176" i="72"/>
  <c r="F1175" i="72"/>
  <c r="F1174" i="72"/>
  <c r="F1173" i="72"/>
  <c r="F1172" i="72"/>
  <c r="F1171" i="72"/>
  <c r="F1170" i="72"/>
  <c r="F1169" i="72"/>
  <c r="F1168" i="72"/>
  <c r="F1167" i="72"/>
  <c r="F1166" i="72"/>
  <c r="F1165" i="72"/>
  <c r="F1164" i="72"/>
  <c r="F1163" i="72"/>
  <c r="F1162" i="72"/>
  <c r="F1161" i="72"/>
  <c r="F1160" i="72"/>
  <c r="F1159" i="72"/>
  <c r="F1158" i="72"/>
  <c r="F1157" i="72"/>
  <c r="F1156" i="72"/>
  <c r="F1155" i="72"/>
  <c r="F1154" i="72"/>
  <c r="F1153" i="72"/>
  <c r="F1152" i="72"/>
  <c r="F1151" i="72"/>
  <c r="F1150" i="72"/>
  <c r="F1149" i="72"/>
  <c r="F1148" i="72"/>
  <c r="F1147" i="72"/>
  <c r="F1146" i="72"/>
  <c r="F1145" i="72"/>
  <c r="F1144" i="72"/>
  <c r="F1143" i="72"/>
  <c r="F1142" i="72"/>
  <c r="F1141" i="72"/>
  <c r="F1140" i="72"/>
  <c r="F1139" i="72"/>
  <c r="F1138" i="72"/>
  <c r="F1137" i="72"/>
  <c r="F1136" i="72"/>
  <c r="F1135" i="72"/>
  <c r="F1134" i="72"/>
  <c r="F1133" i="72"/>
  <c r="F1132" i="72"/>
  <c r="F1131" i="72"/>
  <c r="F1130" i="72"/>
  <c r="F1129" i="72"/>
  <c r="F1128" i="72"/>
  <c r="F1127" i="72"/>
  <c r="F1126" i="72"/>
  <c r="F1125" i="72"/>
  <c r="F1124" i="72"/>
  <c r="F1123" i="72"/>
  <c r="F1122" i="72"/>
  <c r="F1121" i="72"/>
  <c r="F1120" i="72"/>
  <c r="F1119" i="72"/>
  <c r="F1118" i="72"/>
  <c r="F1117" i="72"/>
  <c r="F1116" i="72"/>
  <c r="F1115" i="72"/>
  <c r="F1114" i="72"/>
  <c r="F1113" i="72"/>
  <c r="F1112" i="72"/>
  <c r="F1111" i="72"/>
  <c r="F1110" i="72"/>
  <c r="F1109" i="72"/>
  <c r="F1108" i="72"/>
  <c r="F1107" i="72"/>
  <c r="F1106" i="72"/>
  <c r="F1105" i="72"/>
  <c r="F1104" i="72"/>
  <c r="F1103" i="72"/>
  <c r="F1102" i="72"/>
  <c r="F1101" i="72"/>
  <c r="F1100" i="72"/>
  <c r="F1099" i="72"/>
  <c r="F1098" i="72"/>
  <c r="F1097" i="72"/>
  <c r="F1096" i="72"/>
  <c r="F1095" i="72"/>
  <c r="F1094" i="72"/>
  <c r="F1093" i="72"/>
  <c r="F1092" i="72"/>
  <c r="F1091" i="72"/>
  <c r="F1090" i="72"/>
  <c r="F1089" i="72"/>
  <c r="F1088" i="72"/>
  <c r="F1087" i="72"/>
  <c r="F1086" i="72"/>
  <c r="F1085" i="72"/>
  <c r="F1084" i="72"/>
  <c r="F1083" i="72"/>
  <c r="F1082" i="72"/>
  <c r="F1081" i="72"/>
  <c r="F1080" i="72"/>
  <c r="F1079" i="72"/>
  <c r="F1078" i="72"/>
  <c r="F1077" i="72"/>
  <c r="F1076" i="72"/>
  <c r="F1075" i="72"/>
  <c r="F1074" i="72"/>
  <c r="F1073" i="72"/>
  <c r="F1072" i="72"/>
  <c r="F1071" i="72"/>
  <c r="F1070" i="72"/>
  <c r="F1069" i="72"/>
  <c r="F1068" i="72"/>
  <c r="F1067" i="72"/>
  <c r="F1066" i="72"/>
  <c r="F1065" i="72"/>
  <c r="F1064" i="72"/>
  <c r="F1063" i="72"/>
  <c r="F1062" i="72"/>
  <c r="F1061" i="72"/>
  <c r="F1060" i="72"/>
  <c r="F1059" i="72"/>
  <c r="F1058" i="72"/>
  <c r="F1057" i="72"/>
  <c r="F1056" i="72"/>
  <c r="F1055" i="72"/>
  <c r="F1054" i="72"/>
  <c r="F1053" i="72"/>
  <c r="F1052" i="72"/>
  <c r="F1051" i="72"/>
  <c r="F1050" i="72"/>
  <c r="F1049" i="72"/>
  <c r="F1048" i="72"/>
  <c r="F1047" i="72"/>
  <c r="F1046" i="72"/>
  <c r="F1045" i="72"/>
  <c r="F1044" i="72"/>
  <c r="F1043" i="72"/>
  <c r="F1042" i="72"/>
  <c r="F1041" i="72"/>
  <c r="F1040" i="72"/>
  <c r="F1039" i="72"/>
  <c r="F1038" i="72"/>
  <c r="F1037" i="72"/>
  <c r="F1036" i="72"/>
  <c r="F1035" i="72"/>
  <c r="F1034" i="72"/>
  <c r="F1033" i="72"/>
  <c r="F1032" i="72"/>
  <c r="F1031" i="72"/>
  <c r="F1030" i="72"/>
  <c r="F1029" i="72"/>
  <c r="F1028" i="72"/>
  <c r="F1027" i="72"/>
  <c r="F1026" i="72"/>
  <c r="F1025" i="72"/>
  <c r="F1024" i="72"/>
  <c r="F1023" i="72"/>
  <c r="F1022" i="72"/>
  <c r="F1021" i="72"/>
  <c r="F1020" i="72"/>
  <c r="F1019" i="72"/>
  <c r="F1018" i="72"/>
  <c r="F1017" i="72"/>
  <c r="F1016" i="72"/>
  <c r="F1015" i="72"/>
  <c r="F1014" i="72"/>
  <c r="F1013" i="72"/>
  <c r="F1012" i="72"/>
  <c r="F1011" i="72"/>
  <c r="F1010" i="72"/>
  <c r="F1009" i="72"/>
  <c r="F1008" i="72"/>
  <c r="F1007" i="72"/>
  <c r="F1006" i="72"/>
  <c r="F1005" i="72"/>
  <c r="F1004" i="72"/>
  <c r="F1003" i="72"/>
  <c r="F1002" i="72"/>
  <c r="F1001" i="72"/>
  <c r="F1000" i="72"/>
  <c r="F999" i="72"/>
  <c r="F998" i="72"/>
  <c r="F997" i="72"/>
  <c r="F996" i="72"/>
  <c r="F995" i="72"/>
  <c r="F994" i="72"/>
  <c r="F993" i="72"/>
  <c r="F992" i="72"/>
  <c r="F991" i="72"/>
  <c r="F990" i="72"/>
  <c r="F989" i="72"/>
  <c r="F988" i="72"/>
  <c r="F987" i="72"/>
  <c r="F986" i="72"/>
  <c r="F985" i="72"/>
  <c r="F984" i="72"/>
  <c r="F983" i="72"/>
  <c r="F982" i="72"/>
  <c r="F981" i="72"/>
  <c r="F980" i="72"/>
  <c r="F979" i="72"/>
  <c r="F978" i="72"/>
  <c r="F977" i="72"/>
  <c r="F976" i="72"/>
  <c r="F975" i="72"/>
  <c r="F974" i="72"/>
  <c r="F973" i="72"/>
  <c r="F972" i="72"/>
  <c r="F971" i="72"/>
  <c r="F970" i="72"/>
  <c r="F969" i="72"/>
  <c r="F968" i="72"/>
  <c r="F967" i="72"/>
  <c r="F966" i="72"/>
  <c r="F965" i="72"/>
  <c r="F964" i="72"/>
  <c r="F963" i="72"/>
  <c r="F962" i="72"/>
  <c r="F961" i="72"/>
  <c r="F960" i="72"/>
  <c r="F959" i="72"/>
  <c r="F958" i="72"/>
  <c r="F957" i="72"/>
  <c r="F956" i="72"/>
  <c r="F955" i="72"/>
  <c r="F954" i="72"/>
  <c r="F953" i="72"/>
  <c r="F952" i="72"/>
  <c r="F951" i="72"/>
  <c r="F950" i="72"/>
  <c r="F949" i="72"/>
  <c r="F948" i="72"/>
  <c r="F947" i="72"/>
  <c r="F946" i="72"/>
  <c r="F945" i="72"/>
  <c r="F944" i="72"/>
  <c r="F943" i="72"/>
  <c r="F942" i="72"/>
  <c r="F941" i="72"/>
  <c r="F940" i="72"/>
  <c r="F939" i="72"/>
  <c r="F938" i="72"/>
  <c r="F937" i="72"/>
  <c r="F936" i="72"/>
  <c r="F935" i="72"/>
  <c r="F934" i="72"/>
  <c r="F933" i="72"/>
  <c r="F932" i="72"/>
  <c r="F931" i="72"/>
  <c r="F930" i="72"/>
  <c r="F929" i="72"/>
  <c r="F928" i="72"/>
  <c r="F927" i="72"/>
  <c r="F926" i="72"/>
  <c r="F925" i="72"/>
  <c r="F924" i="72"/>
  <c r="F923" i="72"/>
  <c r="F922" i="72"/>
  <c r="F921" i="72"/>
  <c r="F920" i="72"/>
  <c r="F919" i="72"/>
  <c r="F918" i="72"/>
  <c r="F917" i="72"/>
  <c r="F916" i="72"/>
  <c r="F915" i="72"/>
  <c r="F914" i="72"/>
  <c r="F913" i="72"/>
  <c r="F912" i="72"/>
  <c r="F911" i="72"/>
  <c r="F910" i="72"/>
  <c r="F909" i="72"/>
  <c r="F908" i="72"/>
  <c r="F907" i="72"/>
  <c r="F906" i="72"/>
  <c r="F905" i="72"/>
  <c r="F904" i="72"/>
  <c r="F903" i="72"/>
  <c r="F902" i="72"/>
  <c r="F901" i="72"/>
  <c r="F900" i="72"/>
  <c r="F899" i="72"/>
  <c r="F898" i="72"/>
  <c r="F897" i="72"/>
  <c r="F896" i="72"/>
  <c r="F895" i="72"/>
  <c r="F894" i="72"/>
  <c r="F893" i="72"/>
  <c r="F892" i="72"/>
  <c r="F891" i="72"/>
  <c r="F890" i="72"/>
  <c r="F889" i="72"/>
  <c r="F888" i="72"/>
  <c r="F887" i="72"/>
  <c r="F886" i="72"/>
  <c r="F885" i="72"/>
  <c r="F884" i="72"/>
  <c r="F883" i="72"/>
  <c r="F882" i="72"/>
  <c r="F881" i="72"/>
  <c r="F880" i="72"/>
  <c r="F879" i="72"/>
  <c r="F878" i="72"/>
  <c r="F877" i="72"/>
  <c r="F876" i="72"/>
  <c r="F875" i="72"/>
  <c r="F874" i="72"/>
  <c r="F873" i="72"/>
  <c r="F872" i="72"/>
  <c r="F871" i="72"/>
  <c r="F870" i="72"/>
  <c r="F869" i="72"/>
  <c r="F868" i="72"/>
  <c r="F867" i="72"/>
  <c r="F866" i="72"/>
  <c r="F865" i="72"/>
  <c r="F864" i="72"/>
  <c r="F863" i="72"/>
  <c r="F862" i="72"/>
  <c r="F861" i="72"/>
  <c r="F860" i="72"/>
  <c r="F859" i="72"/>
  <c r="F858" i="72"/>
  <c r="F857" i="72"/>
  <c r="F856" i="72"/>
  <c r="F855" i="72"/>
  <c r="F854" i="72"/>
  <c r="F853" i="72"/>
  <c r="F852" i="72"/>
  <c r="F851" i="72"/>
  <c r="F850" i="72"/>
  <c r="F849" i="72"/>
  <c r="F848" i="72"/>
  <c r="F847" i="72"/>
  <c r="F846" i="72"/>
  <c r="F845" i="72"/>
  <c r="F844" i="72"/>
  <c r="F843" i="72"/>
  <c r="F842" i="72"/>
  <c r="F841" i="72"/>
  <c r="F840" i="72"/>
  <c r="F839" i="72"/>
  <c r="F838" i="72"/>
  <c r="F837" i="72"/>
  <c r="F836" i="72"/>
  <c r="F835" i="72"/>
  <c r="F834" i="72"/>
  <c r="F833" i="72"/>
  <c r="F832" i="72"/>
  <c r="F831" i="72"/>
  <c r="F830" i="72"/>
  <c r="F829" i="72"/>
  <c r="F828" i="72"/>
  <c r="F827" i="72"/>
  <c r="F826" i="72"/>
  <c r="F825" i="72"/>
  <c r="F824" i="72"/>
  <c r="F823" i="72"/>
  <c r="F822" i="72"/>
  <c r="F821" i="72"/>
  <c r="F820" i="72"/>
  <c r="F819" i="72"/>
  <c r="F818" i="72"/>
  <c r="F817" i="72"/>
  <c r="F816" i="72"/>
  <c r="F815" i="72"/>
  <c r="F814" i="72"/>
  <c r="F813" i="72"/>
  <c r="F812" i="72"/>
  <c r="F811" i="72"/>
  <c r="F810" i="72"/>
  <c r="F809" i="72"/>
  <c r="F808" i="72"/>
  <c r="F807" i="72"/>
  <c r="F806" i="72"/>
  <c r="F805" i="72"/>
  <c r="F804" i="72"/>
  <c r="F803" i="72"/>
  <c r="F802" i="72"/>
  <c r="F801" i="72"/>
  <c r="F800" i="72"/>
  <c r="F799" i="72"/>
  <c r="F798" i="72"/>
  <c r="F797" i="72"/>
  <c r="F796" i="72"/>
  <c r="F795" i="72"/>
  <c r="F794" i="72"/>
  <c r="F793" i="72"/>
  <c r="F792" i="72"/>
  <c r="F791" i="72"/>
  <c r="F790" i="72"/>
  <c r="F789" i="72"/>
  <c r="F788" i="72"/>
  <c r="F787" i="72"/>
  <c r="F786" i="72"/>
  <c r="F785" i="72"/>
  <c r="F784" i="72"/>
  <c r="F783" i="72"/>
  <c r="F782" i="72"/>
  <c r="F781" i="72"/>
  <c r="F780" i="72"/>
  <c r="F779" i="72"/>
  <c r="F778" i="72"/>
  <c r="F777" i="72"/>
  <c r="F776" i="72"/>
  <c r="F775" i="72"/>
  <c r="F774" i="72"/>
  <c r="F773" i="72"/>
  <c r="F772" i="72"/>
  <c r="F771" i="72"/>
  <c r="F770" i="72"/>
  <c r="F769" i="72"/>
  <c r="F768" i="72"/>
  <c r="F767" i="72"/>
  <c r="F766" i="72"/>
  <c r="F765" i="72"/>
  <c r="F764" i="72"/>
  <c r="F763" i="72"/>
  <c r="F762" i="72"/>
  <c r="F761" i="72"/>
  <c r="F760" i="72"/>
  <c r="F759" i="72"/>
  <c r="F758" i="72"/>
  <c r="F757" i="72"/>
  <c r="F756" i="72"/>
  <c r="F755" i="72"/>
  <c r="F754" i="72"/>
  <c r="F753" i="72"/>
  <c r="F752" i="72"/>
  <c r="F751" i="72"/>
  <c r="F750" i="72"/>
  <c r="F749" i="72"/>
  <c r="F748" i="72"/>
  <c r="F747" i="72"/>
  <c r="F746" i="72"/>
  <c r="F745" i="72"/>
  <c r="F744" i="72"/>
  <c r="F743" i="72"/>
  <c r="F742" i="72"/>
  <c r="F741" i="72"/>
  <c r="F740" i="72"/>
  <c r="F739" i="72"/>
  <c r="F738" i="72"/>
  <c r="F737" i="72"/>
  <c r="F736" i="72"/>
  <c r="F735" i="72"/>
  <c r="F734" i="72"/>
  <c r="F733" i="72"/>
  <c r="F732" i="72"/>
  <c r="F731" i="72"/>
  <c r="F730" i="72"/>
  <c r="F729" i="72"/>
  <c r="F728" i="72"/>
  <c r="F727" i="72"/>
  <c r="F726" i="72"/>
  <c r="F725" i="72"/>
  <c r="F724" i="72"/>
  <c r="F723" i="72"/>
  <c r="F722" i="72"/>
  <c r="F721" i="72"/>
  <c r="F720" i="72"/>
  <c r="F719" i="72"/>
  <c r="F718" i="72"/>
  <c r="F717" i="72"/>
  <c r="F716" i="72"/>
  <c r="F715" i="72"/>
  <c r="F714" i="72"/>
  <c r="F713" i="72"/>
  <c r="F712" i="72"/>
  <c r="F711" i="72"/>
  <c r="F710" i="72"/>
  <c r="F709" i="72"/>
  <c r="F708" i="72"/>
  <c r="F707" i="72"/>
  <c r="F706" i="72"/>
  <c r="F705" i="72"/>
  <c r="F704" i="72"/>
  <c r="F703" i="72"/>
  <c r="F702" i="72"/>
  <c r="F701" i="72"/>
  <c r="F700" i="72"/>
  <c r="F699" i="72"/>
  <c r="F698" i="72"/>
  <c r="F697" i="72"/>
  <c r="F696" i="72"/>
  <c r="F695" i="72"/>
  <c r="F694" i="72"/>
  <c r="F693" i="72"/>
  <c r="F692" i="72"/>
  <c r="F691" i="72"/>
  <c r="F690" i="72"/>
  <c r="F689" i="72"/>
  <c r="F688" i="72"/>
  <c r="F687" i="72"/>
  <c r="F686" i="72"/>
  <c r="F685" i="72"/>
  <c r="F684" i="72"/>
  <c r="F683" i="72"/>
  <c r="F682" i="72"/>
  <c r="F681" i="72"/>
  <c r="F680" i="72"/>
  <c r="F679" i="72"/>
  <c r="F678" i="72"/>
  <c r="F677" i="72"/>
  <c r="F676" i="72"/>
  <c r="F675" i="72"/>
  <c r="F674" i="72"/>
  <c r="F673" i="72"/>
  <c r="F672" i="72"/>
  <c r="F671" i="72"/>
  <c r="F670" i="72"/>
  <c r="F669" i="72"/>
  <c r="F668" i="72"/>
  <c r="F667" i="72"/>
  <c r="F666" i="72"/>
  <c r="F665" i="72"/>
  <c r="F664" i="72"/>
  <c r="F663" i="72"/>
  <c r="F662" i="72"/>
  <c r="F661" i="72"/>
  <c r="F660" i="72"/>
  <c r="F659" i="72"/>
  <c r="F658" i="72"/>
  <c r="F657" i="72"/>
  <c r="F656" i="72"/>
  <c r="F655" i="72"/>
  <c r="F654" i="72"/>
  <c r="F653" i="72"/>
  <c r="F652" i="72"/>
  <c r="F651" i="72"/>
  <c r="F650" i="72"/>
  <c r="F649" i="72"/>
  <c r="F648" i="72"/>
  <c r="F647" i="72"/>
  <c r="F646" i="72"/>
  <c r="F645" i="72"/>
  <c r="F644" i="72"/>
  <c r="F643" i="72"/>
  <c r="F642" i="72"/>
  <c r="F641" i="72"/>
  <c r="F640" i="72"/>
  <c r="F639" i="72"/>
  <c r="F638" i="72"/>
  <c r="F637" i="72"/>
  <c r="F636" i="72"/>
  <c r="F635" i="72"/>
  <c r="F634" i="72"/>
  <c r="F633" i="72"/>
  <c r="F632" i="72"/>
  <c r="F631" i="72"/>
  <c r="F630" i="72"/>
  <c r="F629" i="72"/>
  <c r="F628" i="72"/>
  <c r="F627" i="72"/>
  <c r="F626" i="72"/>
  <c r="F625" i="72"/>
  <c r="F624" i="72"/>
  <c r="F623" i="72"/>
  <c r="F622" i="72"/>
  <c r="F621" i="72"/>
  <c r="F620" i="72"/>
  <c r="F619" i="72"/>
  <c r="F618" i="72"/>
  <c r="F617" i="72"/>
  <c r="F616" i="72"/>
  <c r="F615" i="72"/>
  <c r="F614" i="72"/>
  <c r="F613" i="72"/>
  <c r="F612" i="72"/>
  <c r="F611" i="72"/>
  <c r="F610" i="72"/>
  <c r="F609" i="72"/>
  <c r="F608" i="72"/>
  <c r="F607" i="72"/>
  <c r="F606" i="72"/>
  <c r="F605" i="72"/>
  <c r="F604" i="72"/>
  <c r="F603" i="72"/>
  <c r="F602" i="72"/>
  <c r="F601" i="72"/>
  <c r="F600" i="72"/>
  <c r="F599" i="72"/>
  <c r="F598" i="72"/>
  <c r="F597" i="72"/>
  <c r="F596" i="72"/>
  <c r="F595" i="72"/>
  <c r="F594" i="72"/>
  <c r="F593" i="72"/>
  <c r="F592" i="72"/>
  <c r="F591" i="72"/>
  <c r="F590" i="72"/>
  <c r="F589" i="72"/>
  <c r="F588" i="72"/>
  <c r="F587" i="72"/>
  <c r="F586" i="72"/>
  <c r="F585" i="72"/>
  <c r="F584" i="72"/>
  <c r="F583" i="72"/>
  <c r="F582" i="72"/>
  <c r="F581" i="72"/>
  <c r="F580" i="72"/>
  <c r="F579" i="72"/>
  <c r="F578" i="72"/>
  <c r="F577" i="72"/>
  <c r="F576" i="72"/>
  <c r="F575" i="72"/>
  <c r="F574" i="72"/>
  <c r="F573" i="72"/>
  <c r="F572" i="72"/>
  <c r="F571" i="72"/>
  <c r="F570" i="72"/>
  <c r="F569" i="72"/>
  <c r="F568" i="72"/>
  <c r="F567" i="72"/>
  <c r="F566" i="72"/>
  <c r="F565" i="72"/>
  <c r="F564" i="72"/>
  <c r="F563" i="72"/>
  <c r="F562" i="72"/>
  <c r="F561" i="72"/>
  <c r="F560" i="72"/>
  <c r="F559" i="72"/>
  <c r="F558" i="72"/>
  <c r="F557" i="72"/>
  <c r="F556" i="72"/>
  <c r="F555" i="72"/>
  <c r="F554" i="72"/>
  <c r="F553" i="72"/>
  <c r="F552" i="72"/>
  <c r="F551" i="72"/>
  <c r="F550" i="72"/>
  <c r="F549" i="72"/>
  <c r="F548" i="72"/>
  <c r="F547" i="72"/>
  <c r="F546" i="72"/>
  <c r="F545" i="72"/>
  <c r="F544" i="72"/>
  <c r="F543" i="72"/>
  <c r="F542" i="72"/>
  <c r="F541" i="72"/>
  <c r="F540" i="72"/>
  <c r="F539" i="72"/>
  <c r="F538" i="72"/>
  <c r="F537" i="72"/>
  <c r="F536" i="72"/>
  <c r="F535" i="72"/>
  <c r="F534" i="72"/>
  <c r="F533" i="72"/>
  <c r="F532" i="72"/>
  <c r="F531" i="72"/>
  <c r="F530" i="72"/>
  <c r="F529" i="72"/>
  <c r="F528" i="72"/>
  <c r="F527" i="72"/>
  <c r="F526" i="72"/>
  <c r="F525" i="72"/>
  <c r="F524" i="72"/>
  <c r="F523" i="72"/>
  <c r="F522" i="72"/>
  <c r="F521" i="72"/>
  <c r="F520" i="72"/>
  <c r="F519" i="72"/>
  <c r="F518" i="72"/>
  <c r="F517" i="72"/>
  <c r="F516" i="72"/>
  <c r="F515" i="72"/>
  <c r="F514" i="72"/>
  <c r="F513" i="72"/>
  <c r="F512" i="72"/>
  <c r="F511" i="72"/>
  <c r="F510" i="72"/>
  <c r="F509" i="72"/>
  <c r="F508" i="72"/>
  <c r="F507" i="72"/>
  <c r="F506" i="72"/>
  <c r="F505" i="72"/>
  <c r="F504" i="72"/>
  <c r="F503" i="72"/>
  <c r="F502" i="72"/>
  <c r="F501" i="72"/>
  <c r="F500" i="72"/>
  <c r="F499" i="72"/>
  <c r="F498" i="72"/>
  <c r="F497" i="72"/>
  <c r="F496" i="72"/>
  <c r="F495" i="72"/>
  <c r="F494" i="72"/>
  <c r="F493" i="72"/>
  <c r="F492" i="72"/>
  <c r="F491" i="72"/>
  <c r="F490" i="72"/>
  <c r="F489" i="72"/>
  <c r="F488" i="72"/>
  <c r="F487" i="72"/>
  <c r="F486" i="72"/>
  <c r="F485" i="72"/>
  <c r="F484" i="72"/>
  <c r="F483" i="72"/>
  <c r="F482" i="72"/>
  <c r="F481" i="72"/>
  <c r="F480" i="72"/>
  <c r="F479" i="72"/>
  <c r="F478" i="72"/>
  <c r="F477" i="72"/>
  <c r="F476" i="72"/>
  <c r="F475" i="72"/>
  <c r="F474" i="72"/>
  <c r="F473" i="72"/>
  <c r="F472" i="72"/>
  <c r="F471" i="72"/>
  <c r="F470" i="72"/>
  <c r="F469" i="72"/>
  <c r="F468" i="72"/>
  <c r="F467" i="72"/>
  <c r="F466" i="72"/>
  <c r="F465" i="72"/>
  <c r="F464" i="72"/>
  <c r="F463" i="72"/>
  <c r="F462" i="72"/>
  <c r="F461" i="72"/>
  <c r="F460" i="72"/>
  <c r="F459" i="72"/>
  <c r="F458" i="72"/>
  <c r="F457" i="72"/>
  <c r="F456" i="72"/>
  <c r="F455" i="72"/>
  <c r="F454" i="72"/>
  <c r="F453" i="72"/>
  <c r="F452" i="72"/>
  <c r="F451" i="72"/>
  <c r="F450" i="72"/>
  <c r="F449" i="72"/>
  <c r="F448" i="72"/>
  <c r="F447" i="72"/>
  <c r="F446" i="72"/>
  <c r="F445" i="72"/>
  <c r="F444" i="72"/>
  <c r="F443" i="72"/>
  <c r="F442" i="72"/>
  <c r="F441" i="72"/>
  <c r="F440" i="72"/>
  <c r="F439" i="72"/>
  <c r="F438" i="72"/>
  <c r="F437" i="72"/>
  <c r="F436" i="72"/>
  <c r="F435" i="72"/>
  <c r="F434" i="72"/>
  <c r="F433" i="72"/>
  <c r="F432" i="72"/>
  <c r="F431" i="72"/>
  <c r="F430" i="72"/>
  <c r="F429" i="72"/>
  <c r="F428" i="72"/>
  <c r="F427" i="72"/>
  <c r="F426" i="72"/>
  <c r="F425" i="72"/>
  <c r="F424" i="72"/>
  <c r="F423" i="72"/>
  <c r="F422" i="72"/>
  <c r="F421" i="72"/>
  <c r="F420" i="72"/>
  <c r="F419" i="72"/>
  <c r="F418" i="72"/>
  <c r="F417" i="72"/>
  <c r="F416" i="72"/>
  <c r="F415" i="72"/>
  <c r="F414" i="72"/>
  <c r="F413" i="72"/>
  <c r="F412" i="72"/>
  <c r="F411" i="72"/>
  <c r="F410" i="72"/>
  <c r="F409" i="72"/>
  <c r="F408" i="72"/>
  <c r="F407" i="72"/>
  <c r="F406" i="72"/>
  <c r="F405" i="72"/>
  <c r="F404" i="72"/>
  <c r="F403" i="72"/>
  <c r="F402" i="72"/>
  <c r="F401" i="72"/>
  <c r="F400" i="72"/>
  <c r="F399" i="72"/>
  <c r="F398" i="72"/>
  <c r="F397" i="72"/>
  <c r="F396" i="72"/>
  <c r="F395" i="72"/>
  <c r="F394" i="72"/>
  <c r="F393" i="72"/>
  <c r="F392" i="72"/>
  <c r="F391" i="72"/>
  <c r="F390" i="72"/>
  <c r="F389" i="72"/>
  <c r="F388" i="72"/>
  <c r="F387" i="72"/>
  <c r="F386" i="72"/>
  <c r="F385" i="72"/>
  <c r="F384" i="72"/>
  <c r="F383" i="72"/>
  <c r="F382" i="72"/>
  <c r="F381" i="72"/>
  <c r="F380" i="72"/>
  <c r="F379" i="72"/>
  <c r="F378" i="72"/>
  <c r="F377" i="72"/>
  <c r="F376" i="72"/>
  <c r="F375" i="72"/>
  <c r="F374" i="72"/>
  <c r="F373" i="72"/>
  <c r="F372" i="72"/>
  <c r="F371" i="72"/>
  <c r="F370" i="72"/>
  <c r="F369" i="72"/>
  <c r="F368" i="72"/>
  <c r="F367" i="72"/>
  <c r="F366" i="72"/>
  <c r="F365" i="72"/>
  <c r="F364" i="72"/>
  <c r="F363" i="72"/>
  <c r="F362" i="72"/>
  <c r="F361" i="72"/>
  <c r="F360" i="72"/>
  <c r="F359" i="72"/>
  <c r="F358" i="72"/>
  <c r="F357" i="72"/>
  <c r="F356" i="72"/>
  <c r="F355" i="72"/>
  <c r="F354" i="72"/>
  <c r="F353" i="72"/>
  <c r="F352" i="72"/>
  <c r="F351" i="72"/>
  <c r="F350" i="72"/>
  <c r="F349" i="72"/>
  <c r="F348" i="72"/>
  <c r="F347" i="72"/>
  <c r="F346" i="72"/>
  <c r="F345" i="72"/>
  <c r="F344" i="72"/>
  <c r="F343" i="72"/>
  <c r="F342" i="72"/>
  <c r="F341" i="72"/>
  <c r="F340" i="72"/>
  <c r="F339" i="72"/>
  <c r="F338" i="72"/>
  <c r="F337" i="72"/>
  <c r="F336" i="72"/>
  <c r="F335" i="72"/>
  <c r="F334" i="72"/>
  <c r="F333" i="72"/>
  <c r="F332" i="72"/>
  <c r="F331" i="72"/>
  <c r="F330" i="72"/>
  <c r="F329" i="72"/>
  <c r="F328" i="72"/>
  <c r="F327" i="72"/>
  <c r="F326" i="72"/>
  <c r="F325" i="72"/>
  <c r="F324" i="72"/>
  <c r="F323" i="72"/>
  <c r="F322" i="72"/>
  <c r="F321" i="72"/>
  <c r="F320" i="72"/>
  <c r="F319" i="72"/>
  <c r="F318" i="72"/>
  <c r="F317" i="72"/>
  <c r="F316" i="72"/>
  <c r="F315" i="72"/>
  <c r="F314" i="72"/>
  <c r="F313" i="72"/>
  <c r="F312" i="72"/>
  <c r="F311" i="72"/>
  <c r="F310" i="72"/>
  <c r="F309" i="72"/>
  <c r="F308" i="72"/>
  <c r="F307" i="72"/>
  <c r="F306" i="72"/>
  <c r="F305" i="72"/>
  <c r="F304" i="72"/>
  <c r="F303" i="72"/>
  <c r="F302" i="72"/>
  <c r="F301" i="72"/>
  <c r="F300" i="72"/>
  <c r="F299" i="72"/>
  <c r="F298" i="72"/>
  <c r="F297" i="72"/>
  <c r="F296" i="72"/>
  <c r="F295" i="72"/>
  <c r="F294" i="72"/>
  <c r="F293" i="72"/>
  <c r="F292" i="72"/>
  <c r="F291" i="72"/>
  <c r="F290" i="72"/>
  <c r="F289" i="72"/>
  <c r="F288" i="72"/>
  <c r="F287" i="72"/>
  <c r="F286" i="72"/>
  <c r="F285" i="72"/>
  <c r="F284" i="72"/>
  <c r="F283" i="72"/>
  <c r="F282" i="72"/>
  <c r="F281" i="72"/>
  <c r="F280" i="72"/>
  <c r="F279" i="72"/>
  <c r="F278" i="72"/>
  <c r="F277" i="72"/>
  <c r="F276" i="72"/>
  <c r="F275" i="72"/>
  <c r="F274" i="72"/>
  <c r="F273" i="72"/>
  <c r="F272" i="72"/>
  <c r="F271" i="72"/>
  <c r="F270" i="72"/>
  <c r="F269" i="72"/>
  <c r="F268" i="72"/>
  <c r="F267" i="72"/>
  <c r="F266" i="72"/>
  <c r="F265" i="72"/>
  <c r="F264" i="72"/>
  <c r="F263" i="72"/>
  <c r="F262" i="72"/>
  <c r="F261" i="72"/>
  <c r="F260" i="72"/>
  <c r="F259" i="72"/>
  <c r="F258" i="72"/>
  <c r="F257" i="72"/>
  <c r="F256" i="72"/>
  <c r="F255" i="72"/>
  <c r="F254" i="72"/>
  <c r="F253" i="72"/>
  <c r="F252" i="72"/>
  <c r="F251" i="72"/>
  <c r="F250" i="72"/>
  <c r="F249" i="72"/>
  <c r="F248" i="72"/>
  <c r="F247" i="72"/>
  <c r="F246" i="72"/>
  <c r="F245" i="72"/>
  <c r="F244" i="72"/>
  <c r="F243" i="72"/>
  <c r="F242" i="72"/>
  <c r="F241" i="72"/>
  <c r="F240" i="72"/>
  <c r="F239" i="72"/>
  <c r="F238" i="72"/>
  <c r="F237" i="72"/>
  <c r="F236" i="72"/>
  <c r="F235" i="72"/>
  <c r="F234" i="72"/>
  <c r="F233" i="72"/>
  <c r="F232" i="72"/>
  <c r="F231" i="72"/>
  <c r="F230" i="72"/>
  <c r="F229" i="72"/>
  <c r="F228" i="72"/>
  <c r="F227" i="72"/>
  <c r="F226" i="72"/>
  <c r="F225" i="72"/>
  <c r="F224" i="72"/>
  <c r="F223" i="72"/>
  <c r="F222" i="72"/>
  <c r="F221" i="72"/>
  <c r="F220" i="72"/>
  <c r="F219" i="72"/>
  <c r="F218" i="72"/>
  <c r="F217" i="72"/>
  <c r="F216" i="72"/>
  <c r="F215" i="72"/>
  <c r="F214" i="72"/>
  <c r="F213" i="72"/>
  <c r="F212" i="72"/>
  <c r="F211" i="72"/>
  <c r="F210" i="72"/>
  <c r="F209" i="72"/>
  <c r="F208" i="72"/>
  <c r="F207" i="72"/>
  <c r="F206" i="72"/>
  <c r="F205" i="72"/>
  <c r="F204" i="72"/>
  <c r="F203" i="72"/>
  <c r="F202" i="72"/>
  <c r="F201" i="72"/>
  <c r="F200" i="72"/>
  <c r="F199" i="72"/>
  <c r="F198" i="72"/>
  <c r="F197" i="72"/>
  <c r="F196" i="72"/>
  <c r="F195" i="72"/>
  <c r="F194" i="72"/>
  <c r="F193" i="72"/>
  <c r="F192" i="72"/>
  <c r="F191" i="72"/>
  <c r="F190" i="72"/>
  <c r="F189" i="72"/>
  <c r="F188" i="72"/>
  <c r="F187" i="72"/>
  <c r="F186" i="72"/>
  <c r="F185" i="72"/>
  <c r="F184" i="72"/>
  <c r="F183" i="72"/>
  <c r="F182" i="72"/>
  <c r="F181" i="72"/>
  <c r="F180" i="72"/>
  <c r="F179" i="72"/>
  <c r="F178" i="72"/>
  <c r="F177" i="72"/>
  <c r="F176" i="72"/>
  <c r="F175" i="72"/>
  <c r="F174" i="72"/>
  <c r="F173" i="72"/>
  <c r="F172" i="72"/>
  <c r="F171" i="72"/>
  <c r="F170" i="72"/>
  <c r="F169" i="72"/>
  <c r="F168" i="72"/>
  <c r="F167" i="72"/>
  <c r="F166" i="72"/>
  <c r="F165" i="72"/>
  <c r="F164" i="72"/>
  <c r="F163" i="72"/>
  <c r="F162" i="72"/>
  <c r="F161" i="72"/>
  <c r="F160" i="72"/>
  <c r="F159" i="72"/>
  <c r="F158" i="72"/>
  <c r="F157" i="72"/>
  <c r="F156" i="72"/>
  <c r="F155" i="72"/>
  <c r="F154" i="72"/>
  <c r="F153" i="72"/>
  <c r="F152" i="72"/>
  <c r="F151" i="72"/>
  <c r="F150" i="72"/>
  <c r="F149" i="72"/>
  <c r="F148" i="72"/>
  <c r="F147" i="72"/>
  <c r="F146" i="72"/>
  <c r="F145" i="72"/>
  <c r="F144" i="72"/>
  <c r="F143" i="72"/>
  <c r="F142" i="72"/>
  <c r="F141" i="72"/>
  <c r="F140" i="72"/>
  <c r="F139" i="72"/>
  <c r="F138" i="72"/>
  <c r="F137" i="72"/>
  <c r="F136" i="72"/>
  <c r="F135" i="72"/>
  <c r="F134" i="72"/>
  <c r="F133" i="72"/>
  <c r="F132" i="72"/>
  <c r="F131" i="72"/>
  <c r="F130" i="72"/>
  <c r="F129" i="72"/>
  <c r="F128" i="72"/>
  <c r="F127" i="72"/>
  <c r="F126" i="72"/>
  <c r="F125" i="72"/>
  <c r="F124" i="72"/>
  <c r="F123" i="72"/>
  <c r="F122" i="72"/>
  <c r="F121" i="72"/>
  <c r="F120" i="72"/>
  <c r="F119" i="72"/>
  <c r="F118" i="72"/>
  <c r="F117" i="72"/>
  <c r="F116" i="72"/>
  <c r="F115" i="72"/>
  <c r="F114" i="72"/>
  <c r="F113" i="72"/>
  <c r="F112" i="72"/>
  <c r="F111" i="72"/>
  <c r="F110" i="72"/>
  <c r="F109" i="72"/>
  <c r="F108" i="72"/>
  <c r="F107" i="72"/>
  <c r="F106" i="72"/>
  <c r="F105" i="72"/>
  <c r="F104" i="72"/>
  <c r="F103" i="72"/>
  <c r="F102" i="72"/>
  <c r="F101" i="72"/>
  <c r="F100" i="72"/>
  <c r="F99" i="72"/>
  <c r="F98" i="72"/>
  <c r="F97" i="72"/>
  <c r="F96" i="72"/>
  <c r="F95" i="72"/>
  <c r="F94" i="72"/>
  <c r="F93" i="72"/>
  <c r="F92" i="72"/>
  <c r="F91" i="72"/>
  <c r="F90" i="72"/>
  <c r="F89" i="72"/>
  <c r="F88" i="72"/>
  <c r="F87" i="72"/>
  <c r="F86" i="72"/>
  <c r="F85" i="72"/>
  <c r="F84" i="72"/>
  <c r="F83" i="72"/>
  <c r="F82" i="72"/>
  <c r="F81" i="72"/>
  <c r="F80" i="72"/>
  <c r="F79" i="72"/>
  <c r="F78" i="72"/>
  <c r="F77" i="72"/>
  <c r="F76" i="72"/>
  <c r="F75" i="72"/>
  <c r="F74" i="72"/>
  <c r="F73" i="72"/>
  <c r="F72" i="72"/>
  <c r="F71" i="72"/>
  <c r="F70" i="72"/>
  <c r="F69" i="72"/>
  <c r="F68" i="72"/>
  <c r="F67" i="72"/>
  <c r="F66" i="72"/>
  <c r="F65" i="72"/>
  <c r="F64" i="72"/>
  <c r="F63" i="72"/>
  <c r="F62" i="72"/>
  <c r="F61" i="72"/>
  <c r="F60" i="72"/>
  <c r="F59" i="72"/>
  <c r="F58" i="72"/>
  <c r="F57" i="72"/>
  <c r="F56" i="72"/>
  <c r="F55" i="72"/>
  <c r="F54" i="72"/>
  <c r="F53" i="72"/>
  <c r="F52" i="72"/>
  <c r="F51" i="72"/>
  <c r="F50" i="72"/>
  <c r="F49" i="72"/>
  <c r="F48" i="72"/>
  <c r="F47" i="72"/>
  <c r="F46" i="72"/>
  <c r="F45" i="72"/>
  <c r="F44" i="72"/>
  <c r="F43" i="72"/>
  <c r="F42" i="72"/>
  <c r="F41" i="72"/>
  <c r="F40" i="72"/>
  <c r="F39" i="72"/>
  <c r="F38" i="72"/>
  <c r="F37" i="72"/>
  <c r="F36" i="72"/>
  <c r="F35" i="72"/>
  <c r="F34" i="72"/>
  <c r="F33" i="72"/>
  <c r="F32" i="72"/>
  <c r="F31" i="72"/>
  <c r="F30" i="72"/>
  <c r="F29" i="72"/>
  <c r="F28" i="72"/>
  <c r="F27" i="72"/>
  <c r="F26" i="72"/>
  <c r="F25" i="72"/>
  <c r="F24" i="72"/>
  <c r="F23" i="72"/>
  <c r="F22" i="72"/>
  <c r="F21" i="72"/>
  <c r="F20" i="72"/>
  <c r="F19" i="72"/>
  <c r="F18" i="72"/>
  <c r="F17" i="72"/>
  <c r="F16" i="72"/>
  <c r="F15" i="72"/>
  <c r="F14" i="72"/>
  <c r="F13" i="72"/>
  <c r="F12" i="72"/>
  <c r="F11" i="72"/>
  <c r="F10" i="72"/>
  <c r="F9" i="72"/>
  <c r="F8" i="72"/>
  <c r="T494" i="65" l="1"/>
  <c r="T492" i="65" l="1"/>
  <c r="B491" i="65"/>
  <c r="T491" i="65"/>
  <c r="T490" i="65"/>
  <c r="T489" i="65"/>
  <c r="T488" i="65"/>
  <c r="T487" i="65"/>
  <c r="T486" i="65"/>
  <c r="T89" i="62" l="1"/>
  <c r="R89" i="62" s="1"/>
  <c r="T127" i="62" l="1"/>
  <c r="R127" i="62" s="1"/>
  <c r="T77" i="62" l="1"/>
  <c r="R77" i="62" s="1"/>
  <c r="T125" i="62"/>
  <c r="R125" i="62" s="1"/>
  <c r="T138" i="62" l="1"/>
  <c r="R138" i="62" s="1"/>
  <c r="T116" i="62" l="1"/>
  <c r="R116" i="62" s="1"/>
  <c r="T37" i="62"/>
  <c r="R37" i="62" s="1"/>
  <c r="T45" i="62"/>
  <c r="R45" i="62" s="1"/>
  <c r="T79" i="62"/>
  <c r="R79" i="62" s="1"/>
  <c r="B8" i="64" l="1"/>
  <c r="B9" i="64" s="1"/>
  <c r="B10" i="64" s="1"/>
  <c r="B11" i="64" s="1"/>
  <c r="B12" i="64" s="1"/>
  <c r="B13" i="64" s="1"/>
  <c r="B14" i="64" s="1"/>
  <c r="B15" i="64" s="1"/>
  <c r="B16" i="64" s="1"/>
  <c r="B493" i="65" s="1"/>
  <c r="B8" i="62"/>
  <c r="B9" i="62" s="1"/>
  <c r="B10" i="62" s="1"/>
  <c r="B11" i="62" s="1"/>
  <c r="B12" i="62" s="1"/>
  <c r="B13" i="62" s="1"/>
  <c r="B14" i="62" s="1"/>
  <c r="B15" i="62" s="1"/>
  <c r="B16" i="62" s="1"/>
  <c r="B17" i="62" s="1"/>
  <c r="B18" i="62" s="1"/>
  <c r="B19" i="62" s="1"/>
  <c r="B20" i="62" s="1"/>
  <c r="B21" i="62" s="1"/>
  <c r="B22" i="62" s="1"/>
  <c r="B23" i="62" s="1"/>
  <c r="B24" i="62" s="1"/>
  <c r="B25" i="62" s="1"/>
  <c r="B26" i="62" s="1"/>
  <c r="B27" i="62" s="1"/>
  <c r="B486" i="65" l="1"/>
  <c r="B28" i="62" s="1"/>
  <c r="B29" i="62" s="1"/>
  <c r="B30" i="62" s="1"/>
  <c r="B31" i="62" s="1"/>
  <c r="B32" i="62" s="1"/>
  <c r="B18" i="64"/>
  <c r="B19" i="64" s="1"/>
  <c r="B20" i="64" s="1"/>
  <c r="B21" i="64" s="1"/>
  <c r="B22" i="64" s="1"/>
  <c r="B23" i="64" s="1"/>
  <c r="B24" i="64" s="1"/>
  <c r="B25" i="64" s="1"/>
  <c r="B26" i="64" s="1"/>
  <c r="B27" i="64" s="1"/>
  <c r="B17" i="64"/>
  <c r="T155" i="62"/>
  <c r="R155" i="62" s="1"/>
  <c r="T154" i="62"/>
  <c r="R154" i="62" s="1"/>
  <c r="T153" i="62"/>
  <c r="R153" i="62" s="1"/>
  <c r="T149" i="62"/>
  <c r="R149" i="62" s="1"/>
  <c r="T152" i="62"/>
  <c r="R152" i="62" s="1"/>
  <c r="T148" i="62"/>
  <c r="R148" i="62" s="1"/>
  <c r="T151" i="62"/>
  <c r="R151" i="62" s="1"/>
  <c r="T150" i="62"/>
  <c r="R150" i="62" s="1"/>
  <c r="T147" i="62"/>
  <c r="R147" i="62" s="1"/>
  <c r="T142" i="62"/>
  <c r="R142" i="62" s="1"/>
  <c r="T145" i="62"/>
  <c r="R145" i="62" s="1"/>
  <c r="T144" i="62"/>
  <c r="R144" i="62" s="1"/>
  <c r="T143" i="62"/>
  <c r="R143" i="62" s="1"/>
  <c r="T140" i="62"/>
  <c r="R140" i="62" s="1"/>
  <c r="T141" i="62"/>
  <c r="R141" i="62" s="1"/>
  <c r="T146" i="62"/>
  <c r="R146" i="62" s="1"/>
  <c r="T137" i="62"/>
  <c r="R137" i="62" s="1"/>
  <c r="T136" i="62"/>
  <c r="R136" i="62" s="1"/>
  <c r="T139" i="62"/>
  <c r="R139" i="62" s="1"/>
  <c r="T135" i="62"/>
  <c r="R135" i="62" s="1"/>
  <c r="T134" i="62"/>
  <c r="R134" i="62" s="1"/>
  <c r="T133" i="62"/>
  <c r="R133" i="62" s="1"/>
  <c r="T132" i="62"/>
  <c r="R132" i="62" s="1"/>
  <c r="T130" i="62"/>
  <c r="R130" i="62" s="1"/>
  <c r="T129" i="62"/>
  <c r="R129" i="62" s="1"/>
  <c r="T131" i="62"/>
  <c r="R131" i="62" s="1"/>
  <c r="T38" i="62"/>
  <c r="R38" i="62" s="1"/>
  <c r="T128" i="62"/>
  <c r="R128" i="62" s="1"/>
  <c r="T126" i="62"/>
  <c r="R126" i="62" s="1"/>
  <c r="T124" i="62"/>
  <c r="R124" i="62" s="1"/>
  <c r="T122" i="62"/>
  <c r="R122" i="62" s="1"/>
  <c r="T123" i="62"/>
  <c r="R123" i="62" s="1"/>
  <c r="T121" i="62"/>
  <c r="R121" i="62" s="1"/>
  <c r="T120" i="62"/>
  <c r="R120" i="62" s="1"/>
  <c r="T105" i="62"/>
  <c r="R105" i="62" s="1"/>
  <c r="T109" i="62"/>
  <c r="R109" i="62" s="1"/>
  <c r="T118" i="62"/>
  <c r="R118" i="62" s="1"/>
  <c r="T119" i="62"/>
  <c r="R119" i="62" s="1"/>
  <c r="T115" i="62"/>
  <c r="R115" i="62" s="1"/>
  <c r="T117" i="62"/>
  <c r="R117" i="62" s="1"/>
  <c r="T108" i="62"/>
  <c r="R108" i="62" s="1"/>
  <c r="T111" i="62"/>
  <c r="R111" i="62" s="1"/>
  <c r="T114" i="62"/>
  <c r="R114" i="62" s="1"/>
  <c r="T110" i="62"/>
  <c r="R110" i="62" s="1"/>
  <c r="T113" i="62"/>
  <c r="R113" i="62" s="1"/>
  <c r="T112" i="62"/>
  <c r="R112" i="62" s="1"/>
  <c r="T107" i="62"/>
  <c r="R107" i="62" s="1"/>
  <c r="T106" i="62"/>
  <c r="R106" i="62" s="1"/>
  <c r="T103" i="62"/>
  <c r="R103" i="62" s="1"/>
  <c r="T104" i="62"/>
  <c r="R104" i="62" s="1"/>
  <c r="T101" i="62"/>
  <c r="R101" i="62" s="1"/>
  <c r="T100" i="62"/>
  <c r="R100" i="62" s="1"/>
  <c r="T99" i="62"/>
  <c r="R99" i="62" s="1"/>
  <c r="T98" i="62"/>
  <c r="R98" i="62" s="1"/>
  <c r="T102" i="62"/>
  <c r="R102" i="62" s="1"/>
  <c r="T97" i="62"/>
  <c r="R97" i="62" s="1"/>
  <c r="T96" i="62"/>
  <c r="R96" i="62" s="1"/>
  <c r="T95" i="62"/>
  <c r="R95" i="62" s="1"/>
  <c r="T94" i="62"/>
  <c r="R94" i="62" s="1"/>
  <c r="T93" i="62"/>
  <c r="R93" i="62" s="1"/>
  <c r="T91" i="62"/>
  <c r="R91" i="62" s="1"/>
  <c r="T90" i="62"/>
  <c r="R90" i="62" s="1"/>
  <c r="T92" i="62"/>
  <c r="R92" i="62" s="1"/>
  <c r="T88" i="62"/>
  <c r="R88" i="62" s="1"/>
  <c r="T87" i="62"/>
  <c r="R87" i="62" s="1"/>
  <c r="T86" i="62"/>
  <c r="R86" i="62" s="1"/>
  <c r="T84" i="62"/>
  <c r="R84" i="62" s="1"/>
  <c r="T85" i="62"/>
  <c r="R85" i="62" s="1"/>
  <c r="T75" i="62"/>
  <c r="R75" i="62" s="1"/>
  <c r="T83" i="62"/>
  <c r="R83" i="62" s="1"/>
  <c r="T82" i="62"/>
  <c r="R82" i="62" s="1"/>
  <c r="T81" i="62"/>
  <c r="R81" i="62" s="1"/>
  <c r="T80" i="62"/>
  <c r="R80" i="62" s="1"/>
  <c r="T76" i="62"/>
  <c r="R76" i="62" s="1"/>
  <c r="T74" i="62"/>
  <c r="R74" i="62" s="1"/>
  <c r="T73" i="62"/>
  <c r="R73" i="62" s="1"/>
  <c r="T72" i="62"/>
  <c r="R72" i="62" s="1"/>
  <c r="T78" i="62"/>
  <c r="R78" i="62" s="1"/>
  <c r="T67" i="62"/>
  <c r="R67" i="62" s="1"/>
  <c r="T71" i="62"/>
  <c r="R71" i="62" s="1"/>
  <c r="T70" i="62"/>
  <c r="R70" i="62" s="1"/>
  <c r="T69" i="62"/>
  <c r="R69" i="62" s="1"/>
  <c r="T68" i="62"/>
  <c r="R68" i="62" s="1"/>
  <c r="T35" i="62"/>
  <c r="R35" i="62" s="1"/>
  <c r="T66" i="62"/>
  <c r="R66" i="62" s="1"/>
  <c r="T65" i="62"/>
  <c r="R65" i="62" s="1"/>
  <c r="T56" i="62"/>
  <c r="R56" i="62" s="1"/>
  <c r="T50" i="62"/>
  <c r="R50" i="62" s="1"/>
  <c r="T62" i="62"/>
  <c r="R62" i="62" s="1"/>
  <c r="T55" i="62"/>
  <c r="R55" i="62" s="1"/>
  <c r="T54" i="62"/>
  <c r="R54" i="62" s="1"/>
  <c r="T61" i="62"/>
  <c r="R61" i="62" s="1"/>
  <c r="T58" i="62"/>
  <c r="R58" i="62" s="1"/>
  <c r="T60" i="62"/>
  <c r="R60" i="62" s="1"/>
  <c r="T44" i="62"/>
  <c r="R44" i="62" s="1"/>
  <c r="T57" i="62"/>
  <c r="R57" i="62" s="1"/>
  <c r="T53" i="62"/>
  <c r="R53" i="62" s="1"/>
  <c r="T52" i="62"/>
  <c r="R52" i="62" s="1"/>
  <c r="T51" i="62"/>
  <c r="R51" i="62" s="1"/>
  <c r="T63" i="62"/>
  <c r="R63" i="62" s="1"/>
  <c r="T49" i="62"/>
  <c r="R49" i="62" s="1"/>
  <c r="T48" i="62"/>
  <c r="R48" i="62" s="1"/>
  <c r="T59" i="62"/>
  <c r="R59" i="62" s="1"/>
  <c r="T43" i="62"/>
  <c r="R43" i="62" s="1"/>
  <c r="T42" i="62"/>
  <c r="R42" i="62" s="1"/>
  <c r="T41" i="62"/>
  <c r="R41" i="62" s="1"/>
  <c r="T40" i="62"/>
  <c r="R40" i="62" s="1"/>
  <c r="T39" i="62"/>
  <c r="R39" i="62" s="1"/>
  <c r="T64" i="62"/>
  <c r="R64" i="62" s="1"/>
  <c r="T34" i="62"/>
  <c r="R34" i="62" s="1"/>
  <c r="T36" i="62"/>
  <c r="R36" i="62" s="1"/>
  <c r="T33" i="62"/>
  <c r="R33" i="62" s="1"/>
  <c r="T32" i="62"/>
  <c r="R32" i="62" s="1"/>
  <c r="T31" i="62"/>
  <c r="R31" i="62" s="1"/>
  <c r="T30" i="62"/>
  <c r="R30" i="62" s="1"/>
  <c r="T29" i="62"/>
  <c r="R29" i="62" s="1"/>
  <c r="T28" i="62"/>
  <c r="R28" i="62" s="1"/>
  <c r="T27" i="62"/>
  <c r="R27" i="62" s="1"/>
  <c r="T26" i="62"/>
  <c r="R26" i="62" s="1"/>
  <c r="T25" i="62"/>
  <c r="R25" i="62" s="1"/>
  <c r="T22" i="62"/>
  <c r="R22" i="62" s="1"/>
  <c r="T21" i="62"/>
  <c r="R21" i="62" s="1"/>
  <c r="T24" i="62"/>
  <c r="R24" i="62" s="1"/>
  <c r="T23" i="62"/>
  <c r="R23" i="62" s="1"/>
  <c r="T19" i="62"/>
  <c r="R19" i="62" s="1"/>
  <c r="T20" i="62"/>
  <c r="R20" i="62" s="1"/>
  <c r="T18" i="62"/>
  <c r="R18" i="62" s="1"/>
  <c r="T17" i="62"/>
  <c r="R17" i="62" s="1"/>
  <c r="T16" i="62"/>
  <c r="R16" i="62" s="1"/>
  <c r="T15" i="62"/>
  <c r="R15" i="62" s="1"/>
  <c r="T14" i="62"/>
  <c r="R14" i="62" s="1"/>
  <c r="T13" i="62"/>
  <c r="R13" i="62" s="1"/>
  <c r="T12" i="62"/>
  <c r="R12" i="62" s="1"/>
  <c r="T11" i="62"/>
  <c r="R11" i="62" s="1"/>
  <c r="T10" i="62"/>
  <c r="R10" i="62" s="1"/>
  <c r="T9" i="62"/>
  <c r="R9" i="62" s="1"/>
  <c r="T8" i="62"/>
  <c r="R8" i="62" s="1"/>
  <c r="B487" i="65" l="1"/>
  <c r="B33" i="62" s="1"/>
  <c r="B34" i="62" s="1"/>
  <c r="B35" i="62" s="1"/>
  <c r="B36" i="62" s="1"/>
  <c r="B37" i="62" s="1"/>
  <c r="B465" i="65"/>
  <c r="B466" i="65" s="1"/>
  <c r="B467" i="65" s="1"/>
  <c r="B468" i="65" s="1"/>
  <c r="B469" i="65" s="1"/>
  <c r="B470" i="65" s="1"/>
  <c r="B471" i="65" s="1"/>
  <c r="B472" i="65" s="1"/>
  <c r="B488" i="65" l="1"/>
  <c r="B38" i="62" s="1"/>
  <c r="B39" i="62" s="1"/>
  <c r="B40" i="62" s="1"/>
  <c r="B41" i="62" s="1"/>
  <c r="B42" i="62" s="1"/>
  <c r="M464" i="65"/>
  <c r="B489" i="65" l="1"/>
  <c r="B43" i="62" s="1"/>
  <c r="B495" i="65" s="1"/>
  <c r="AF463" i="65"/>
  <c r="T463" i="65"/>
  <c r="R463" i="65"/>
  <c r="M463" i="65"/>
  <c r="B463" i="65"/>
  <c r="B490" i="65" l="1"/>
  <c r="B44" i="62" s="1"/>
  <c r="B45" i="62" s="1"/>
  <c r="B46" i="62" s="1"/>
  <c r="B47" i="62" s="1"/>
  <c r="B48" i="62" s="1"/>
  <c r="B49" i="62" s="1"/>
  <c r="B50" i="62" s="1"/>
  <c r="B51" i="62" s="1"/>
  <c r="B52" i="62" s="1"/>
  <c r="B53" i="62" s="1"/>
  <c r="B54" i="62" s="1"/>
  <c r="B55" i="62" s="1"/>
  <c r="B56" i="62" s="1"/>
  <c r="B57" i="62" s="1"/>
  <c r="B58" i="62" s="1"/>
  <c r="B59" i="62" s="1"/>
  <c r="B60" i="62" s="1"/>
  <c r="B61" i="62" s="1"/>
  <c r="B62" i="62" s="1"/>
  <c r="B63" i="62" s="1"/>
  <c r="B64" i="62" s="1"/>
  <c r="B65" i="62" s="1"/>
  <c r="B66" i="62" s="1"/>
  <c r="B67" i="62" s="1"/>
  <c r="B68" i="62" s="1"/>
  <c r="B69" i="62" s="1"/>
  <c r="B70" i="62" s="1"/>
  <c r="B71" i="62" s="1"/>
  <c r="B72" i="62" s="1"/>
  <c r="B73" i="62" s="1"/>
  <c r="B74" i="62" s="1"/>
  <c r="B450" i="65"/>
  <c r="B451" i="65" s="1"/>
  <c r="T428" i="65"/>
  <c r="R428" i="65" s="1"/>
  <c r="B428" i="65"/>
  <c r="B429" i="65" s="1"/>
  <c r="B430" i="65" s="1"/>
  <c r="B431" i="65" s="1"/>
  <c r="B432" i="65" s="1"/>
  <c r="B433" i="65" s="1"/>
  <c r="B434" i="65" s="1"/>
  <c r="B435" i="65" s="1"/>
  <c r="B436" i="65" s="1"/>
  <c r="B437" i="65" s="1"/>
  <c r="B438" i="65" s="1"/>
  <c r="B439" i="65" s="1"/>
  <c r="B440" i="65" s="1"/>
  <c r="B441" i="65" s="1"/>
  <c r="B442" i="65" s="1"/>
  <c r="B443" i="65" s="1"/>
  <c r="B444" i="65" s="1"/>
  <c r="B445" i="65" s="1"/>
  <c r="B446" i="65" s="1"/>
  <c r="B447" i="65" s="1"/>
  <c r="AF419" i="65"/>
  <c r="AC419" i="65"/>
  <c r="T419" i="65"/>
  <c r="R419" i="65" s="1"/>
  <c r="AF418" i="65"/>
  <c r="T418" i="65"/>
  <c r="R418" i="65"/>
  <c r="M418" i="65"/>
  <c r="B418" i="65"/>
  <c r="AF390" i="65"/>
  <c r="T390" i="65"/>
  <c r="R390" i="65" s="1"/>
  <c r="B390" i="65"/>
  <c r="AF389" i="65"/>
  <c r="AC389" i="65"/>
  <c r="T389" i="65"/>
  <c r="R389" i="65" s="1"/>
  <c r="AF388" i="65"/>
  <c r="AC388" i="65"/>
  <c r="T388" i="65"/>
  <c r="R388" i="65" s="1"/>
  <c r="AF387" i="65"/>
  <c r="AC387" i="65"/>
  <c r="T387" i="65"/>
  <c r="R387" i="65" s="1"/>
  <c r="B387" i="65"/>
  <c r="T386" i="65"/>
  <c r="R386" i="65" s="1"/>
  <c r="AF385" i="65"/>
  <c r="AC385" i="65"/>
  <c r="T385" i="65"/>
  <c r="R385" i="65" s="1"/>
  <c r="AF384" i="65"/>
  <c r="T384" i="65"/>
  <c r="R384" i="65" s="1"/>
  <c r="B371" i="65"/>
  <c r="B372" i="65" s="1"/>
  <c r="B373" i="65" s="1"/>
  <c r="B374" i="65" s="1"/>
  <c r="B375" i="65" s="1"/>
  <c r="B376" i="65" s="1"/>
  <c r="B377" i="65" s="1"/>
  <c r="B378" i="65" s="1"/>
  <c r="B379" i="65" s="1"/>
  <c r="B380" i="65" s="1"/>
  <c r="P17" i="12"/>
  <c r="O17" i="12"/>
  <c r="M17" i="12"/>
  <c r="L17" i="12"/>
  <c r="K17" i="12"/>
  <c r="J17" i="12"/>
  <c r="I17" i="12"/>
  <c r="H17" i="12"/>
  <c r="G17" i="12"/>
  <c r="P31" i="12"/>
  <c r="O31" i="12"/>
  <c r="M31" i="12"/>
  <c r="L31" i="12"/>
  <c r="K31" i="12"/>
  <c r="J31" i="12"/>
  <c r="I31" i="12"/>
  <c r="G31" i="12"/>
  <c r="AI18" i="63"/>
  <c r="M18" i="63"/>
  <c r="M17" i="63"/>
  <c r="AI16" i="63"/>
  <c r="M16" i="63"/>
  <c r="AI15" i="63"/>
  <c r="M15" i="63"/>
  <c r="AI14" i="63"/>
  <c r="M14" i="63"/>
  <c r="AI13" i="63"/>
  <c r="M13" i="63"/>
  <c r="AI12" i="63"/>
  <c r="M12" i="63"/>
  <c r="AI11" i="63"/>
  <c r="M11" i="63"/>
  <c r="AI10" i="63"/>
  <c r="M10" i="63"/>
  <c r="AI9" i="63"/>
  <c r="M9" i="63"/>
  <c r="AI8" i="63"/>
  <c r="R8" i="63"/>
  <c r="M8" i="63"/>
  <c r="B494" i="65" l="1"/>
  <c r="B75" i="62" s="1"/>
  <c r="B76" i="62" s="1"/>
  <c r="B77" i="62" s="1"/>
  <c r="B78" i="62" s="1"/>
  <c r="B79" i="62" s="1"/>
  <c r="B80" i="62" s="1"/>
  <c r="B81" i="62" s="1"/>
  <c r="B82" i="62" s="1"/>
  <c r="B83" i="62" s="1"/>
  <c r="B84" i="62" s="1"/>
  <c r="B85" i="62" s="1"/>
  <c r="B86" i="62" s="1"/>
  <c r="B87" i="62" s="1"/>
  <c r="B88" i="62" s="1"/>
  <c r="B89" i="62" s="1"/>
  <c r="B90" i="62" s="1"/>
  <c r="B91" i="62" s="1"/>
  <c r="B92" i="62" s="1"/>
  <c r="B93" i="62" s="1"/>
  <c r="B94" i="62" s="1"/>
  <c r="B95" i="62" s="1"/>
  <c r="B96" i="62" s="1"/>
  <c r="B97" i="62" s="1"/>
  <c r="B98" i="62" s="1"/>
  <c r="B99" i="62" s="1"/>
  <c r="B100" i="62" s="1"/>
  <c r="B101" i="62" s="1"/>
  <c r="B102" i="62" s="1"/>
  <c r="B103" i="62" s="1"/>
  <c r="B104" i="62" s="1"/>
  <c r="B105" i="62" s="1"/>
  <c r="B106" i="62" s="1"/>
  <c r="B107" i="62" s="1"/>
  <c r="B492" i="65" s="1"/>
  <c r="B108" i="62" s="1"/>
  <c r="B109" i="62" s="1"/>
  <c r="B110" i="62" s="1"/>
  <c r="B111" i="62" s="1"/>
  <c r="B112" i="62" s="1"/>
  <c r="B113" i="62" s="1"/>
  <c r="B114" i="62" s="1"/>
  <c r="B115" i="62" s="1"/>
  <c r="B116" i="62" s="1"/>
  <c r="B117" i="62" s="1"/>
  <c r="B118" i="62" s="1"/>
  <c r="B119" i="62" s="1"/>
  <c r="B120" i="62" s="1"/>
  <c r="B121" i="62" s="1"/>
  <c r="B122" i="62" s="1"/>
  <c r="B123" i="62" s="1"/>
  <c r="B124" i="62" s="1"/>
  <c r="B125" i="62" s="1"/>
  <c r="B126" i="62" s="1"/>
  <c r="B127" i="62" s="1"/>
  <c r="B128" i="62" s="1"/>
  <c r="B129" i="62" s="1"/>
  <c r="B130" i="62" s="1"/>
  <c r="B131" i="62" s="1"/>
  <c r="B132" i="62" s="1"/>
  <c r="B133" i="62" s="1"/>
  <c r="B134" i="62" s="1"/>
  <c r="B135" i="62" s="1"/>
  <c r="B136" i="62" s="1"/>
  <c r="B137" i="62" s="1"/>
  <c r="B138" i="62" s="1"/>
  <c r="B139" i="62" s="1"/>
  <c r="B140" i="62" s="1"/>
  <c r="B141" i="62" s="1"/>
  <c r="B142" i="62" s="1"/>
  <c r="B143" i="62" s="1"/>
  <c r="B144" i="62" s="1"/>
  <c r="B145" i="62" s="1"/>
  <c r="B146" i="62" s="1"/>
  <c r="B147" i="62" s="1"/>
  <c r="B148" i="62" s="1"/>
  <c r="B149" i="62" s="1"/>
  <c r="B150" i="62" s="1"/>
  <c r="B151" i="62" s="1"/>
  <c r="B152" i="62" s="1"/>
  <c r="B153" i="62" s="1"/>
  <c r="B154" i="62" s="1"/>
  <c r="B155" i="62" s="1"/>
  <c r="F17" i="12"/>
  <c r="N17" i="12"/>
  <c r="Q17" i="12" s="1"/>
  <c r="N31" i="12"/>
  <c r="Q31" i="12" s="1"/>
  <c r="F31" i="12"/>
  <c r="F7" i="72"/>
  <c r="T369" i="65" l="1"/>
  <c r="R369" i="65" s="1"/>
  <c r="T368" i="65" l="1"/>
  <c r="R368" i="65" s="1"/>
  <c r="AI367" i="65" l="1"/>
  <c r="AC367" i="65"/>
  <c r="T367" i="65"/>
  <c r="R367" i="65" s="1"/>
  <c r="AI366" i="65"/>
  <c r="AC366" i="65"/>
  <c r="T366" i="65"/>
  <c r="R366" i="65" s="1"/>
  <c r="B366" i="65"/>
  <c r="B367" i="65" s="1"/>
  <c r="B368" i="65" s="1"/>
  <c r="AI365" i="65"/>
  <c r="AC365" i="65"/>
  <c r="T365" i="65"/>
  <c r="R365" i="65" s="1"/>
  <c r="AI364" i="65"/>
  <c r="AC364" i="65"/>
  <c r="T364" i="65"/>
  <c r="R364" i="65" s="1"/>
  <c r="B364" i="65"/>
  <c r="B365" i="65" s="1"/>
  <c r="AI363" i="65"/>
  <c r="T363" i="65"/>
  <c r="R363" i="65"/>
  <c r="M363" i="65"/>
  <c r="B362" i="65" l="1"/>
  <c r="T362" i="65"/>
  <c r="R362" i="65" s="1"/>
  <c r="AC362" i="65"/>
  <c r="T361" i="65" l="1"/>
  <c r="R361" i="65" s="1"/>
  <c r="AC361" i="65"/>
  <c r="AI361" i="65"/>
  <c r="H7" i="72" l="1"/>
  <c r="G30" i="12" l="1"/>
  <c r="H30" i="12"/>
  <c r="I30" i="12"/>
  <c r="J30" i="12"/>
  <c r="K30" i="12"/>
  <c r="L30" i="12"/>
  <c r="M30" i="12"/>
  <c r="M32" i="12" s="1"/>
  <c r="O30" i="12"/>
  <c r="P30" i="12"/>
  <c r="M49" i="12"/>
  <c r="L49" i="12"/>
  <c r="K49" i="12"/>
  <c r="J49" i="12"/>
  <c r="I49" i="12"/>
  <c r="H49" i="12"/>
  <c r="M48" i="12"/>
  <c r="L48" i="12"/>
  <c r="K48" i="12"/>
  <c r="J48" i="12"/>
  <c r="I48" i="12"/>
  <c r="H48" i="12"/>
  <c r="M47" i="12"/>
  <c r="L47" i="12"/>
  <c r="K47" i="12"/>
  <c r="J47" i="12"/>
  <c r="I47" i="12"/>
  <c r="H47" i="12"/>
  <c r="M46" i="12"/>
  <c r="L46" i="12"/>
  <c r="K46" i="12"/>
  <c r="J46" i="12"/>
  <c r="I46" i="12"/>
  <c r="H46" i="12"/>
  <c r="M45" i="12"/>
  <c r="L45" i="12"/>
  <c r="K45" i="12"/>
  <c r="J45" i="12"/>
  <c r="I45" i="12"/>
  <c r="H45" i="12"/>
  <c r="M44" i="12"/>
  <c r="L44" i="12"/>
  <c r="K44" i="12"/>
  <c r="J44" i="12"/>
  <c r="I44" i="12"/>
  <c r="H44" i="12"/>
  <c r="M43" i="12"/>
  <c r="L43" i="12"/>
  <c r="K43" i="12"/>
  <c r="J43" i="12"/>
  <c r="I43" i="12"/>
  <c r="H43" i="12"/>
  <c r="M42" i="12"/>
  <c r="L42" i="12"/>
  <c r="K42" i="12"/>
  <c r="J42" i="12"/>
  <c r="I42" i="12"/>
  <c r="H42" i="12"/>
  <c r="M41" i="12"/>
  <c r="L41" i="12"/>
  <c r="K41" i="12"/>
  <c r="J41" i="12"/>
  <c r="I41" i="12"/>
  <c r="H41" i="12"/>
  <c r="M40" i="12"/>
  <c r="L40" i="12"/>
  <c r="K40" i="12"/>
  <c r="J40" i="12"/>
  <c r="I40" i="12"/>
  <c r="H40" i="12"/>
  <c r="M39" i="12"/>
  <c r="L39" i="12"/>
  <c r="K39" i="12"/>
  <c r="J39" i="12"/>
  <c r="I39" i="12"/>
  <c r="H39" i="12"/>
  <c r="M38" i="12"/>
  <c r="L38" i="12"/>
  <c r="K38" i="12"/>
  <c r="J38" i="12"/>
  <c r="I38" i="12"/>
  <c r="H38" i="12"/>
  <c r="M37" i="12"/>
  <c r="L37" i="12"/>
  <c r="K37" i="12"/>
  <c r="J37" i="12"/>
  <c r="I37" i="12"/>
  <c r="H37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24" i="12"/>
  <c r="G23" i="12"/>
  <c r="G22" i="12"/>
  <c r="G21" i="12"/>
  <c r="G20" i="12"/>
  <c r="G19" i="12"/>
  <c r="G18" i="12"/>
  <c r="G16" i="12"/>
  <c r="G15" i="12"/>
  <c r="G14" i="12"/>
  <c r="G13" i="12"/>
  <c r="G12" i="12"/>
  <c r="G11" i="12"/>
  <c r="G9" i="12"/>
  <c r="G10" i="12"/>
  <c r="N30" i="12" l="1"/>
  <c r="Q30" i="12" s="1"/>
  <c r="F30" i="12"/>
  <c r="P49" i="12" l="1"/>
  <c r="O49" i="12"/>
  <c r="P48" i="12"/>
  <c r="O48" i="12"/>
  <c r="P47" i="12"/>
  <c r="O47" i="12"/>
  <c r="P46" i="12"/>
  <c r="O46" i="12"/>
  <c r="P45" i="12"/>
  <c r="O45" i="12"/>
  <c r="P44" i="12"/>
  <c r="O44" i="12"/>
  <c r="P43" i="12"/>
  <c r="O43" i="12"/>
  <c r="P42" i="12"/>
  <c r="O42" i="12"/>
  <c r="P41" i="12"/>
  <c r="O41" i="12"/>
  <c r="P40" i="12"/>
  <c r="O40" i="12"/>
  <c r="P39" i="12"/>
  <c r="O39" i="12"/>
  <c r="P38" i="12"/>
  <c r="O38" i="12"/>
  <c r="P23" i="12"/>
  <c r="O23" i="12"/>
  <c r="M23" i="12"/>
  <c r="L23" i="12"/>
  <c r="K23" i="12"/>
  <c r="J23" i="12"/>
  <c r="I23" i="12"/>
  <c r="H23" i="12"/>
  <c r="H24" i="12"/>
  <c r="I24" i="12"/>
  <c r="J24" i="12"/>
  <c r="K24" i="12"/>
  <c r="L24" i="12"/>
  <c r="M24" i="12"/>
  <c r="O24" i="12"/>
  <c r="P24" i="12"/>
  <c r="P22" i="12"/>
  <c r="O22" i="12"/>
  <c r="M22" i="12"/>
  <c r="L22" i="12"/>
  <c r="K22" i="12"/>
  <c r="J22" i="12"/>
  <c r="I22" i="12"/>
  <c r="H22" i="12"/>
  <c r="P21" i="12"/>
  <c r="O21" i="12"/>
  <c r="M21" i="12"/>
  <c r="L21" i="12"/>
  <c r="K21" i="12"/>
  <c r="J21" i="12"/>
  <c r="I21" i="12"/>
  <c r="H21" i="12"/>
  <c r="P20" i="12"/>
  <c r="O20" i="12"/>
  <c r="M20" i="12"/>
  <c r="L20" i="12"/>
  <c r="K20" i="12"/>
  <c r="J20" i="12"/>
  <c r="I20" i="12"/>
  <c r="H20" i="12"/>
  <c r="P19" i="12"/>
  <c r="O19" i="12"/>
  <c r="M19" i="12"/>
  <c r="L19" i="12"/>
  <c r="K19" i="12"/>
  <c r="J19" i="12"/>
  <c r="I19" i="12"/>
  <c r="H19" i="12"/>
  <c r="P18" i="12"/>
  <c r="O18" i="12"/>
  <c r="M18" i="12"/>
  <c r="L18" i="12"/>
  <c r="K18" i="12"/>
  <c r="J18" i="12"/>
  <c r="I18" i="12"/>
  <c r="H18" i="12"/>
  <c r="P16" i="12"/>
  <c r="O16" i="12"/>
  <c r="M16" i="12"/>
  <c r="L16" i="12"/>
  <c r="K16" i="12"/>
  <c r="J16" i="12"/>
  <c r="I16" i="12"/>
  <c r="H16" i="12"/>
  <c r="P15" i="12"/>
  <c r="O15" i="12"/>
  <c r="M15" i="12"/>
  <c r="L15" i="12"/>
  <c r="K15" i="12"/>
  <c r="J15" i="12"/>
  <c r="I15" i="12"/>
  <c r="H15" i="12"/>
  <c r="P14" i="12"/>
  <c r="O14" i="12"/>
  <c r="M14" i="12"/>
  <c r="L14" i="12"/>
  <c r="K14" i="12"/>
  <c r="J14" i="12"/>
  <c r="I14" i="12"/>
  <c r="H14" i="12"/>
  <c r="P13" i="12"/>
  <c r="O13" i="12"/>
  <c r="M13" i="12"/>
  <c r="L13" i="12"/>
  <c r="K13" i="12"/>
  <c r="J13" i="12"/>
  <c r="I13" i="12"/>
  <c r="H13" i="12"/>
  <c r="P12" i="12"/>
  <c r="O12" i="12"/>
  <c r="M12" i="12"/>
  <c r="L12" i="12"/>
  <c r="K12" i="12"/>
  <c r="J12" i="12"/>
  <c r="I12" i="12"/>
  <c r="H12" i="12"/>
  <c r="P11" i="12"/>
  <c r="O11" i="12"/>
  <c r="M11" i="12"/>
  <c r="L11" i="12"/>
  <c r="K11" i="12"/>
  <c r="J11" i="12"/>
  <c r="I11" i="12"/>
  <c r="H11" i="12"/>
  <c r="P10" i="12"/>
  <c r="O10" i="12"/>
  <c r="M10" i="12"/>
  <c r="L10" i="12"/>
  <c r="K10" i="12"/>
  <c r="J10" i="12"/>
  <c r="I10" i="12"/>
  <c r="H10" i="12"/>
  <c r="F15" i="12" l="1"/>
  <c r="F16" i="12"/>
  <c r="F18" i="12"/>
  <c r="F19" i="12"/>
  <c r="F20" i="12"/>
  <c r="F21" i="12"/>
  <c r="F22" i="12"/>
  <c r="F23" i="12"/>
  <c r="F14" i="12"/>
  <c r="F10" i="12"/>
  <c r="F13" i="12"/>
  <c r="F11" i="12"/>
  <c r="F24" i="12"/>
  <c r="N49" i="12"/>
  <c r="Q49" i="12" s="1"/>
  <c r="N38" i="12"/>
  <c r="Q38" i="12" s="1"/>
  <c r="N39" i="12"/>
  <c r="Q39" i="12" s="1"/>
  <c r="N40" i="12"/>
  <c r="Q40" i="12" s="1"/>
  <c r="N41" i="12"/>
  <c r="Q41" i="12" s="1"/>
  <c r="N42" i="12"/>
  <c r="Q42" i="12" s="1"/>
  <c r="N43" i="12"/>
  <c r="Q43" i="12" s="1"/>
  <c r="N44" i="12"/>
  <c r="Q44" i="12" s="1"/>
  <c r="N45" i="12"/>
  <c r="Q45" i="12" s="1"/>
  <c r="N46" i="12"/>
  <c r="Q46" i="12" s="1"/>
  <c r="N47" i="12"/>
  <c r="Q47" i="12" s="1"/>
  <c r="N48" i="12"/>
  <c r="Q48" i="12" s="1"/>
  <c r="N24" i="12"/>
  <c r="Q24" i="12" s="1"/>
  <c r="N23" i="12"/>
  <c r="Q23" i="12" s="1"/>
  <c r="N11" i="12"/>
  <c r="N13" i="12"/>
  <c r="Q13" i="12" s="1"/>
  <c r="N15" i="12"/>
  <c r="Q15" i="12" s="1"/>
  <c r="N18" i="12"/>
  <c r="Q18" i="12" s="1"/>
  <c r="N20" i="12"/>
  <c r="Q20" i="12" s="1"/>
  <c r="N22" i="12"/>
  <c r="Q22" i="12" s="1"/>
  <c r="N16" i="12"/>
  <c r="Q16" i="12" s="1"/>
  <c r="N19" i="12"/>
  <c r="Q19" i="12" s="1"/>
  <c r="N21" i="12"/>
  <c r="Q21" i="12" s="1"/>
  <c r="N10" i="12"/>
  <c r="N12" i="12"/>
  <c r="Q12" i="12" s="1"/>
  <c r="F12" i="12"/>
  <c r="N14" i="12"/>
  <c r="Q14" i="12" s="1"/>
  <c r="Q11" i="12" l="1"/>
  <c r="E30" i="12"/>
  <c r="Q10" i="12"/>
  <c r="L8" i="72"/>
  <c r="L7" i="72"/>
  <c r="L9" i="72" l="1"/>
  <c r="O8" i="72"/>
  <c r="P8" i="72" s="1"/>
  <c r="M7" i="72"/>
  <c r="N7" i="72" s="1"/>
  <c r="O7" i="72"/>
  <c r="M8" i="72"/>
  <c r="N8" i="72" s="1"/>
  <c r="O9" i="72" l="1"/>
  <c r="P9" i="72" s="1"/>
  <c r="P7" i="72"/>
  <c r="M9" i="72"/>
  <c r="N9" i="72" s="1"/>
  <c r="F3" i="67" l="1"/>
  <c r="F2" i="67"/>
  <c r="B9" i="70" l="1"/>
  <c r="B6" i="70"/>
  <c r="E9" i="70" l="1"/>
  <c r="C9" i="70"/>
  <c r="D9" i="70"/>
  <c r="B10" i="70"/>
  <c r="B11" i="70" l="1"/>
  <c r="B12" i="70" l="1"/>
  <c r="B13" i="70" l="1"/>
  <c r="B14" i="70" l="1"/>
  <c r="B15" i="70" l="1"/>
  <c r="C14" i="70" l="1"/>
  <c r="C15" i="70"/>
  <c r="C16" i="70" s="1"/>
  <c r="D12" i="70"/>
  <c r="C12" i="70"/>
  <c r="D11" i="70"/>
  <c r="D15" i="70"/>
  <c r="D16" i="70" s="1"/>
  <c r="C13" i="70"/>
  <c r="C10" i="70"/>
  <c r="C11" i="70"/>
  <c r="D10" i="70"/>
  <c r="D14" i="70"/>
  <c r="D13" i="70"/>
  <c r="M9" i="12"/>
  <c r="L9" i="12"/>
  <c r="K9" i="12"/>
  <c r="J9" i="12"/>
  <c r="I9" i="12"/>
  <c r="H9" i="12"/>
  <c r="B8" i="63"/>
  <c r="B9" i="63" s="1"/>
  <c r="B10" i="63" s="1"/>
  <c r="B11" i="63" s="1"/>
  <c r="B12" i="63" s="1"/>
  <c r="B13" i="63" s="1"/>
  <c r="B14" i="63" s="1"/>
  <c r="B15" i="63" s="1"/>
  <c r="B16" i="63" s="1"/>
  <c r="B17" i="63" s="1"/>
  <c r="B18" i="63" s="1"/>
  <c r="AN9" i="70" l="1"/>
  <c r="AF9" i="70"/>
  <c r="Y9" i="70"/>
  <c r="Z9" i="70"/>
  <c r="R9" i="70"/>
  <c r="AG9" i="70"/>
  <c r="AM9" i="70"/>
  <c r="S9" i="70"/>
  <c r="AM10" i="70"/>
  <c r="AG10" i="70"/>
  <c r="Z10" i="70"/>
  <c r="R10" i="70"/>
  <c r="AN10" i="70"/>
  <c r="AF10" i="70"/>
  <c r="Y10" i="70"/>
  <c r="S10" i="70"/>
  <c r="S11" i="70"/>
  <c r="AG11" i="70"/>
  <c r="R11" i="70"/>
  <c r="Y11" i="70"/>
  <c r="AF11" i="70"/>
  <c r="AM11" i="70"/>
  <c r="Z11" i="70"/>
  <c r="AN11" i="70"/>
  <c r="S12" i="70"/>
  <c r="AG12" i="70"/>
  <c r="AN12" i="70"/>
  <c r="R12" i="70"/>
  <c r="Y12" i="70"/>
  <c r="AF12" i="70"/>
  <c r="AM12" i="70"/>
  <c r="Z12" i="70"/>
  <c r="S13" i="70"/>
  <c r="Z13" i="70"/>
  <c r="AN13" i="70"/>
  <c r="R13" i="70"/>
  <c r="Y13" i="70"/>
  <c r="AF13" i="70"/>
  <c r="AM13" i="70"/>
  <c r="AG13" i="70"/>
  <c r="S14" i="70"/>
  <c r="AN14" i="70"/>
  <c r="R14" i="70"/>
  <c r="Y14" i="70"/>
  <c r="AF14" i="70"/>
  <c r="AM14" i="70"/>
  <c r="Z14" i="70"/>
  <c r="AG14" i="70"/>
  <c r="Z15" i="70"/>
  <c r="R15" i="70"/>
  <c r="Y15" i="70"/>
  <c r="AF15" i="70"/>
  <c r="AM15" i="70"/>
  <c r="S15" i="70"/>
  <c r="AG15" i="70"/>
  <c r="AN15" i="70"/>
  <c r="P13" i="70"/>
  <c r="P9" i="70"/>
  <c r="P11" i="70"/>
  <c r="P14" i="70"/>
  <c r="P10" i="70"/>
  <c r="P15" i="70"/>
  <c r="P16" i="70" s="1"/>
  <c r="P12" i="70"/>
  <c r="Q15" i="70"/>
  <c r="Q16" i="70" s="1"/>
  <c r="Q13" i="70"/>
  <c r="Q12" i="70"/>
  <c r="Q11" i="70"/>
  <c r="Q14" i="70"/>
  <c r="Q9" i="70"/>
  <c r="Q10" i="70"/>
  <c r="N9" i="70"/>
  <c r="O9" i="70"/>
  <c r="O10" i="70"/>
  <c r="N10" i="70"/>
  <c r="O11" i="70"/>
  <c r="N11" i="70"/>
  <c r="O12" i="70"/>
  <c r="N12" i="70"/>
  <c r="O13" i="70"/>
  <c r="N13" i="70"/>
  <c r="N14" i="70"/>
  <c r="O14" i="70"/>
  <c r="O15" i="70"/>
  <c r="N15" i="70"/>
  <c r="K10" i="70"/>
  <c r="K14" i="70"/>
  <c r="K11" i="70"/>
  <c r="K15" i="70"/>
  <c r="K16" i="70" s="1"/>
  <c r="K12" i="70"/>
  <c r="K9" i="70"/>
  <c r="K13" i="70"/>
  <c r="M36" i="12"/>
  <c r="L36" i="12"/>
  <c r="K36" i="12"/>
  <c r="J36" i="12"/>
  <c r="I36" i="12"/>
  <c r="H36" i="12"/>
  <c r="G36" i="12"/>
  <c r="P9" i="12"/>
  <c r="O9" i="12"/>
  <c r="AM16" i="70" l="1"/>
  <c r="Z16" i="70"/>
  <c r="AG16" i="70"/>
  <c r="Y16" i="70"/>
  <c r="S16" i="70"/>
  <c r="R16" i="70"/>
  <c r="AN16" i="70"/>
  <c r="AF16" i="70"/>
  <c r="O16" i="70"/>
  <c r="N16" i="70"/>
  <c r="N9" i="12"/>
  <c r="Q9" i="12" s="1"/>
  <c r="B361" i="65" l="1"/>
  <c r="B369" i="65" l="1"/>
  <c r="B337" i="65"/>
  <c r="B320" i="65" l="1"/>
  <c r="B319" i="65"/>
  <c r="P37" i="12" l="1"/>
  <c r="O37" i="12"/>
  <c r="P36" i="12"/>
  <c r="O36" i="12"/>
  <c r="B335" i="65" l="1"/>
  <c r="N37" i="12"/>
  <c r="Q37" i="12" s="1"/>
  <c r="N36" i="12"/>
  <c r="Q36" i="12" s="1"/>
  <c r="B2" i="67"/>
  <c r="A1" i="67" s="1"/>
  <c r="T6" i="64"/>
  <c r="T6" i="63"/>
  <c r="T16" i="63" l="1"/>
  <c r="T15" i="63"/>
  <c r="T14" i="63"/>
  <c r="T13" i="63"/>
  <c r="T12" i="63"/>
  <c r="T11" i="63"/>
  <c r="T10" i="63"/>
  <c r="T9" i="63"/>
  <c r="T8" i="63"/>
  <c r="T18" i="63"/>
  <c r="B339" i="65"/>
  <c r="B338" i="65" s="1"/>
  <c r="B336" i="65" s="1"/>
  <c r="B333" i="65" s="1"/>
  <c r="B334" i="65" s="1"/>
  <c r="N32" i="12"/>
  <c r="E32" i="12" s="1"/>
  <c r="L11" i="70" l="1"/>
  <c r="L15" i="70"/>
  <c r="L16" i="70" s="1"/>
  <c r="L12" i="70"/>
  <c r="L9" i="70"/>
  <c r="L13" i="70"/>
  <c r="L10" i="70"/>
  <c r="L14" i="70"/>
  <c r="AE9" i="70"/>
  <c r="X10" i="70"/>
  <c r="X11" i="70"/>
  <c r="F12" i="70"/>
  <c r="X13" i="70"/>
  <c r="AL14" i="70"/>
  <c r="F15" i="70"/>
  <c r="AE10" i="70"/>
  <c r="AL11" i="70"/>
  <c r="AL13" i="70"/>
  <c r="F14" i="70"/>
  <c r="X9" i="70"/>
  <c r="F11" i="70"/>
  <c r="AE14" i="70"/>
  <c r="F9" i="70"/>
  <c r="AL10" i="70"/>
  <c r="AE11" i="70"/>
  <c r="X12" i="70"/>
  <c r="AE13" i="70"/>
  <c r="X14" i="70"/>
  <c r="X15" i="70"/>
  <c r="AL9" i="70"/>
  <c r="AE12" i="70"/>
  <c r="AE15" i="70"/>
  <c r="F10" i="70"/>
  <c r="AL12" i="70"/>
  <c r="F13" i="70"/>
  <c r="AL15" i="70"/>
  <c r="M15" i="70"/>
  <c r="M16" i="70" s="1"/>
  <c r="M11" i="70"/>
  <c r="M10" i="70"/>
  <c r="M12" i="70"/>
  <c r="M13" i="70"/>
  <c r="M9" i="70"/>
  <c r="M14" i="70"/>
  <c r="AK9" i="70"/>
  <c r="AD9" i="70"/>
  <c r="W9" i="70"/>
  <c r="AD10" i="70"/>
  <c r="W10" i="70"/>
  <c r="E10" i="70"/>
  <c r="AK10" i="70"/>
  <c r="AD11" i="70"/>
  <c r="AK11" i="70"/>
  <c r="W11" i="70"/>
  <c r="E11" i="70"/>
  <c r="AD12" i="70"/>
  <c r="E12" i="70"/>
  <c r="W12" i="70"/>
  <c r="AK12" i="70"/>
  <c r="W13" i="70"/>
  <c r="AD13" i="70"/>
  <c r="AK13" i="70"/>
  <c r="E13" i="70"/>
  <c r="W14" i="70"/>
  <c r="AD14" i="70"/>
  <c r="AK14" i="70"/>
  <c r="E14" i="70"/>
  <c r="W15" i="70"/>
  <c r="AK15" i="70"/>
  <c r="AD15" i="70"/>
  <c r="E15" i="70"/>
  <c r="J13" i="70"/>
  <c r="J14" i="70"/>
  <c r="J10" i="70"/>
  <c r="J12" i="70"/>
  <c r="J15" i="70"/>
  <c r="J16" i="70" s="1"/>
  <c r="J9" i="70"/>
  <c r="J11" i="70"/>
  <c r="AL16" i="70" l="1"/>
  <c r="X16" i="70"/>
  <c r="F16" i="70"/>
  <c r="AE16" i="70"/>
  <c r="AD16" i="70"/>
  <c r="E16" i="70"/>
  <c r="W16" i="70"/>
  <c r="AK16" i="70"/>
  <c r="B8" i="12" l="1"/>
  <c r="B9" i="12" s="1"/>
  <c r="B10" i="12" s="1"/>
  <c r="B11" i="12" s="1"/>
  <c r="B12" i="12" s="1"/>
  <c r="B13" i="12" s="1"/>
  <c r="B14" i="12" s="1"/>
  <c r="B15" i="12" s="1"/>
  <c r="B16" i="12" s="1"/>
  <c r="B18" i="12" s="1"/>
  <c r="B25" i="12" s="1"/>
  <c r="B26" i="12" s="1"/>
  <c r="B27" i="12" s="1"/>
  <c r="B28" i="12" s="1"/>
  <c r="B29" i="12" s="1"/>
  <c r="B32" i="12" l="1"/>
  <c r="B33" i="12" s="1"/>
  <c r="B34" i="12" s="1"/>
  <c r="B35" i="12" s="1"/>
  <c r="B36" i="12" s="1"/>
  <c r="B37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30" i="12"/>
  <c r="L25" i="12"/>
  <c r="J25" i="12" l="1"/>
  <c r="H25" i="12"/>
  <c r="P71" i="12" l="1"/>
  <c r="P25" i="12"/>
  <c r="O25" i="12"/>
  <c r="M25" i="12" l="1"/>
  <c r="K25" i="12"/>
  <c r="G25" i="12"/>
  <c r="O71" i="12"/>
  <c r="H71" i="12"/>
  <c r="J71" i="12"/>
  <c r="L71" i="12"/>
  <c r="G71" i="12"/>
  <c r="K71" i="12"/>
  <c r="M71" i="12"/>
  <c r="I25" i="12" l="1"/>
  <c r="I71" i="12"/>
  <c r="J32" i="12" l="1"/>
  <c r="L32" i="12"/>
  <c r="K32" i="12"/>
  <c r="G32" i="12" l="1"/>
  <c r="I32" i="12" l="1"/>
  <c r="F32" i="12" s="1"/>
  <c r="P32" i="12" l="1"/>
  <c r="F36" i="12" l="1"/>
  <c r="F37" i="12"/>
  <c r="O32" i="12" l="1"/>
  <c r="Q32" i="12" l="1"/>
  <c r="H32" i="12"/>
  <c r="Q71" i="12" l="1"/>
  <c r="N71" i="12"/>
  <c r="E71" i="12" s="1"/>
  <c r="F25" i="12" l="1"/>
  <c r="N25" i="12" l="1"/>
  <c r="E25" i="12" s="1"/>
  <c r="Q25" i="12"/>
  <c r="I10" i="70" l="1"/>
  <c r="U10" i="70" l="1"/>
  <c r="H11" i="70"/>
  <c r="AI11" i="70"/>
  <c r="AB11" i="70"/>
  <c r="H13" i="70"/>
  <c r="U15" i="70"/>
  <c r="U16" i="70" s="1"/>
  <c r="U13" i="70"/>
  <c r="AI12" i="70"/>
  <c r="H14" i="70"/>
  <c r="AI10" i="70"/>
  <c r="AB13" i="70"/>
  <c r="AB10" i="70"/>
  <c r="AI13" i="70"/>
  <c r="AB12" i="70"/>
  <c r="U14" i="70"/>
  <c r="AB15" i="70"/>
  <c r="AB16" i="70" s="1"/>
  <c r="H10" i="70"/>
  <c r="AI15" i="70"/>
  <c r="AI16" i="70" s="1"/>
  <c r="H9" i="70"/>
  <c r="U12" i="70"/>
  <c r="AI9" i="70"/>
  <c r="H15" i="70"/>
  <c r="H16" i="70" s="1"/>
  <c r="H12" i="70"/>
  <c r="U9" i="70"/>
  <c r="AI14" i="70"/>
  <c r="AB9" i="70"/>
  <c r="U11" i="70"/>
  <c r="AB14" i="70"/>
  <c r="V15" i="70"/>
  <c r="V16" i="70" s="1"/>
  <c r="AJ15" i="70"/>
  <c r="AJ16" i="70" s="1"/>
  <c r="AJ11" i="70"/>
  <c r="V13" i="70"/>
  <c r="AC9" i="70"/>
  <c r="I14" i="70"/>
  <c r="AJ10" i="70"/>
  <c r="AC14" i="70"/>
  <c r="AC11" i="70"/>
  <c r="V11" i="70"/>
  <c r="AJ12" i="70"/>
  <c r="I11" i="70"/>
  <c r="AC10" i="70"/>
  <c r="AC12" i="70"/>
  <c r="AJ14" i="70"/>
  <c r="V12" i="70"/>
  <c r="I9" i="70"/>
  <c r="I15" i="70"/>
  <c r="I16" i="70" s="1"/>
  <c r="V10" i="70"/>
  <c r="V14" i="70"/>
  <c r="V9" i="70"/>
  <c r="AC15" i="70"/>
  <c r="AC16" i="70" s="1"/>
  <c r="I12" i="70"/>
  <c r="AC13" i="70"/>
  <c r="AJ13" i="70"/>
  <c r="I13" i="70"/>
  <c r="AJ9" i="70"/>
</calcChain>
</file>

<file path=xl/comments1.xml><?xml version="1.0" encoding="utf-8"?>
<comments xmlns="http://schemas.openxmlformats.org/spreadsheetml/2006/main">
  <authors>
    <author>Pedro Carmo</author>
  </authors>
  <commentList>
    <comment ref="V8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65681
SOS 65931 - Troca de horário</t>
        </r>
      </text>
    </comment>
    <comment ref="V9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65681</t>
        </r>
      </text>
    </comment>
    <comment ref="V10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65681
SOS 65931 - Troca de horário
SOS 67686 - Troca de horário</t>
        </r>
      </text>
    </comment>
    <comment ref="V11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65681
SOS 65931 - Troca de horário</t>
        </r>
      </text>
    </comment>
    <comment ref="V12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65681</t>
        </r>
      </text>
    </comment>
    <comment ref="V16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- 15/12/16</t>
        </r>
      </text>
    </comment>
    <comment ref="V18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67439 - Troca de horário</t>
        </r>
      </text>
    </comment>
    <comment ref="V20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04/8</t>
        </r>
      </text>
    </comment>
    <comment ref="V22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(16/11/2016)
Retornou (12/12/16)</t>
        </r>
      </text>
    </comment>
    <comment ref="V23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70501 - Troca de horário</t>
        </r>
      </text>
    </comment>
    <comment ref="V24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70595 - Desligado</t>
        </r>
      </text>
    </comment>
    <comment ref="V26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12/12/16</t>
        </r>
      </text>
    </comment>
    <comment ref="V27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 (06/08/2016)</t>
        </r>
      </text>
    </comment>
    <comment ref="V29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67975 - Troca de horário</t>
        </r>
      </text>
    </comment>
    <comment ref="V30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(08/08/16)
SOS 67976 - Troca de horário</t>
        </r>
      </text>
    </comment>
    <comment ref="V32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 (05/10/2016)</t>
        </r>
      </text>
    </comment>
    <comment ref="V34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Troca de supervisão</t>
        </r>
      </text>
    </comment>
    <comment ref="V35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65870 - Ativo
SOS 69236 - Backup (reposição de FUPOTECH)
SOS 69721 - Status Ativo</t>
        </r>
      </text>
    </comment>
    <comment ref="V36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 (05/10/2016)
Reposição de Mentor</t>
        </r>
      </text>
    </comment>
    <comment ref="V37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
SOS 68877 - Troca de horário
SOS 69498 - Virou FUPOTECH</t>
        </r>
      </text>
    </comment>
    <comment ref="V38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69497 - FUPOTECH (em HP Commercial realizando reposição)
SOS 70491 - Troca de horário</t>
        </r>
      </text>
    </comment>
    <comment ref="V40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(19/10/2016)
Retornou (19/10/2016)</t>
        </r>
      </text>
    </comment>
    <comment ref="V41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 (12/10/2016)</t>
        </r>
      </text>
    </comment>
    <comment ref="V45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68768 - Troca de horário
SOS 68860 - Troca de horário</t>
        </r>
      </text>
    </comment>
    <comment ref="V48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10/10/2016
Retornou de férias
09/11/2016</t>
        </r>
      </text>
    </comment>
    <comment ref="V51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
Retornou de férias (13/10/2016)</t>
        </r>
      </text>
    </comment>
    <comment ref="V53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70731 - Troca de horário
SOS 70967 - Troca de horário</t>
        </r>
      </text>
    </comment>
    <comment ref="V55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
SOS 65869 - Backup TCE Qualidade
SOS 69272 - Backup TCE Qualidade
SOS 70388 - Backup em TCE Qualidade
SOS 71041 - Troca de Horário</t>
        </r>
      </text>
    </comment>
    <comment ref="V58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(05/12/16)</t>
        </r>
      </text>
    </comment>
    <comment ref="V59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67409 - Troca de horário</t>
        </r>
      </text>
    </comment>
    <comment ref="V63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69894 - Backup em ECR 16/11 - 09/12
SOS 69894 - Troca de horário
Status Ativo - 15/12/16</t>
        </r>
      </text>
    </comment>
    <comment ref="V64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04/08
SOS 68672 - Troca de horário</t>
        </r>
      </text>
    </comment>
    <comment ref="V65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68624 - Backup em Unassisted
SOS 69864 - Ativo</t>
        </r>
      </text>
    </comment>
    <comment ref="V69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(19/09/2016)
Retornou (19/10/2016)
SOS 69984 - Backup em TCE Qualidade
SOS 70420 - Backup (reposição em Unassisted)</t>
        </r>
      </text>
    </comment>
    <comment ref="V70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
SOS 70306 - Backup em Unassisted
SOS 71077 - Retorou de Backup
SOS 71197 - Reposição em Unassisted</t>
        </r>
      </text>
    </comment>
    <comment ref="V77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68980 - Troca de Horário
SOS 70622 - Desligado
SOS 70627 - Troca de horário</t>
        </r>
      </text>
    </comment>
    <comment ref="V79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68768 - Troca de horário
SOS 68860 - Troca de horário</t>
        </r>
      </text>
    </comment>
    <comment ref="V80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70621 - Desligado</t>
        </r>
      </text>
    </comment>
    <comment ref="V81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(19/09/2016)
Retornou (19/10/2016)</t>
        </r>
      </text>
    </comment>
    <comment ref="V85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65957 - Transferência de gestão</t>
        </r>
      </text>
    </comment>
    <comment ref="V87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(05/12/16)</t>
        </r>
      </text>
    </comment>
    <comment ref="V88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</t>
        </r>
      </text>
    </comment>
    <comment ref="V89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10/10/2016
Retornou de férias 29/10/2016</t>
        </r>
      </text>
    </comment>
    <comment ref="V93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(07/11/2016)
Retornou de férias (26/11/2016)</t>
        </r>
      </text>
    </comment>
    <comment ref="V94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 (24/09/2016)</t>
        </r>
      </text>
    </comment>
    <comment ref="V99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 (12/08/2016)</t>
        </r>
      </text>
    </comment>
    <comment ref="V101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(08/08/16)</t>
        </r>
      </text>
    </comment>
    <comment ref="V104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69480 - Troca de horário.</t>
        </r>
      </text>
    </comment>
    <comment ref="V105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
Agente irá apoiar na redução de AHT
SOS 70623 - Status Ativo</t>
        </r>
      </text>
    </comment>
    <comment ref="V110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(19/09/2016)
Retornou (19/10/2016)
SOS 69368 - Troca de horário
SOS 70478 - Troca de horário</t>
        </r>
      </text>
    </comment>
    <comment ref="V111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70478 - Troca de horário.</t>
        </r>
      </text>
    </comment>
    <comment ref="V113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 (28/09/2016)</t>
        </r>
      </text>
    </comment>
    <comment ref="V116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68877 - Troca de horário</t>
        </r>
      </text>
    </comment>
    <comment ref="V117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69272 - Backup (TCE Qualidade)
SOS 70388 - Backup em TCE Qualidade</t>
        </r>
      </text>
    </comment>
    <comment ref="V118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 (05/10/2016)
SOS 70733 - Pediu demissão</t>
        </r>
      </text>
    </comment>
    <comment ref="V120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70732 - Pediu demissão</t>
        </r>
      </text>
    </comment>
    <comment ref="V122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Agente irá apoiar na redução de AHT
SOS 70623 - Status Ativo</t>
        </r>
      </text>
    </comment>
    <comment ref="V123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Realizada alteração de horário
SOS 69984 - Backup em TCE Qualidade</t>
        </r>
      </text>
    </comment>
    <comment ref="V125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68980 - Troca de Horário
SOS 70627 - Troca de horário</t>
        </r>
      </text>
    </comment>
    <comment ref="V127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(03/10/2016)
Retornou de férias (27/10/2016)</t>
        </r>
      </text>
    </comment>
    <comment ref="V130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(05/12/16)</t>
        </r>
      </text>
    </comment>
    <comment ref="V133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66204 - Mudança de supervisão</t>
        </r>
      </text>
    </comment>
    <comment ref="V134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66204 - Mudança de supervisão</t>
        </r>
      </text>
    </comment>
    <comment ref="V135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
SOS 66204 - Mudança de supervisão
SOS 70601 - Carga horaria reduzida por aviso prévio</t>
        </r>
      </text>
    </comment>
    <comment ref="V136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66204 - Mudança de supervisão
Saiu de férias (03/11/2016)
Retornou de férias (23/11/2016)</t>
        </r>
      </text>
    </comment>
    <comment ref="V137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66204 - Mudança de supervisão</t>
        </r>
      </text>
    </comment>
    <comment ref="V138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68903 - Licença Maternidade</t>
        </r>
      </text>
    </comment>
    <comment ref="V139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66204 - Mudança de supervisão</t>
        </r>
      </text>
    </comment>
    <comment ref="V140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65832 - Troca de horário
SOS 66016 - Troca de horário
SOS 66204 - Mudança de supervisão</t>
        </r>
      </text>
    </comment>
    <comment ref="V142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69291 - Saiu de férias (03/11/2016)
Retornou de férias (22/11/2016)
SOS 70580 -  Troca de horário</t>
        </r>
      </text>
    </comment>
    <comment ref="V143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66204 - Mudança de supervisão
Saiu de férias (03/10/2016)
Retornou de férias (03/11/2016)
</t>
        </r>
      </text>
    </comment>
    <comment ref="V144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65823 - Troca de horário</t>
        </r>
      </text>
    </comment>
    <comment ref="V145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66204 - Mudança de supervisãoSaiu de férias (01/12/16)</t>
        </r>
      </text>
    </comment>
    <comment ref="V146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65833 - Troca de horário
SOS 66204 - Mudança de supervisão</t>
        </r>
      </text>
    </comment>
    <comment ref="V147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15/12/16</t>
        </r>
      </text>
    </comment>
    <comment ref="V148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(24/11/16)
Retornou (14/12/16)</t>
        </r>
      </text>
    </comment>
    <comment ref="V149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(01/12/16)</t>
        </r>
      </text>
    </comment>
    <comment ref="V153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(13/10/2016)</t>
        </r>
      </text>
    </comment>
  </commentList>
</comments>
</file>

<file path=xl/comments2.xml><?xml version="1.0" encoding="utf-8"?>
<comments xmlns="http://schemas.openxmlformats.org/spreadsheetml/2006/main">
  <authors>
    <author>Felipe Nery Saturnino</author>
    <author>Pedro Carmo</author>
  </authors>
  <commentList>
    <comment ref="V8" authorId="0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61700</t>
        </r>
      </text>
    </comment>
    <comment ref="V10" authorId="0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62019
SOS 61700</t>
        </r>
      </text>
    </comment>
    <comment ref="V11" authorId="1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(03/10/2016)
Retornou de férias
(05/12/2016)</t>
        </r>
      </text>
    </comment>
    <comment ref="V12" authorId="1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 Saiu de férias (08/12/2016)</t>
        </r>
      </text>
    </comment>
    <comment ref="V13" authorId="0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61700</t>
        </r>
      </text>
    </comment>
    <comment ref="V14" authorId="1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(03/10/2016)
Retornou de férias (03/11/2016)</t>
        </r>
      </text>
    </comment>
    <comment ref="V16" authorId="0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
SOS 66035 - Mudança de horário</t>
        </r>
      </text>
    </comment>
    <comment ref="V17" authorId="0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61700</t>
        </r>
      </text>
    </comment>
    <comment ref="V18" authorId="1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(08/08/2016)
SOS 66037 - Troca de horário
SOS 68049 - Troca de horário
SOS 70701 - Troca de horário</t>
        </r>
      </text>
    </comment>
  </commentList>
</comments>
</file>

<file path=xl/comments3.xml><?xml version="1.0" encoding="utf-8"?>
<comments xmlns="http://schemas.openxmlformats.org/spreadsheetml/2006/main">
  <authors>
    <author>Carlos Jose Gulin Adao</author>
    <author>Douglas Silva</author>
    <author>Pedro Carmo</author>
    <author>Gabriele Silva</author>
    <author>Felipe Nery Saturnino</author>
  </authors>
  <commentList>
    <comment ref="V10" authorId="0">
      <text>
        <r>
          <rPr>
            <b/>
            <sz val="9"/>
            <color indexed="81"/>
            <rFont val="Tahoma"/>
            <family val="2"/>
          </rPr>
          <t>Carlos Jose Gulin Adao:</t>
        </r>
        <r>
          <rPr>
            <sz val="9"/>
            <color indexed="81"/>
            <rFont val="Tahoma"/>
            <family val="2"/>
          </rPr>
          <t xml:space="preserve">
Transferido de OM para Assistente ADM... SOS indisponível</t>
        </r>
      </text>
    </comment>
    <comment ref="V12" authorId="1">
      <text>
        <r>
          <rPr>
            <b/>
            <sz val="9"/>
            <color indexed="81"/>
            <rFont val="Tahoma"/>
            <family val="2"/>
          </rPr>
          <t>Douglas Silva:</t>
        </r>
        <r>
          <rPr>
            <sz val="9"/>
            <color indexed="81"/>
            <rFont val="Tahoma"/>
            <family val="2"/>
          </rPr>
          <t xml:space="preserve">
Trocou de célula.
SOS: 28032
</t>
        </r>
      </text>
    </comment>
    <comment ref="V13" authorId="2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 (07/08/2016)</t>
        </r>
      </text>
    </comment>
    <comment ref="V15" authorId="2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Férias (13/10/2016)
Retornou de férias (01/11/2016)</t>
        </r>
      </text>
    </comment>
    <comment ref="V16" authorId="2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(03/10/2016)</t>
        </r>
      </text>
    </comment>
    <comment ref="V17" authorId="2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68078 - Troca de supervisor
Troca de célula</t>
        </r>
      </text>
    </comment>
    <comment ref="V18" authorId="2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</t>
        </r>
      </text>
    </comment>
    <comment ref="V19" authorId="2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(03/10/2016)
Retornou de férias (03/11/2016)</t>
        </r>
      </text>
    </comment>
    <comment ref="V20" authorId="2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(21/11/2016)</t>
        </r>
      </text>
    </comment>
    <comment ref="V21" authorId="3">
      <text>
        <r>
          <rPr>
            <b/>
            <sz val="8"/>
            <color indexed="81"/>
            <rFont val="Tahoma"/>
            <family val="2"/>
          </rPr>
          <t xml:space="preserve">Felipe Nery:
</t>
        </r>
        <r>
          <rPr>
            <sz val="8"/>
            <color indexed="81"/>
            <rFont val="Tahoma"/>
            <family val="2"/>
          </rPr>
          <t>SOS 56867</t>
        </r>
        <r>
          <rPr>
            <b/>
            <sz val="8"/>
            <color indexed="81"/>
            <rFont val="Tahoma"/>
            <family val="2"/>
          </rPr>
          <t xml:space="preserve">
Gabriele Silva:</t>
        </r>
        <r>
          <rPr>
            <sz val="8"/>
            <color indexed="81"/>
            <rFont val="Tahoma"/>
            <family val="2"/>
          </rPr>
          <t xml:space="preserve">
Afastamento por doença SOS: 54773
-----------------------------
sos 48541</t>
        </r>
      </text>
    </comment>
    <comment ref="V22" authorId="4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59725
SOS 57801
SOS 56867</t>
        </r>
      </text>
    </comment>
    <comment ref="V23" authorId="3">
      <text>
        <r>
          <rPr>
            <b/>
            <sz val="9"/>
            <color indexed="81"/>
            <rFont val="Tahoma"/>
            <family val="2"/>
          </rPr>
          <t xml:space="preserve">Felipe Nery:
</t>
        </r>
        <r>
          <rPr>
            <sz val="9"/>
            <color indexed="81"/>
            <rFont val="Tahoma"/>
            <family val="2"/>
          </rPr>
          <t xml:space="preserve">SOS  57797
SOS 56867
SOS 56645
</t>
        </r>
        <r>
          <rPr>
            <b/>
            <sz val="9"/>
            <color indexed="81"/>
            <rFont val="Tahoma"/>
            <family val="2"/>
          </rPr>
          <t xml:space="preserve">
Gabriele Silva:</t>
        </r>
        <r>
          <rPr>
            <sz val="9"/>
            <color indexed="81"/>
            <rFont val="Tahoma"/>
            <family val="2"/>
          </rPr>
          <t xml:space="preserve">
sos 34421</t>
        </r>
      </text>
    </comment>
    <comment ref="V24" authorId="2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(01/12/16)</t>
        </r>
      </text>
    </comment>
  </commentList>
</comments>
</file>

<file path=xl/comments4.xml><?xml version="1.0" encoding="utf-8"?>
<comments xmlns="http://schemas.openxmlformats.org/spreadsheetml/2006/main">
  <authors>
    <author>Gabriele Silva</author>
    <author>Douglas Silva</author>
    <author>Felipe Nery Saturnino</author>
    <author>Pedro Carmo</author>
    <author>Pedro Henrique Rodrigues Do Carmo</author>
    <author>Gabriele Santos Da Silva</author>
    <author>Monica Gonçalves</author>
    <author>Bruno Sergio</author>
  </authors>
  <commentList>
    <comment ref="V65" authorId="0">
      <text>
        <r>
          <rPr>
            <b/>
            <sz val="9"/>
            <color indexed="81"/>
            <rFont val="Tahoma"/>
            <family val="2"/>
          </rPr>
          <t>Gabriele Silva:</t>
        </r>
        <r>
          <rPr>
            <sz val="9"/>
            <color indexed="81"/>
            <rFont val="Tahoma"/>
            <family val="2"/>
          </rPr>
          <t xml:space="preserve">
SOS 34226</t>
        </r>
      </text>
    </comment>
    <comment ref="V130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38910</t>
        </r>
      </text>
    </comment>
    <comment ref="V131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Encaminhado por treinamento. Agente em processo de abandono em treinamento.</t>
        </r>
      </text>
    </comment>
    <comment ref="V153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40145</t>
        </r>
      </text>
    </comment>
    <comment ref="V156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41476</t>
        </r>
      </text>
    </comment>
    <comment ref="V157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42161</t>
        </r>
      </text>
    </comment>
    <comment ref="V158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40678</t>
        </r>
      </text>
    </comment>
    <comment ref="V159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41037</t>
        </r>
      </text>
    </comment>
    <comment ref="V160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</t>
        </r>
      </text>
    </comment>
    <comment ref="V161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41081</t>
        </r>
      </text>
    </comment>
    <comment ref="V162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40971</t>
        </r>
      </text>
    </comment>
    <comment ref="V163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41977</t>
        </r>
      </text>
    </comment>
    <comment ref="V164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41379</t>
        </r>
      </text>
    </comment>
    <comment ref="V165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40667</t>
        </r>
      </text>
    </comment>
    <comment ref="V166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41652</t>
        </r>
      </text>
    </comment>
    <comment ref="V167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41489</t>
        </r>
      </text>
    </comment>
    <comment ref="V168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40951</t>
        </r>
      </text>
    </comment>
    <comment ref="V169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41266</t>
        </r>
      </text>
    </comment>
    <comment ref="V170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40878</t>
        </r>
      </text>
    </comment>
    <comment ref="V171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40814</t>
        </r>
      </text>
    </comment>
    <comment ref="V172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40815</t>
        </r>
      </text>
    </comment>
    <comment ref="V173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40813</t>
        </r>
      </text>
    </comment>
    <comment ref="V175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42376</t>
        </r>
      </text>
    </comment>
    <comment ref="V178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43447</t>
        </r>
      </text>
    </comment>
    <comment ref="V179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43363</t>
        </r>
      </text>
    </comment>
    <comment ref="V180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42970</t>
        </r>
      </text>
    </comment>
    <comment ref="V181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42512</t>
        </r>
      </text>
    </comment>
    <comment ref="V182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43600</t>
        </r>
      </text>
    </comment>
    <comment ref="V183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43029</t>
        </r>
      </text>
    </comment>
    <comment ref="V184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43397</t>
        </r>
      </text>
    </comment>
    <comment ref="V185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42966</t>
        </r>
      </text>
    </comment>
    <comment ref="V186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42875</t>
        </r>
      </text>
    </comment>
    <comment ref="V187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43153</t>
        </r>
      </text>
    </comment>
    <comment ref="V188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42710</t>
        </r>
      </text>
    </comment>
    <comment ref="V189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43741</t>
        </r>
      </text>
    </comment>
    <comment ref="V190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43508</t>
        </r>
      </text>
    </comment>
    <comment ref="V191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43522 </t>
        </r>
      </text>
    </comment>
    <comment ref="V192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43379</t>
        </r>
      </text>
    </comment>
    <comment ref="V193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42707</t>
        </r>
      </text>
    </comment>
    <comment ref="V194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43947</t>
        </r>
      </text>
    </comment>
    <comment ref="V195" authorId="1">
      <text>
        <r>
          <rPr>
            <b/>
            <sz val="8"/>
            <color indexed="81"/>
            <rFont val="Tahoma"/>
            <family val="2"/>
          </rPr>
          <t>Douglas Silva:</t>
        </r>
        <r>
          <rPr>
            <sz val="8"/>
            <color indexed="81"/>
            <rFont val="Tahoma"/>
            <family val="2"/>
          </rPr>
          <t xml:space="preserve">
Desligamento
SOS: 43335</t>
        </r>
      </text>
    </comment>
    <comment ref="V196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43514</t>
        </r>
      </text>
    </comment>
    <comment ref="V236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46469
Força tarefa em FUPO(Rosa).</t>
        </r>
      </text>
    </comment>
    <comment ref="V280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</t>
        </r>
      </text>
    </comment>
    <comment ref="V281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51242</t>
        </r>
      </text>
    </comment>
    <comment ref="V282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51359</t>
        </r>
      </text>
    </comment>
    <comment ref="V283" authorId="0">
      <text>
        <r>
          <rPr>
            <b/>
            <sz val="8"/>
            <color indexed="81"/>
            <rFont val="Tahoma"/>
            <family val="2"/>
          </rPr>
          <t xml:space="preserve">Gabriele Silva:
</t>
        </r>
        <r>
          <rPr>
            <sz val="8"/>
            <color indexed="81"/>
            <rFont val="Tahoma"/>
            <family val="2"/>
          </rPr>
          <t>Transferido de operção SOS 51360
Encaminhado por e-mail 
agentes em backup realizando força tarefa em qualidade operacional.</t>
        </r>
      </text>
    </comment>
    <comment ref="V285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Desligamento SOS 51773
SOS 44369</t>
        </r>
      </text>
    </comment>
    <comment ref="V295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55381</t>
        </r>
      </text>
    </comment>
    <comment ref="V308" authorId="1">
      <text>
        <r>
          <rPr>
            <b/>
            <sz val="8"/>
            <color indexed="81"/>
            <rFont val="Tahoma"/>
            <family val="2"/>
          </rPr>
          <t xml:space="preserve">Felipe Nery:
</t>
        </r>
        <r>
          <rPr>
            <sz val="8"/>
            <color indexed="81"/>
            <rFont val="Tahoma"/>
            <family val="2"/>
          </rPr>
          <t>SOS 55606</t>
        </r>
        <r>
          <rPr>
            <b/>
            <sz val="8"/>
            <color indexed="81"/>
            <rFont val="Tahoma"/>
            <family val="2"/>
          </rPr>
          <t xml:space="preserve">
Gabriele Silva:
</t>
        </r>
        <r>
          <rPr>
            <sz val="8"/>
            <color indexed="81"/>
            <rFont val="Tahoma"/>
            <family val="2"/>
          </rPr>
          <t>Retorno de férias SOS 55193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SOS 52418</t>
        </r>
        <r>
          <rPr>
            <b/>
            <sz val="8"/>
            <color indexed="81"/>
            <rFont val="Tahoma"/>
            <family val="2"/>
          </rPr>
          <t xml:space="preserve">
Douglas Silva:</t>
        </r>
        <r>
          <rPr>
            <sz val="8"/>
            <color indexed="81"/>
            <rFont val="Tahoma"/>
            <family val="2"/>
          </rPr>
          <t xml:space="preserve">
SOS: 41653</t>
        </r>
      </text>
    </comment>
    <comment ref="V314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57437</t>
        </r>
      </text>
    </comment>
    <comment ref="V316" authorId="0">
      <text>
        <r>
          <rPr>
            <b/>
            <sz val="8"/>
            <color indexed="81"/>
            <rFont val="Tahoma"/>
            <family val="2"/>
          </rPr>
          <t xml:space="preserve">Felipe Nery:
</t>
        </r>
        <r>
          <rPr>
            <sz val="8"/>
            <color indexed="81"/>
            <rFont val="Tahoma"/>
            <family val="2"/>
          </rPr>
          <t>SOS 57626
SOS 56307</t>
        </r>
        <r>
          <rPr>
            <b/>
            <sz val="8"/>
            <color indexed="81"/>
            <rFont val="Tahoma"/>
            <family val="2"/>
          </rPr>
          <t xml:space="preserve">
Gabriele Silva:</t>
        </r>
        <r>
          <rPr>
            <sz val="8"/>
            <color indexed="81"/>
            <rFont val="Tahoma"/>
            <family val="2"/>
          </rPr>
          <t xml:space="preserve">
SOS 50032 retorno de férias e troca de horario 
---------------
SOS 48191
----------------------
SOS 46984
Cobrindo férias em Unassisted.
</t>
        </r>
      </text>
    </comment>
    <comment ref="V319" authorId="0">
      <text>
        <r>
          <rPr>
            <b/>
            <sz val="9"/>
            <color indexed="81"/>
            <rFont val="Tahoma"/>
            <family val="2"/>
          </rPr>
          <t xml:space="preserve">Felipe Nery:
</t>
        </r>
        <r>
          <rPr>
            <sz val="9"/>
            <color indexed="81"/>
            <rFont val="Tahoma"/>
            <family val="2"/>
          </rPr>
          <t>SOS 57897</t>
        </r>
        <r>
          <rPr>
            <b/>
            <sz val="9"/>
            <color indexed="81"/>
            <rFont val="Tahoma"/>
            <family val="2"/>
          </rPr>
          <t xml:space="preserve">
Gabriele Silva:</t>
        </r>
        <r>
          <rPr>
            <sz val="9"/>
            <color indexed="81"/>
            <rFont val="Tahoma"/>
            <family val="2"/>
          </rPr>
          <t xml:space="preserve">
Retorno de férias SOS 53015
Saida de férias SOS50806
SOS 30226</t>
        </r>
      </text>
    </comment>
    <comment ref="V320" authorId="1">
      <text>
        <r>
          <rPr>
            <b/>
            <sz val="9"/>
            <color indexed="81"/>
            <rFont val="Tahoma"/>
            <family val="2"/>
          </rPr>
          <t xml:space="preserve">Felipe Nery:
</t>
        </r>
        <r>
          <rPr>
            <sz val="9"/>
            <color indexed="81"/>
            <rFont val="Tahoma"/>
            <family val="2"/>
          </rPr>
          <t>SOS 57819
SOS 57192</t>
        </r>
        <r>
          <rPr>
            <b/>
            <sz val="9"/>
            <color indexed="81"/>
            <rFont val="Tahoma"/>
            <family val="2"/>
          </rPr>
          <t xml:space="preserve">
Gabriele Silva:
</t>
        </r>
        <r>
          <rPr>
            <sz val="9"/>
            <color indexed="81"/>
            <rFont val="Tahoma"/>
            <family val="2"/>
          </rPr>
          <t>SOS 52190</t>
        </r>
        <r>
          <rPr>
            <b/>
            <sz val="9"/>
            <color indexed="81"/>
            <rFont val="Tahoma"/>
            <family val="2"/>
          </rPr>
          <t xml:space="preserve">
Douglas Silva:</t>
        </r>
        <r>
          <rPr>
            <sz val="9"/>
            <color indexed="81"/>
            <rFont val="Tahoma"/>
            <family val="2"/>
          </rPr>
          <t xml:space="preserve">
Saiu de férias
SOS: 29606
Analista volto de férias
SOS: 31117</t>
        </r>
      </text>
    </comment>
    <comment ref="V331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59507</t>
        </r>
      </text>
    </comment>
    <comment ref="V333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59640</t>
        </r>
      </text>
    </comment>
    <comment ref="V334" authorId="0">
      <text>
        <r>
          <rPr>
            <b/>
            <sz val="8"/>
            <color indexed="81"/>
            <rFont val="Tahoma"/>
            <family val="2"/>
          </rPr>
          <t xml:space="preserve">Felipe Nery:
</t>
        </r>
        <r>
          <rPr>
            <sz val="8"/>
            <color indexed="81"/>
            <rFont val="Tahoma"/>
            <family val="2"/>
          </rPr>
          <t>SOS 59626</t>
        </r>
        <r>
          <rPr>
            <b/>
            <sz val="8"/>
            <color indexed="81"/>
            <rFont val="Tahoma"/>
            <family val="2"/>
          </rPr>
          <t xml:space="preserve">
Gabriele Silva:</t>
        </r>
        <r>
          <rPr>
            <sz val="8"/>
            <color indexed="81"/>
            <rFont val="Tahoma"/>
            <family val="2"/>
          </rPr>
          <t xml:space="preserve">
SOS 58158
Agente de treinamento pos não comparece desde o inicio dos OCPs na operação.
</t>
        </r>
      </text>
    </comment>
    <comment ref="V335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59963</t>
        </r>
      </text>
    </comment>
    <comment ref="V336" authorId="0">
      <text>
        <r>
          <rPr>
            <b/>
            <sz val="8"/>
            <color indexed="81"/>
            <rFont val="Tahoma"/>
            <family val="2"/>
          </rPr>
          <t xml:space="preserve">Felipe Nery:
</t>
        </r>
        <r>
          <rPr>
            <sz val="8"/>
            <color indexed="81"/>
            <rFont val="Tahoma"/>
            <family val="2"/>
          </rPr>
          <t>SOS 60025
SOS 59638</t>
        </r>
        <r>
          <rPr>
            <b/>
            <sz val="8"/>
            <color indexed="81"/>
            <rFont val="Tahoma"/>
            <family val="2"/>
          </rPr>
          <t xml:space="preserve">
Gabriele Silva:</t>
        </r>
        <r>
          <rPr>
            <sz val="8"/>
            <color indexed="81"/>
            <rFont val="Tahoma"/>
            <family val="2"/>
          </rPr>
          <t xml:space="preserve">
Retorno de férias SOS 55377.
sos 53383</t>
        </r>
      </text>
    </comment>
    <comment ref="V337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60020</t>
        </r>
      </text>
    </comment>
    <comment ref="V338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60078
SOS 58664
SOS 57295
SOS 56658
SOS 56090
</t>
        </r>
      </text>
    </comment>
    <comment ref="V339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60093
SOS 58054</t>
        </r>
      </text>
    </comment>
    <comment ref="V348" authorId="0">
      <text>
        <r>
          <rPr>
            <b/>
            <sz val="9"/>
            <color indexed="81"/>
            <rFont val="Tahoma"/>
            <family val="2"/>
          </rPr>
          <t xml:space="preserve">Felipe Nery:
</t>
        </r>
        <r>
          <rPr>
            <sz val="9"/>
            <color indexed="81"/>
            <rFont val="Tahoma"/>
            <family val="2"/>
          </rPr>
          <t>SOS 62259</t>
        </r>
        <r>
          <rPr>
            <b/>
            <sz val="9"/>
            <color indexed="81"/>
            <rFont val="Tahoma"/>
            <family val="2"/>
          </rPr>
          <t xml:space="preserve">
Gabriele Silva:</t>
        </r>
        <r>
          <rPr>
            <sz val="9"/>
            <color indexed="81"/>
            <rFont val="Tahoma"/>
            <family val="2"/>
          </rPr>
          <t xml:space="preserve">
SOS 35501</t>
        </r>
      </text>
    </comment>
    <comment ref="V349" authorId="1">
      <text>
        <r>
          <rPr>
            <b/>
            <sz val="8"/>
            <color indexed="81"/>
            <rFont val="Tahoma"/>
            <family val="2"/>
          </rPr>
          <t xml:space="preserve">Felipe Nery:
</t>
        </r>
        <r>
          <rPr>
            <sz val="8"/>
            <color indexed="81"/>
            <rFont val="Tahoma"/>
            <family val="2"/>
          </rPr>
          <t>SOS 61873
SOS 59787
SOS 57704
SOS 56037</t>
        </r>
        <r>
          <rPr>
            <b/>
            <sz val="8"/>
            <color indexed="81"/>
            <rFont val="Tahoma"/>
            <family val="2"/>
          </rPr>
          <t xml:space="preserve">
Douglas Silva:</t>
        </r>
        <r>
          <rPr>
            <sz val="8"/>
            <color indexed="81"/>
            <rFont val="Tahoma"/>
            <family val="2"/>
          </rPr>
          <t xml:space="preserve">
45016</t>
        </r>
      </text>
    </comment>
    <comment ref="V350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62413</t>
        </r>
      </text>
    </comment>
    <comment ref="V351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62411
Backup solicitado via e-mail pela Mônica.</t>
        </r>
      </text>
    </comment>
    <comment ref="V352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61786
SOS 58287</t>
        </r>
      </text>
    </comment>
    <comment ref="V353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61790</t>
        </r>
      </text>
    </comment>
    <comment ref="V354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62327</t>
        </r>
      </text>
    </comment>
    <comment ref="V355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61789</t>
        </r>
      </text>
    </comment>
    <comment ref="V356" authorId="1">
      <text>
        <r>
          <rPr>
            <b/>
            <sz val="8"/>
            <color indexed="81"/>
            <rFont val="Tahoma"/>
            <family val="2"/>
          </rPr>
          <t xml:space="preserve">Felipe Nery:
</t>
        </r>
        <r>
          <rPr>
            <sz val="8"/>
            <color indexed="81"/>
            <rFont val="Tahoma"/>
            <family val="2"/>
          </rPr>
          <t>SOS 62065
SOS 60738
SOS 59379
SOS 58316
SOS 57995
SOS 57375
SOS 54695</t>
        </r>
        <r>
          <rPr>
            <b/>
            <sz val="8"/>
            <color indexed="81"/>
            <rFont val="Tahoma"/>
            <family val="2"/>
          </rPr>
          <t xml:space="preserve">
Gabriele Silva: 
</t>
        </r>
        <r>
          <rPr>
            <sz val="8"/>
            <color indexed="81"/>
            <rFont val="Tahoma"/>
            <family val="2"/>
          </rPr>
          <t>SOS: 53999</t>
        </r>
        <r>
          <rPr>
            <b/>
            <sz val="8"/>
            <color indexed="81"/>
            <rFont val="Tahoma"/>
            <family val="2"/>
          </rPr>
          <t xml:space="preserve">
Douglas Silva:</t>
        </r>
        <r>
          <rPr>
            <sz val="8"/>
            <color indexed="81"/>
            <rFont val="Tahoma"/>
            <family val="2"/>
          </rPr>
          <t xml:space="preserve">
SOS: 43919</t>
        </r>
      </text>
    </comment>
    <comment ref="V357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61771</t>
        </r>
      </text>
    </comment>
    <comment ref="V358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62257</t>
        </r>
      </text>
    </comment>
    <comment ref="V359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61809</t>
        </r>
      </text>
    </comment>
    <comment ref="V360" authorId="0">
      <text>
        <r>
          <rPr>
            <b/>
            <sz val="8"/>
            <color indexed="81"/>
            <rFont val="Tahoma"/>
            <family val="2"/>
          </rPr>
          <t xml:space="preserve">Felipe Nery:
</t>
        </r>
        <r>
          <rPr>
            <sz val="8"/>
            <color indexed="81"/>
            <rFont val="Tahoma"/>
            <family val="2"/>
          </rPr>
          <t>SOS 62083
SOS 61760</t>
        </r>
        <r>
          <rPr>
            <b/>
            <sz val="8"/>
            <color indexed="81"/>
            <rFont val="Tahoma"/>
            <family val="2"/>
          </rPr>
          <t xml:space="preserve">
Gabriele Silva:
</t>
        </r>
        <r>
          <rPr>
            <sz val="8"/>
            <color indexed="81"/>
            <rFont val="Tahoma"/>
            <family val="2"/>
          </rPr>
          <t xml:space="preserve">SOS 57519
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Força tarefa Callback commercial sos 52118
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Retorno SOS  50128 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SOS 48514</t>
        </r>
      </text>
    </comment>
    <comment ref="V361" authorId="1">
      <text>
        <r>
          <rPr>
            <b/>
            <sz val="8"/>
            <color indexed="81"/>
            <rFont val="Tahoma"/>
            <family val="2"/>
          </rPr>
          <t xml:space="preserve">Felipe Nery:
</t>
        </r>
        <r>
          <rPr>
            <sz val="8"/>
            <color indexed="81"/>
            <rFont val="Tahoma"/>
            <family val="2"/>
          </rPr>
          <t>SOS 62581</t>
        </r>
        <r>
          <rPr>
            <b/>
            <sz val="8"/>
            <color indexed="81"/>
            <rFont val="Tahoma"/>
            <family val="2"/>
          </rPr>
          <t xml:space="preserve">
Douglas Silva:</t>
        </r>
        <r>
          <rPr>
            <sz val="8"/>
            <color indexed="81"/>
            <rFont val="Tahoma"/>
            <family val="2"/>
          </rPr>
          <t xml:space="preserve">
SOS: 45747</t>
        </r>
      </text>
    </comment>
    <comment ref="V362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62594
SOS 62010</t>
        </r>
      </text>
    </comment>
    <comment ref="V365" authorId="0">
      <text>
        <r>
          <rPr>
            <b/>
            <sz val="9"/>
            <color indexed="81"/>
            <rFont val="Tahoma"/>
            <family val="2"/>
          </rPr>
          <t xml:space="preserve">Felipe Nery:
</t>
        </r>
        <r>
          <rPr>
            <sz val="9"/>
            <color indexed="81"/>
            <rFont val="Tahoma"/>
            <family val="2"/>
          </rPr>
          <t>SOS 56759</t>
        </r>
        <r>
          <rPr>
            <b/>
            <sz val="9"/>
            <color indexed="81"/>
            <rFont val="Tahoma"/>
            <family val="2"/>
          </rPr>
          <t xml:space="preserve">
Gabriele Silva:</t>
        </r>
        <r>
          <rPr>
            <sz val="9"/>
            <color indexed="81"/>
            <rFont val="Tahoma"/>
            <family val="2"/>
          </rPr>
          <t xml:space="preserve">
Saida de férias SOS 54567
SOS 25532
</t>
        </r>
        <r>
          <rPr>
            <b/>
            <sz val="9"/>
            <color indexed="81"/>
            <rFont val="Tahoma"/>
            <family val="2"/>
          </rPr>
          <t>Douglas Vieira:</t>
        </r>
        <r>
          <rPr>
            <sz val="9"/>
            <color indexed="81"/>
            <rFont val="Tahoma"/>
            <family val="2"/>
          </rPr>
          <t xml:space="preserve">
Retorno de férias.
SOS: 27794 </t>
        </r>
      </text>
    </comment>
    <comment ref="V366" authorId="1">
      <text>
        <r>
          <rPr>
            <b/>
            <sz val="9"/>
            <color indexed="81"/>
            <rFont val="Tahoma"/>
            <family val="2"/>
          </rPr>
          <t xml:space="preserve">Felipe Nery:
</t>
        </r>
        <r>
          <rPr>
            <sz val="9"/>
            <color indexed="81"/>
            <rFont val="Tahoma"/>
            <family val="2"/>
          </rPr>
          <t>SOS 57301</t>
        </r>
        <r>
          <rPr>
            <b/>
            <sz val="9"/>
            <color indexed="81"/>
            <rFont val="Tahoma"/>
            <family val="2"/>
          </rPr>
          <t xml:space="preserve">
Douglas Silva:</t>
        </r>
        <r>
          <rPr>
            <sz val="9"/>
            <color indexed="81"/>
            <rFont val="Tahoma"/>
            <family val="2"/>
          </rPr>
          <t xml:space="preserve">
SOS: 30952</t>
        </r>
      </text>
    </comment>
    <comment ref="V367" authorId="0">
      <text>
        <r>
          <rPr>
            <b/>
            <sz val="9"/>
            <color indexed="81"/>
            <rFont val="Tahoma"/>
            <family val="2"/>
          </rPr>
          <t>Gabriele Silva:</t>
        </r>
        <r>
          <rPr>
            <sz val="9"/>
            <color indexed="81"/>
            <rFont val="Tahoma"/>
            <family val="2"/>
          </rPr>
          <t xml:space="preserve">
SOS: 60171
SOS 34843
SOS 61518</t>
        </r>
      </text>
    </comment>
    <comment ref="V371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63585</t>
        </r>
      </text>
    </comment>
    <comment ref="V372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63594</t>
        </r>
      </text>
    </comment>
    <comment ref="V373" authorId="2">
      <text>
        <r>
          <rPr>
            <b/>
            <sz val="9"/>
            <color indexed="81"/>
            <rFont val="Tahoma"/>
            <family val="2"/>
          </rPr>
          <t xml:space="preserve">Gabriele Silva:
</t>
        </r>
        <r>
          <rPr>
            <sz val="9"/>
            <color indexed="81"/>
            <rFont val="Tahoma"/>
            <family val="2"/>
          </rPr>
          <t xml:space="preserve">SOS 63093
</t>
        </r>
        <r>
          <rPr>
            <b/>
            <sz val="9"/>
            <color indexed="81"/>
            <rFont val="Tahoma"/>
            <family val="2"/>
          </rPr>
          <t xml:space="preserve">
Felipe Nery Saturnino:</t>
        </r>
        <r>
          <rPr>
            <sz val="9"/>
            <color indexed="81"/>
            <rFont val="Tahoma"/>
            <family val="2"/>
          </rPr>
          <t xml:space="preserve">
SOS 61585</t>
        </r>
      </text>
    </comment>
    <comment ref="V374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63809</t>
        </r>
      </text>
    </comment>
    <comment ref="V375" authorId="2">
      <text>
        <r>
          <rPr>
            <b/>
            <sz val="9"/>
            <color indexed="81"/>
            <rFont val="Tahoma"/>
            <family val="2"/>
          </rPr>
          <t>Pedro Carmo:
SOS 63581
Felipe Nery Saturnino:</t>
        </r>
        <r>
          <rPr>
            <sz val="9"/>
            <color indexed="81"/>
            <rFont val="Tahoma"/>
            <family val="2"/>
          </rPr>
          <t xml:space="preserve">
SOS 61901
SOS 60302
SOS 57867</t>
        </r>
      </text>
    </comment>
    <comment ref="V376" authorId="4">
      <text>
        <r>
          <rPr>
            <b/>
            <sz val="9"/>
            <color indexed="81"/>
            <rFont val="Tahoma"/>
            <family val="2"/>
          </rPr>
          <t>Pedro Henrique Rodrigues Do Carmo:</t>
        </r>
        <r>
          <rPr>
            <sz val="9"/>
            <color indexed="81"/>
            <rFont val="Tahoma"/>
            <family val="2"/>
          </rPr>
          <t xml:space="preserve">
SOS 63198</t>
        </r>
      </text>
    </comment>
    <comment ref="V377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63118</t>
        </r>
      </text>
    </comment>
    <comment ref="V378" authorId="1">
      <text>
        <r>
          <rPr>
            <b/>
            <sz val="8"/>
            <color indexed="81"/>
            <rFont val="Tahoma"/>
            <family val="2"/>
          </rPr>
          <t xml:space="preserve">Pedro Carmo:
SOS 62992
Felipe Nery:
</t>
        </r>
        <r>
          <rPr>
            <sz val="8"/>
            <color indexed="81"/>
            <rFont val="Tahoma"/>
            <family val="2"/>
          </rPr>
          <t>SOS 61866
SOS 61736</t>
        </r>
        <r>
          <rPr>
            <b/>
            <sz val="8"/>
            <color indexed="81"/>
            <rFont val="Tahoma"/>
            <family val="2"/>
          </rPr>
          <t xml:space="preserve">
Douglas Silva:</t>
        </r>
        <r>
          <rPr>
            <sz val="8"/>
            <color indexed="81"/>
            <rFont val="Tahoma"/>
            <family val="2"/>
          </rPr>
          <t xml:space="preserve">
Volto de férias
SOS: 40737</t>
        </r>
      </text>
    </comment>
    <comment ref="V379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63143</t>
        </r>
      </text>
    </comment>
    <comment ref="V380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63551</t>
        </r>
      </text>
    </comment>
    <comment ref="V381" authorId="0">
      <text>
        <r>
          <rPr>
            <b/>
            <sz val="8"/>
            <color indexed="81"/>
            <rFont val="Tahoma"/>
            <family val="2"/>
          </rPr>
          <t xml:space="preserve">Felipe Nery:
</t>
        </r>
        <r>
          <rPr>
            <sz val="8"/>
            <color indexed="81"/>
            <rFont val="Tahoma"/>
            <family val="2"/>
          </rPr>
          <t>SOS 58224
SOS 56403</t>
        </r>
        <r>
          <rPr>
            <b/>
            <sz val="8"/>
            <color indexed="81"/>
            <rFont val="Tahoma"/>
            <family val="2"/>
          </rPr>
          <t xml:space="preserve">
Gabriele Silva:</t>
        </r>
        <r>
          <rPr>
            <sz val="8"/>
            <color indexed="81"/>
            <rFont val="Tahoma"/>
            <family val="2"/>
          </rPr>
          <t xml:space="preserve">
sos 53874</t>
        </r>
      </text>
    </comment>
    <comment ref="V382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64125 - Desligamento</t>
        </r>
      </text>
    </comment>
    <comment ref="V383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60472</t>
        </r>
      </text>
    </comment>
    <comment ref="V384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Solicitou o desligamento, conforme e-mail de treinamento</t>
        </r>
      </text>
    </comment>
    <comment ref="V385" authorId="5">
      <text>
        <r>
          <rPr>
            <b/>
            <sz val="9"/>
            <color indexed="81"/>
            <rFont val="Tahoma"/>
            <family val="2"/>
          </rPr>
          <t xml:space="preserve">Pedro Carmo:
SOS 63370
SOS 63357
SOS 64302
Felipe Nery:
</t>
        </r>
        <r>
          <rPr>
            <sz val="9"/>
            <color indexed="81"/>
            <rFont val="Tahoma"/>
            <family val="2"/>
          </rPr>
          <t>SOS 61831</t>
        </r>
        <r>
          <rPr>
            <b/>
            <sz val="9"/>
            <color indexed="81"/>
            <rFont val="Tahoma"/>
            <family val="2"/>
          </rPr>
          <t xml:space="preserve">
Gabriele Santos Da Silva:</t>
        </r>
        <r>
          <rPr>
            <sz val="9"/>
            <color indexed="81"/>
            <rFont val="Tahoma"/>
            <family val="2"/>
          </rPr>
          <t xml:space="preserve">
sos 60158</t>
        </r>
      </text>
    </comment>
    <comment ref="V386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64318 - Desligamento</t>
        </r>
      </text>
    </comment>
    <comment ref="V387" authorId="5">
      <text>
        <r>
          <rPr>
            <b/>
            <sz val="9"/>
            <color indexed="81"/>
            <rFont val="Tahoma"/>
            <family val="2"/>
          </rPr>
          <t xml:space="preserve">Pedro Carmo:
SOS 63370
SOS 63357
SOS 64302
Felipe Nery:
</t>
        </r>
        <r>
          <rPr>
            <sz val="9"/>
            <color indexed="81"/>
            <rFont val="Tahoma"/>
            <family val="2"/>
          </rPr>
          <t>SOS 61831</t>
        </r>
        <r>
          <rPr>
            <b/>
            <sz val="9"/>
            <color indexed="81"/>
            <rFont val="Tahoma"/>
            <family val="2"/>
          </rPr>
          <t xml:space="preserve">
Gabriele Santos Da Silva:</t>
        </r>
        <r>
          <rPr>
            <sz val="9"/>
            <color indexed="81"/>
            <rFont val="Tahoma"/>
            <family val="2"/>
          </rPr>
          <t xml:space="preserve">
sos 60158</t>
        </r>
      </text>
    </comment>
    <comment ref="V388" authorId="2">
      <text>
        <r>
          <rPr>
            <b/>
            <sz val="9"/>
            <color indexed="81"/>
            <rFont val="Tahoma"/>
            <family val="2"/>
          </rPr>
          <t>Pedro Carmo: 
SOS 64385 - Desligamento
Felipe Nery Saturnino:</t>
        </r>
        <r>
          <rPr>
            <sz val="9"/>
            <color indexed="81"/>
            <rFont val="Tahoma"/>
            <family val="2"/>
          </rPr>
          <t xml:space="preserve">
SOS 60149</t>
        </r>
      </text>
    </comment>
    <comment ref="V389" authorId="5">
      <text>
        <r>
          <rPr>
            <b/>
            <sz val="9"/>
            <color indexed="81"/>
            <rFont val="Tahoma"/>
            <family val="2"/>
          </rPr>
          <t xml:space="preserve">Pedro Carmo:
SOS 64390 - Transferido
Felipe Nery:
</t>
        </r>
        <r>
          <rPr>
            <sz val="9"/>
            <color indexed="81"/>
            <rFont val="Tahoma"/>
            <family val="2"/>
          </rPr>
          <t>SOS 61829</t>
        </r>
        <r>
          <rPr>
            <b/>
            <sz val="9"/>
            <color indexed="81"/>
            <rFont val="Tahoma"/>
            <family val="2"/>
          </rPr>
          <t xml:space="preserve">
Gabriele Santos Da Silva:</t>
        </r>
        <r>
          <rPr>
            <sz val="9"/>
            <color indexed="81"/>
            <rFont val="Tahoma"/>
            <family val="2"/>
          </rPr>
          <t xml:space="preserve">
SOS 60147</t>
        </r>
      </text>
    </comment>
    <comment ref="V390" authorId="5">
      <text>
        <r>
          <rPr>
            <b/>
            <sz val="9"/>
            <color indexed="81"/>
            <rFont val="Tahoma"/>
            <family val="2"/>
          </rPr>
          <t xml:space="preserve">Pedro Carmo:
SOS 64390 - Transferido
Felipe Nery:
</t>
        </r>
        <r>
          <rPr>
            <sz val="9"/>
            <color indexed="81"/>
            <rFont val="Tahoma"/>
            <family val="2"/>
          </rPr>
          <t>SOS 61829</t>
        </r>
        <r>
          <rPr>
            <b/>
            <sz val="9"/>
            <color indexed="81"/>
            <rFont val="Tahoma"/>
            <family val="2"/>
          </rPr>
          <t xml:space="preserve">
Gabriele Santos Da Silva:</t>
        </r>
        <r>
          <rPr>
            <sz val="9"/>
            <color indexed="81"/>
            <rFont val="Tahoma"/>
            <family val="2"/>
          </rPr>
          <t xml:space="preserve">
SOS 60147</t>
        </r>
      </text>
    </comment>
    <comment ref="V391" authorId="1">
      <text>
        <r>
          <rPr>
            <b/>
            <sz val="8"/>
            <color indexed="81"/>
            <rFont val="Tahoma"/>
            <family val="2"/>
          </rPr>
          <t>Pedro Carmo: 
SOS 63170
SOS 64934
Felipe Nery:</t>
        </r>
        <r>
          <rPr>
            <sz val="8"/>
            <color indexed="81"/>
            <rFont val="Tahoma"/>
            <family val="2"/>
          </rPr>
          <t xml:space="preserve">
SOS 61566
SOS 58200
SOS 56851</t>
        </r>
        <r>
          <rPr>
            <b/>
            <sz val="8"/>
            <color indexed="81"/>
            <rFont val="Tahoma"/>
            <family val="2"/>
          </rPr>
          <t xml:space="preserve">
Douglas Silva:</t>
        </r>
        <r>
          <rPr>
            <sz val="8"/>
            <color indexed="81"/>
            <rFont val="Tahoma"/>
            <family val="2"/>
          </rPr>
          <t xml:space="preserve">
SOS: 39988</t>
        </r>
      </text>
    </comment>
    <comment ref="V392" authorId="2">
      <text>
        <r>
          <rPr>
            <b/>
            <sz val="9"/>
            <color indexed="81"/>
            <rFont val="Tahoma"/>
            <family val="2"/>
          </rPr>
          <t>Pedro Carmo
SOS 63170
SOS 64935
Felipe Nery Saturnino:</t>
        </r>
        <r>
          <rPr>
            <sz val="9"/>
            <color indexed="81"/>
            <rFont val="Tahoma"/>
            <family val="2"/>
          </rPr>
          <t xml:space="preserve">
SOS 61566
SOS 58950</t>
        </r>
      </text>
    </comment>
    <comment ref="V393" authorId="2">
      <text>
        <r>
          <rPr>
            <b/>
            <sz val="9"/>
            <color indexed="81"/>
            <rFont val="Tahoma"/>
            <family val="2"/>
          </rPr>
          <t xml:space="preserve">Pedro Carmo: 
SOS 64936
Gabriele Silva: 
</t>
        </r>
        <r>
          <rPr>
            <sz val="9"/>
            <color indexed="81"/>
            <rFont val="Tahoma"/>
            <family val="2"/>
          </rPr>
          <t xml:space="preserve">SOS 58244
</t>
        </r>
        <r>
          <rPr>
            <b/>
            <sz val="9"/>
            <color indexed="81"/>
            <rFont val="Tahoma"/>
            <family val="2"/>
          </rPr>
          <t xml:space="preserve">
Felipe Nery Saturnino:</t>
        </r>
        <r>
          <rPr>
            <sz val="9"/>
            <color indexed="81"/>
            <rFont val="Tahoma"/>
            <family val="2"/>
          </rPr>
          <t xml:space="preserve">
SOS 56173</t>
        </r>
      </text>
    </comment>
    <comment ref="V394" authorId="2">
      <text>
        <r>
          <rPr>
            <b/>
            <sz val="9"/>
            <color indexed="81"/>
            <rFont val="Tahoma"/>
            <family val="2"/>
          </rPr>
          <t>Felipe Nery Saturnino:</t>
        </r>
        <r>
          <rPr>
            <sz val="9"/>
            <color indexed="81"/>
            <rFont val="Tahoma"/>
            <family val="2"/>
          </rPr>
          <t xml:space="preserve">
SOS 62240
SOS 57371 
SOS 55595 - Ferias
SOS 55628 - Licença
Pedro Carmo:
SOS 64937</t>
        </r>
      </text>
    </comment>
    <comment ref="V395" authorId="0">
      <text>
        <r>
          <rPr>
            <b/>
            <sz val="8"/>
            <color indexed="81"/>
            <rFont val="Tahoma"/>
            <family val="2"/>
          </rPr>
          <t>Pedro Carmo:
SOS 64938
Gabriele Silva:</t>
        </r>
        <r>
          <rPr>
            <sz val="8"/>
            <color indexed="81"/>
            <rFont val="Tahoma"/>
            <family val="2"/>
          </rPr>
          <t xml:space="preserve">
sos 52088</t>
        </r>
      </text>
    </comment>
    <comment ref="V396" authorId="1">
      <text>
        <r>
          <rPr>
            <b/>
            <sz val="9"/>
            <color indexed="81"/>
            <rFont val="Tahoma"/>
            <family val="2"/>
          </rPr>
          <t xml:space="preserve">Pedro Carmo:
SOS 63467
SOS 64939
Felipe Nery:
</t>
        </r>
        <r>
          <rPr>
            <sz val="9"/>
            <color indexed="81"/>
            <rFont val="Tahoma"/>
            <family val="2"/>
          </rPr>
          <t>SOS 61775</t>
        </r>
        <r>
          <rPr>
            <b/>
            <sz val="9"/>
            <color indexed="81"/>
            <rFont val="Tahoma"/>
            <family val="2"/>
          </rPr>
          <t xml:space="preserve">
Douglas Silva:</t>
        </r>
        <r>
          <rPr>
            <sz val="9"/>
            <color indexed="81"/>
            <rFont val="Tahoma"/>
            <family val="2"/>
          </rPr>
          <t xml:space="preserve">
Analista volto de férias
SOS: 31118</t>
        </r>
      </text>
    </comment>
    <comment ref="V397" authorId="0">
      <text>
        <r>
          <rPr>
            <b/>
            <sz val="8"/>
            <color indexed="81"/>
            <rFont val="Tahoma"/>
            <family val="2"/>
          </rPr>
          <t xml:space="preserve">Pedro Carmo:
SOS 64940
Felipe Nery:
</t>
        </r>
        <r>
          <rPr>
            <sz val="8"/>
            <color indexed="81"/>
            <rFont val="Tahoma"/>
            <family val="2"/>
          </rPr>
          <t>SOS 54659</t>
        </r>
        <r>
          <rPr>
            <b/>
            <sz val="8"/>
            <color indexed="81"/>
            <rFont val="Tahoma"/>
            <family val="2"/>
          </rPr>
          <t xml:space="preserve">
Gabriele Silva:</t>
        </r>
        <r>
          <rPr>
            <sz val="8"/>
            <color indexed="81"/>
            <rFont val="Tahoma"/>
            <family val="2"/>
          </rPr>
          <t xml:space="preserve">
sos 48435</t>
        </r>
      </text>
    </comment>
    <comment ref="V398" authorId="0">
      <text>
        <r>
          <rPr>
            <b/>
            <sz val="8"/>
            <color indexed="81"/>
            <rFont val="Tahoma"/>
            <family val="2"/>
          </rPr>
          <t xml:space="preserve">Pedro Carmo: 
SOS 64789
Felipe Nery:
</t>
        </r>
        <r>
          <rPr>
            <sz val="8"/>
            <color indexed="81"/>
            <rFont val="Tahoma"/>
            <family val="2"/>
          </rPr>
          <t>SOS 62614
SOS 62454
SOS 60381</t>
        </r>
        <r>
          <rPr>
            <b/>
            <sz val="8"/>
            <color indexed="81"/>
            <rFont val="Tahoma"/>
            <family val="2"/>
          </rPr>
          <t xml:space="preserve">
Gabriele Silva:</t>
        </r>
        <r>
          <rPr>
            <sz val="8"/>
            <color indexed="81"/>
            <rFont val="Tahoma"/>
            <family val="2"/>
          </rPr>
          <t xml:space="preserve">
Encaminhado por e-mail 
agentes em backup realizando força tarefa em qualidade operacional.</t>
        </r>
      </text>
    </comment>
    <comment ref="V400" authorId="1">
      <text>
        <r>
          <rPr>
            <b/>
            <sz val="8"/>
            <color indexed="81"/>
            <rFont val="Tahoma"/>
            <family val="2"/>
          </rPr>
          <t xml:space="preserve">Pedro Carmo:
SOS 64478 - Transferido para Dell
Gabriele Silva:
</t>
        </r>
        <r>
          <rPr>
            <sz val="8"/>
            <color indexed="81"/>
            <rFont val="Tahoma"/>
            <family val="2"/>
          </rPr>
          <t>SOS 58239</t>
        </r>
        <r>
          <rPr>
            <b/>
            <sz val="8"/>
            <color indexed="81"/>
            <rFont val="Tahoma"/>
            <family val="2"/>
          </rPr>
          <t xml:space="preserve">
Felipe Nery:
</t>
        </r>
        <r>
          <rPr>
            <sz val="8"/>
            <color indexed="81"/>
            <rFont val="Tahoma"/>
            <family val="2"/>
          </rPr>
          <t>SOS 56085</t>
        </r>
        <r>
          <rPr>
            <b/>
            <sz val="8"/>
            <color indexed="81"/>
            <rFont val="Tahoma"/>
            <family val="2"/>
          </rPr>
          <t xml:space="preserve">
Douglas Silva:</t>
        </r>
        <r>
          <rPr>
            <sz val="8"/>
            <color indexed="81"/>
            <rFont val="Tahoma"/>
            <family val="2"/>
          </rPr>
          <t xml:space="preserve">
SOS: 40956</t>
        </r>
      </text>
    </comment>
    <comment ref="V402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64689</t>
        </r>
      </text>
    </comment>
    <comment ref="V403" authorId="0">
      <text>
        <r>
          <rPr>
            <b/>
            <sz val="8"/>
            <color indexed="81"/>
            <rFont val="Tahoma"/>
            <family val="2"/>
          </rPr>
          <t xml:space="preserve">Pedro Carmo: 
SOS 64449
Felipe Nery:
</t>
        </r>
        <r>
          <rPr>
            <sz val="8"/>
            <color indexed="81"/>
            <rFont val="Tahoma"/>
            <family val="2"/>
          </rPr>
          <t>SOS 60304</t>
        </r>
        <r>
          <rPr>
            <b/>
            <sz val="8"/>
            <color indexed="81"/>
            <rFont val="Tahoma"/>
            <family val="2"/>
          </rPr>
          <t xml:space="preserve">
Gabriele Silva:</t>
        </r>
        <r>
          <rPr>
            <sz val="8"/>
            <color indexed="81"/>
            <rFont val="Tahoma"/>
            <family val="2"/>
          </rPr>
          <t xml:space="preserve">
SOS 58134</t>
        </r>
      </text>
    </comment>
    <comment ref="W403" authorId="6">
      <text>
        <r>
          <rPr>
            <b/>
            <sz val="9"/>
            <color indexed="81"/>
            <rFont val="Tahoma"/>
            <family val="2"/>
          </rPr>
          <t>Monica Gonçalves:</t>
        </r>
        <r>
          <rPr>
            <sz val="9"/>
            <color indexed="81"/>
            <rFont val="Tahoma"/>
            <family val="2"/>
          </rPr>
          <t xml:space="preserve">
SOS 61846 para status treinamento</t>
        </r>
      </text>
    </comment>
    <comment ref="V404" authorId="0">
      <text>
        <r>
          <rPr>
            <b/>
            <sz val="8"/>
            <color indexed="81"/>
            <rFont val="Tahoma"/>
            <family val="2"/>
          </rPr>
          <t>Pedro Carmo:
SOS 64454
Gabriele Silva:</t>
        </r>
        <r>
          <rPr>
            <sz val="8"/>
            <color indexed="81"/>
            <rFont val="Tahoma"/>
            <family val="2"/>
          </rPr>
          <t xml:space="preserve">
SOS 47211
Retono de férias 
SOS 48538</t>
        </r>
      </text>
    </comment>
    <comment ref="V405" authorId="0">
      <text>
        <r>
          <rPr>
            <b/>
            <sz val="8"/>
            <color indexed="81"/>
            <rFont val="Tahoma"/>
            <family val="2"/>
          </rPr>
          <t xml:space="preserve">Pedro Carmo: 
SOS 64072 Troca de horário
SOS 64455 Desligamento
Gabriele Silva:
</t>
        </r>
        <r>
          <rPr>
            <sz val="8"/>
            <color indexed="81"/>
            <rFont val="Tahoma"/>
            <family val="2"/>
          </rPr>
          <t xml:space="preserve">SOS 61098 </t>
        </r>
        <r>
          <rPr>
            <b/>
            <sz val="8"/>
            <color indexed="81"/>
            <rFont val="Tahoma"/>
            <family val="2"/>
          </rPr>
          <t xml:space="preserve">
Felipe Nery:
</t>
        </r>
        <r>
          <rPr>
            <sz val="8"/>
            <color indexed="81"/>
            <rFont val="Tahoma"/>
            <family val="2"/>
          </rPr>
          <t>SOS 59391</t>
        </r>
        <r>
          <rPr>
            <b/>
            <sz val="8"/>
            <color indexed="81"/>
            <rFont val="Tahoma"/>
            <family val="2"/>
          </rPr>
          <t xml:space="preserve">
Gabriele Silva:</t>
        </r>
        <r>
          <rPr>
            <sz val="8"/>
            <color indexed="81"/>
            <rFont val="Tahoma"/>
            <family val="2"/>
          </rPr>
          <t xml:space="preserve">
sos 37871</t>
        </r>
      </text>
    </comment>
    <comment ref="V406" authorId="2">
      <text>
        <r>
          <rPr>
            <b/>
            <sz val="9"/>
            <color indexed="81"/>
            <rFont val="Tahoma"/>
            <family val="2"/>
          </rPr>
          <t>Pedro Carmo: 
SOS 64477 - Transferido para Dell
Felipe Nery Saturnino:</t>
        </r>
        <r>
          <rPr>
            <sz val="9"/>
            <color indexed="81"/>
            <rFont val="Tahoma"/>
            <family val="2"/>
          </rPr>
          <t xml:space="preserve">
SOS 57463</t>
        </r>
      </text>
    </comment>
    <comment ref="V407" authorId="1">
      <text>
        <r>
          <rPr>
            <b/>
            <sz val="8"/>
            <color indexed="81"/>
            <rFont val="Tahoma"/>
            <family val="2"/>
          </rPr>
          <t xml:space="preserve">Pedro Carmo:
SOS 64479 - Transferido para Dell
Felipe Nery:
</t>
        </r>
        <r>
          <rPr>
            <sz val="8"/>
            <color indexed="81"/>
            <rFont val="Tahoma"/>
            <family val="2"/>
          </rPr>
          <t>SOS 61838
SOS 60292</t>
        </r>
        <r>
          <rPr>
            <b/>
            <sz val="8"/>
            <color indexed="81"/>
            <rFont val="Tahoma"/>
            <family val="2"/>
          </rPr>
          <t xml:space="preserve">
Douglas Silva:</t>
        </r>
        <r>
          <rPr>
            <sz val="8"/>
            <color indexed="81"/>
            <rFont val="Tahoma"/>
            <family val="2"/>
          </rPr>
          <t xml:space="preserve">
40753</t>
        </r>
      </text>
    </comment>
    <comment ref="V408" authorId="2">
      <text>
        <r>
          <rPr>
            <b/>
            <sz val="9"/>
            <color indexed="81"/>
            <rFont val="Tahoma"/>
            <family val="2"/>
          </rPr>
          <t>Pedro Carmo:
SOS 64480 - Transferido
Felipe Nery Saturnino:</t>
        </r>
        <r>
          <rPr>
            <sz val="9"/>
            <color indexed="81"/>
            <rFont val="Tahoma"/>
            <family val="2"/>
          </rPr>
          <t xml:space="preserve">
SOS 58284
SOS 56088</t>
        </r>
      </text>
    </comment>
    <comment ref="V413" authorId="1">
      <text>
        <r>
          <rPr>
            <b/>
            <sz val="9"/>
            <color indexed="81"/>
            <rFont val="Tahoma"/>
            <family val="2"/>
          </rPr>
          <t xml:space="preserve">Pedro Carmo:
SOS 63435
Felipe Nery:
</t>
        </r>
        <r>
          <rPr>
            <sz val="9"/>
            <color indexed="81"/>
            <rFont val="Tahoma"/>
            <family val="2"/>
          </rPr>
          <t>SOS 56384</t>
        </r>
        <r>
          <rPr>
            <b/>
            <sz val="9"/>
            <color indexed="81"/>
            <rFont val="Tahoma"/>
            <family val="2"/>
          </rPr>
          <t xml:space="preserve">
Gabriele Silva:
</t>
        </r>
        <r>
          <rPr>
            <sz val="9"/>
            <color indexed="81"/>
            <rFont val="Tahoma"/>
            <family val="2"/>
          </rPr>
          <t>SOS: 54132</t>
        </r>
        <r>
          <rPr>
            <b/>
            <sz val="9"/>
            <color indexed="81"/>
            <rFont val="Tahoma"/>
            <family val="2"/>
          </rPr>
          <t xml:space="preserve">
Douglas Silva:</t>
        </r>
        <r>
          <rPr>
            <sz val="9"/>
            <color indexed="81"/>
            <rFont val="Tahoma"/>
            <family val="2"/>
          </rPr>
          <t xml:space="preserve">
SOS: 33285</t>
        </r>
      </text>
    </comment>
    <comment ref="V414" authorId="1">
      <text>
        <r>
          <rPr>
            <b/>
            <sz val="9"/>
            <color indexed="81"/>
            <rFont val="Tahoma"/>
            <family val="2"/>
          </rPr>
          <t xml:space="preserve">Gabriele Silva:
</t>
        </r>
        <r>
          <rPr>
            <sz val="9"/>
            <color indexed="81"/>
            <rFont val="Tahoma"/>
            <family val="2"/>
          </rPr>
          <t>SOS 63281</t>
        </r>
        <r>
          <rPr>
            <b/>
            <sz val="9"/>
            <color indexed="81"/>
            <rFont val="Tahoma"/>
            <family val="2"/>
          </rPr>
          <t xml:space="preserve">
Douglas Silva:</t>
        </r>
        <r>
          <rPr>
            <sz val="9"/>
            <color indexed="81"/>
            <rFont val="Tahoma"/>
            <family val="2"/>
          </rPr>
          <t xml:space="preserve">
SOS: 36931</t>
        </r>
      </text>
    </comment>
    <comment ref="V415" authorId="0">
      <text>
        <r>
          <rPr>
            <b/>
            <sz val="8"/>
            <color indexed="81"/>
            <rFont val="Tahoma"/>
            <family val="2"/>
          </rPr>
          <t xml:space="preserve">Felipe Nery:
</t>
        </r>
        <r>
          <rPr>
            <sz val="8"/>
            <color indexed="81"/>
            <rFont val="Tahoma"/>
            <family val="2"/>
          </rPr>
          <t>SOS 60477</t>
        </r>
        <r>
          <rPr>
            <b/>
            <sz val="8"/>
            <color indexed="81"/>
            <rFont val="Tahoma"/>
            <family val="2"/>
          </rPr>
          <t xml:space="preserve">
Gabriele Silva:</t>
        </r>
        <r>
          <rPr>
            <sz val="8"/>
            <color indexed="81"/>
            <rFont val="Tahoma"/>
            <family val="2"/>
          </rPr>
          <t xml:space="preserve">
sos 54300</t>
        </r>
      </text>
    </comment>
    <comment ref="V416" authorId="0">
      <text>
        <r>
          <rPr>
            <b/>
            <sz val="8"/>
            <color indexed="81"/>
            <rFont val="Tahoma"/>
            <family val="2"/>
          </rPr>
          <t xml:space="preserve">Felipe Nery:
</t>
        </r>
        <r>
          <rPr>
            <sz val="8"/>
            <color indexed="81"/>
            <rFont val="Tahoma"/>
            <family val="2"/>
          </rPr>
          <t>SOS 60476
SOS 57348</t>
        </r>
        <r>
          <rPr>
            <b/>
            <sz val="8"/>
            <color indexed="81"/>
            <rFont val="Tahoma"/>
            <family val="2"/>
          </rPr>
          <t xml:space="preserve">
Gabriele Silva:</t>
        </r>
        <r>
          <rPr>
            <sz val="8"/>
            <color indexed="81"/>
            <rFont val="Tahoma"/>
            <family val="2"/>
          </rPr>
          <t xml:space="preserve">
Saida de férias SOS 55195</t>
        </r>
      </text>
    </comment>
    <comment ref="V417" authorId="0">
      <text>
        <r>
          <rPr>
            <b/>
            <sz val="8"/>
            <color indexed="81"/>
            <rFont val="Tahoma"/>
            <family val="2"/>
          </rPr>
          <t>Gabriele Silva:</t>
        </r>
        <r>
          <rPr>
            <sz val="8"/>
            <color indexed="81"/>
            <rFont val="Tahoma"/>
            <family val="2"/>
          </rPr>
          <t xml:space="preserve">
sos 46422</t>
        </r>
      </text>
    </comment>
    <comment ref="V425" authorId="0">
      <text>
        <r>
          <rPr>
            <b/>
            <sz val="9"/>
            <color indexed="81"/>
            <rFont val="Tahoma"/>
            <family val="2"/>
          </rPr>
          <t xml:space="preserve">Felipe Nery:
</t>
        </r>
        <r>
          <rPr>
            <sz val="9"/>
            <color indexed="81"/>
            <rFont val="Tahoma"/>
            <family val="2"/>
          </rPr>
          <t>SOS 58795</t>
        </r>
        <r>
          <rPr>
            <b/>
            <sz val="9"/>
            <color indexed="81"/>
            <rFont val="Tahoma"/>
            <family val="2"/>
          </rPr>
          <t xml:space="preserve">
Gabriele Silva:
</t>
        </r>
        <r>
          <rPr>
            <sz val="9"/>
            <color indexed="81"/>
            <rFont val="Tahoma"/>
            <family val="2"/>
          </rPr>
          <t>SOS 58238</t>
        </r>
        <r>
          <rPr>
            <b/>
            <sz val="9"/>
            <color indexed="81"/>
            <rFont val="Tahoma"/>
            <family val="2"/>
          </rPr>
          <t xml:space="preserve">
Felipe Nery:
</t>
        </r>
        <r>
          <rPr>
            <sz val="9"/>
            <color indexed="81"/>
            <rFont val="Tahoma"/>
            <family val="2"/>
          </rPr>
          <t>SOS 56083</t>
        </r>
        <r>
          <rPr>
            <b/>
            <sz val="9"/>
            <color indexed="81"/>
            <rFont val="Tahoma"/>
            <family val="2"/>
          </rPr>
          <t xml:space="preserve">
Gabriele Silva:</t>
        </r>
        <r>
          <rPr>
            <sz val="9"/>
            <color indexed="81"/>
            <rFont val="Tahoma"/>
            <family val="2"/>
          </rPr>
          <t xml:space="preserve">
sos 34487</t>
        </r>
      </text>
    </comment>
    <comment ref="V426" authorId="0">
      <text>
        <r>
          <rPr>
            <b/>
            <sz val="9"/>
            <color indexed="81"/>
            <rFont val="Tahoma"/>
            <family val="2"/>
          </rPr>
          <t xml:space="preserve">Felipe Nery:
</t>
        </r>
        <r>
          <rPr>
            <sz val="9"/>
            <color indexed="81"/>
            <rFont val="Tahoma"/>
            <family val="2"/>
          </rPr>
          <t>SOS 58795</t>
        </r>
        <r>
          <rPr>
            <b/>
            <sz val="9"/>
            <color indexed="81"/>
            <rFont val="Tahoma"/>
            <family val="2"/>
          </rPr>
          <t xml:space="preserve">
Gabriele Silva:
</t>
        </r>
        <r>
          <rPr>
            <sz val="9"/>
            <color indexed="81"/>
            <rFont val="Tahoma"/>
            <family val="2"/>
          </rPr>
          <t>SOS 58238</t>
        </r>
        <r>
          <rPr>
            <b/>
            <sz val="9"/>
            <color indexed="81"/>
            <rFont val="Tahoma"/>
            <family val="2"/>
          </rPr>
          <t xml:space="preserve">
Felipe Nery:
</t>
        </r>
        <r>
          <rPr>
            <sz val="9"/>
            <color indexed="81"/>
            <rFont val="Tahoma"/>
            <family val="2"/>
          </rPr>
          <t>SOS 56083</t>
        </r>
        <r>
          <rPr>
            <b/>
            <sz val="9"/>
            <color indexed="81"/>
            <rFont val="Tahoma"/>
            <family val="2"/>
          </rPr>
          <t xml:space="preserve">
Gabriele Silva:</t>
        </r>
        <r>
          <rPr>
            <sz val="9"/>
            <color indexed="81"/>
            <rFont val="Tahoma"/>
            <family val="2"/>
          </rPr>
          <t xml:space="preserve">
sos 34487</t>
        </r>
      </text>
    </comment>
    <comment ref="V427" authorId="0">
      <text>
        <r>
          <rPr>
            <b/>
            <sz val="9"/>
            <color indexed="81"/>
            <rFont val="Tahoma"/>
            <family val="2"/>
          </rPr>
          <t xml:space="preserve">Felipe Nery:
</t>
        </r>
        <r>
          <rPr>
            <sz val="9"/>
            <color indexed="81"/>
            <rFont val="Tahoma"/>
            <family val="2"/>
          </rPr>
          <t>SOS 58795</t>
        </r>
        <r>
          <rPr>
            <b/>
            <sz val="9"/>
            <color indexed="81"/>
            <rFont val="Tahoma"/>
            <family val="2"/>
          </rPr>
          <t xml:space="preserve">
Gabriele Silva:
</t>
        </r>
        <r>
          <rPr>
            <sz val="9"/>
            <color indexed="81"/>
            <rFont val="Tahoma"/>
            <family val="2"/>
          </rPr>
          <t>SOS 58238</t>
        </r>
        <r>
          <rPr>
            <b/>
            <sz val="9"/>
            <color indexed="81"/>
            <rFont val="Tahoma"/>
            <family val="2"/>
          </rPr>
          <t xml:space="preserve">
Felipe Nery:
</t>
        </r>
        <r>
          <rPr>
            <sz val="9"/>
            <color indexed="81"/>
            <rFont val="Tahoma"/>
            <family val="2"/>
          </rPr>
          <t>SOS 56083</t>
        </r>
        <r>
          <rPr>
            <b/>
            <sz val="9"/>
            <color indexed="81"/>
            <rFont val="Tahoma"/>
            <family val="2"/>
          </rPr>
          <t xml:space="preserve">
Gabriele Silva:</t>
        </r>
        <r>
          <rPr>
            <sz val="9"/>
            <color indexed="81"/>
            <rFont val="Tahoma"/>
            <family val="2"/>
          </rPr>
          <t xml:space="preserve">
sos 34487</t>
        </r>
      </text>
    </comment>
    <comment ref="V434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65704 - Desligamento.</t>
        </r>
      </text>
    </comment>
    <comment ref="V437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65938 - Desligamento</t>
        </r>
      </text>
    </comment>
    <comment ref="V438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65677 - Mudança de supervisor
SOS 65727 - Desligamento</t>
        </r>
      </text>
    </comment>
    <comment ref="V439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66095 - Desligamento</t>
        </r>
      </text>
    </comment>
    <comment ref="V440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65806</t>
        </r>
      </text>
    </comment>
    <comment ref="V441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66040 - Desligamento</t>
        </r>
      </text>
    </comment>
    <comment ref="V443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65781 - Desligamento</t>
        </r>
      </text>
    </comment>
    <comment ref="V444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65782</t>
        </r>
      </text>
    </comment>
    <comment ref="V446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Analista transferido no dia 27/07/2016 para HP Commercial</t>
        </r>
      </text>
    </comment>
    <comment ref="V448" authorId="2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Transferido para Célula CCE TS - Lenovo</t>
        </r>
      </text>
    </comment>
    <comment ref="V449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65857 - Desligamento</t>
        </r>
      </text>
    </comment>
    <comment ref="V450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</t>
        </r>
      </text>
    </comment>
    <comment ref="V452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</t>
        </r>
      </text>
    </comment>
    <comment ref="V453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</t>
        </r>
      </text>
    </comment>
    <comment ref="V454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67582 - Desligamento</t>
        </r>
      </text>
    </comment>
    <comment ref="V456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67567 - Desligamento</t>
        </r>
      </text>
    </comment>
    <comment ref="V457" authorId="7">
      <text>
        <r>
          <rPr>
            <b/>
            <sz val="9"/>
            <color indexed="81"/>
            <rFont val="Tahoma"/>
            <family val="2"/>
          </rPr>
          <t>Bruno Sergio:</t>
        </r>
        <r>
          <rPr>
            <sz val="9"/>
            <color indexed="81"/>
            <rFont val="Tahoma"/>
            <family val="2"/>
          </rPr>
          <t xml:space="preserve">
66967</t>
        </r>
      </text>
    </comment>
    <comment ref="V458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</t>
        </r>
      </text>
    </comment>
    <comment ref="V459" authorId="7">
      <text>
        <r>
          <rPr>
            <b/>
            <sz val="9"/>
            <color indexed="81"/>
            <rFont val="Tahoma"/>
            <family val="2"/>
          </rPr>
          <t>Bruno Sergio:</t>
        </r>
        <r>
          <rPr>
            <sz val="9"/>
            <color indexed="81"/>
            <rFont val="Tahoma"/>
            <family val="2"/>
          </rPr>
          <t xml:space="preserve">
66941</t>
        </r>
      </text>
    </comment>
    <comment ref="V460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67436 - Desligamento</t>
        </r>
      </text>
    </comment>
    <comment ref="V461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67488 - Desligamento</t>
        </r>
      </text>
    </comment>
    <comment ref="V462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67699 - Desligamento</t>
        </r>
      </text>
    </comment>
    <comment ref="V463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Saiu de férias (08/08/2016)</t>
        </r>
      </text>
    </comment>
    <comment ref="V465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67868 - Desligamento</t>
        </r>
      </text>
    </comment>
    <comment ref="V467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67870 - Desligamento</t>
        </r>
      </text>
    </comment>
    <comment ref="V468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67938</t>
        </r>
      </text>
    </comment>
    <comment ref="V469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67947</t>
        </r>
      </text>
    </comment>
    <comment ref="V470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67963</t>
        </r>
      </text>
    </comment>
    <comment ref="V471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67964</t>
        </r>
      </text>
    </comment>
    <comment ref="V472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67965</t>
        </r>
      </text>
    </comment>
    <comment ref="V473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68075 - Desligamento</t>
        </r>
      </text>
    </comment>
    <comment ref="V474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68076 - Transferido para Philips</t>
        </r>
      </text>
    </comment>
    <comment ref="V475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68075 - Desligamento</t>
        </r>
      </text>
    </comment>
    <comment ref="V476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68077 - Transferido para HP Commercial</t>
        </r>
      </text>
    </comment>
    <comment ref="V477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68077 - Transferido para HP Commercial</t>
        </r>
      </text>
    </comment>
    <comment ref="V478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65831 - Troca de Célula/Supervisor
SOS 68527 - Desligamento</t>
        </r>
      </text>
    </comment>
    <comment ref="V479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68075 - Desligamento</t>
        </r>
      </text>
    </comment>
    <comment ref="V480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68077 - Transferido para HP Commercial</t>
        </r>
      </text>
    </comment>
    <comment ref="V481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68150 - Desligamento</t>
        </r>
      </text>
    </comment>
    <comment ref="V482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68424 - Desligamento</t>
        </r>
      </text>
    </comment>
    <comment ref="U483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68276 - Desligamento</t>
        </r>
      </text>
    </comment>
    <comment ref="V484" authorId="1">
      <text>
        <r>
          <rPr>
            <b/>
            <sz val="9"/>
            <color indexed="81"/>
            <rFont val="Tahoma"/>
            <family val="2"/>
          </rPr>
          <t>Douglas Silva:</t>
        </r>
        <r>
          <rPr>
            <sz val="9"/>
            <color indexed="81"/>
            <rFont val="Tahoma"/>
            <family val="2"/>
          </rPr>
          <t xml:space="preserve">
Trocou de célula
SOS: 28499</t>
        </r>
      </text>
    </comment>
    <comment ref="V485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
SOS 68951 - Desligado</t>
        </r>
      </text>
    </comment>
    <comment ref="V486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69657 - Fim de aviso prévio</t>
        </r>
      </text>
    </comment>
    <comment ref="V488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69582 - Transferido para HP Commercial</t>
        </r>
      </text>
    </comment>
    <comment ref="V489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 (05/10/2016)
SOS 69846 - Pediu demissão</t>
        </r>
      </text>
    </comment>
    <comment ref="V490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67409 - Troca de horário
SOS 69475 - Pediu demissão</t>
        </r>
      </text>
    </comment>
    <comment ref="V491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69380 - Demitido</t>
        </r>
      </text>
    </comment>
    <comment ref="V492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69368 - Troca de horário
SOS 69909 - Demitido</t>
        </r>
      </text>
    </comment>
    <comment ref="V493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Retornou de férias
SOS 69907 - Transferida para PayPal Telesales</t>
        </r>
      </text>
    </comment>
    <comment ref="V494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70280 - Pediu demissão</t>
        </r>
      </text>
    </comment>
    <comment ref="V495" authorId="3">
      <text>
        <r>
          <rPr>
            <b/>
            <sz val="9"/>
            <color indexed="81"/>
            <rFont val="Tahoma"/>
            <family val="2"/>
          </rPr>
          <t>Pedro Carmo:</t>
        </r>
        <r>
          <rPr>
            <sz val="9"/>
            <color indexed="81"/>
            <rFont val="Tahoma"/>
            <family val="2"/>
          </rPr>
          <t xml:space="preserve">
SOS 65978 - Backup em Mídia Social
Analista irá cumprir a carga horária de 09:00
SOS 68395 - Backup em Mídia Social
SOS 69199 - Status ativo
SOS 70390 - Agente transferido para HP Commercial</t>
        </r>
      </text>
    </comment>
  </commentList>
</comments>
</file>

<file path=xl/sharedStrings.xml><?xml version="1.0" encoding="utf-8"?>
<sst xmlns="http://schemas.openxmlformats.org/spreadsheetml/2006/main" count="22183" uniqueCount="3061">
  <si>
    <t>SUPERVISOR</t>
  </si>
  <si>
    <t>RE</t>
  </si>
  <si>
    <t>-</t>
  </si>
  <si>
    <t>IEX</t>
  </si>
  <si>
    <t>Ativo</t>
  </si>
  <si>
    <t>Férias</t>
  </si>
  <si>
    <t>Licença</t>
  </si>
  <si>
    <t>Treinamento</t>
  </si>
  <si>
    <t>x</t>
  </si>
  <si>
    <t>Desligado</t>
  </si>
  <si>
    <t>Backup</t>
  </si>
  <si>
    <t>Célula</t>
  </si>
  <si>
    <t>Skills</t>
  </si>
  <si>
    <t>Real</t>
  </si>
  <si>
    <t>Total</t>
  </si>
  <si>
    <t>Prioridade</t>
  </si>
  <si>
    <t>Transferido</t>
  </si>
  <si>
    <t>Login</t>
  </si>
  <si>
    <t>Nome</t>
  </si>
  <si>
    <t>Status</t>
  </si>
  <si>
    <t>Operação</t>
  </si>
  <si>
    <t>Attrition</t>
  </si>
  <si>
    <t>Sub Total</t>
  </si>
  <si>
    <t>Desl Trein</t>
  </si>
  <si>
    <t>Consolidado</t>
  </si>
  <si>
    <t>Lawson</t>
  </si>
  <si>
    <t/>
  </si>
  <si>
    <t>Abn Trein</t>
  </si>
  <si>
    <t>Dim</t>
  </si>
  <si>
    <t xml:space="preserve"> </t>
  </si>
  <si>
    <t>Líder (Gerente)</t>
  </si>
  <si>
    <t>Projeto</t>
  </si>
  <si>
    <t>Name</t>
  </si>
  <si>
    <t>Leader</t>
  </si>
  <si>
    <t>Cell</t>
  </si>
  <si>
    <t>Entry</t>
  </si>
  <si>
    <t>Departure</t>
  </si>
  <si>
    <t>Shift</t>
  </si>
  <si>
    <t>1st Break</t>
  </si>
  <si>
    <t>Lunch</t>
  </si>
  <si>
    <t>2nd Break</t>
  </si>
  <si>
    <t>Hire Date</t>
  </si>
  <si>
    <t>Floor Date</t>
  </si>
  <si>
    <t>Age</t>
  </si>
  <si>
    <t>Role</t>
  </si>
  <si>
    <t>Status Date</t>
  </si>
  <si>
    <t>Start</t>
  </si>
  <si>
    <t>End</t>
  </si>
  <si>
    <t>Days on Floor</t>
  </si>
  <si>
    <t>Email</t>
  </si>
  <si>
    <t>From</t>
  </si>
  <si>
    <t>To</t>
  </si>
  <si>
    <t>Date</t>
  </si>
  <si>
    <t>Internal Trasnference</t>
  </si>
  <si>
    <t>Personal Data</t>
  </si>
  <si>
    <t>Birth Date</t>
  </si>
  <si>
    <t>Region</t>
  </si>
  <si>
    <t>Residence Phone</t>
  </si>
  <si>
    <t>Cell Phone</t>
  </si>
  <si>
    <t>Manager</t>
  </si>
  <si>
    <t>Sheet</t>
  </si>
  <si>
    <t>Project</t>
  </si>
  <si>
    <t>Network</t>
  </si>
  <si>
    <t>Address</t>
  </si>
  <si>
    <t>ZIP Code</t>
  </si>
  <si>
    <t>Trasnport</t>
  </si>
  <si>
    <t>Coordinator</t>
  </si>
  <si>
    <t>Status Description</t>
  </si>
  <si>
    <t>Production</t>
  </si>
  <si>
    <t>Staff</t>
  </si>
  <si>
    <t>CPF</t>
  </si>
  <si>
    <t>X</t>
  </si>
  <si>
    <t>W4+</t>
  </si>
  <si>
    <t>Data</t>
  </si>
  <si>
    <t>TAMIRES FERREIRA BOTELHO</t>
  </si>
  <si>
    <t>1St Break</t>
  </si>
  <si>
    <t>2Nd Break</t>
  </si>
  <si>
    <t>Days On Floor</t>
  </si>
  <si>
    <t>Zip Code</t>
  </si>
  <si>
    <t>Transport</t>
  </si>
  <si>
    <t>Cpf</t>
  </si>
  <si>
    <t>Comments Rh</t>
  </si>
  <si>
    <t>TRN</t>
  </si>
  <si>
    <t>OCP W2</t>
  </si>
  <si>
    <t>OCP W1</t>
  </si>
  <si>
    <t>OCP W3</t>
  </si>
  <si>
    <t>Caminho Banco de Dados</t>
  </si>
  <si>
    <t>Barra Funda</t>
  </si>
  <si>
    <t>Colocar Barra Funda em todos os mapas</t>
  </si>
  <si>
    <t>HP Consumer</t>
  </si>
  <si>
    <t>Andre luis Alpendre Silveira de Freitas</t>
  </si>
  <si>
    <t>Danilo Santiago De Freitas</t>
  </si>
  <si>
    <t>Lidiane Tavares Santos</t>
  </si>
  <si>
    <t>Aldo Teixeira Zagabria</t>
  </si>
  <si>
    <t>Marina Rodrigues</t>
  </si>
  <si>
    <t>Ronald Cosmo Sousa</t>
  </si>
  <si>
    <t>Tiago Sobreira Dos Santos</t>
  </si>
  <si>
    <t>Ivan Aparecido Dantas</t>
  </si>
  <si>
    <t>Lilian Felix</t>
  </si>
  <si>
    <t>Bruno Almeida Dos Santos</t>
  </si>
  <si>
    <t>Carlos Eduardo Pompilio De Souza</t>
  </si>
  <si>
    <t>Gilmar Alves Gomes</t>
  </si>
  <si>
    <t>Kerly Quirino Da Silva</t>
  </si>
  <si>
    <t>Anderson Soares Silveira</t>
  </si>
  <si>
    <t>Raphael Pereira Stahlschmidt</t>
  </si>
  <si>
    <t>Aramis Do Nascimento Proenca</t>
  </si>
  <si>
    <t>Viviane Batista Gomes</t>
  </si>
  <si>
    <t>Rebert De Oliveira Souza</t>
  </si>
  <si>
    <t>Oliviana Saraiva Almeida</t>
  </si>
  <si>
    <t>Wesley Bertoldo Teixeira</t>
  </si>
  <si>
    <t>Paula Carolline Ribeiro Da Silva</t>
  </si>
  <si>
    <t>Claudia Jaqueline Dos Santos Oscar</t>
  </si>
  <si>
    <t>Fernando Quintino Tavares</t>
  </si>
  <si>
    <t>Vanilso Santos</t>
  </si>
  <si>
    <t>Viviane Aparecida De Jesus</t>
  </si>
  <si>
    <t>Ariel De Sousa Moura</t>
  </si>
  <si>
    <t>Vanessa De Oliveira Bassi</t>
  </si>
  <si>
    <t>Jose Ricardo Torres Junior</t>
  </si>
  <si>
    <t>Nicodemos Loureiro</t>
  </si>
  <si>
    <t>Mauricio Guimaraes Renesto</t>
  </si>
  <si>
    <t>Dennis Vinicius Rizzo Perego</t>
  </si>
  <si>
    <t>Fernando Augusto Dos Santos</t>
  </si>
  <si>
    <t>Andre Aparecido De Brito</t>
  </si>
  <si>
    <t>Samuel De Oliveira</t>
  </si>
  <si>
    <t>Michele Dourado Rodrigues Alves</t>
  </si>
  <si>
    <t>Keila Leite Leviati</t>
  </si>
  <si>
    <t>Ivair Lucas Araujo De Barros</t>
  </si>
  <si>
    <t>Pedro Henrique Ferreira</t>
  </si>
  <si>
    <t>Uilas De Jesus Gama</t>
  </si>
  <si>
    <t>Fernando do Nascimento Silva</t>
  </si>
  <si>
    <t>Joao Victor Teixeira Fernandes</t>
  </si>
  <si>
    <t>Wellynton Donizete De Campos</t>
  </si>
  <si>
    <t>Janaina Gomes Da Silva</t>
  </si>
  <si>
    <t>Valeria Amorim Dos Santos</t>
  </si>
  <si>
    <t>Gislene Silva De Araujo</t>
  </si>
  <si>
    <t>Rafael Ferreira Butinhao</t>
  </si>
  <si>
    <t>Diego Rodrigues Gonzales</t>
  </si>
  <si>
    <t>Jennifer Cristina Vieira Do Amaral</t>
  </si>
  <si>
    <t>Mariana Irene Fialho Juvino</t>
  </si>
  <si>
    <t>Vinicius De Sousa Brandao</t>
  </si>
  <si>
    <t>Flavia Helena Teixeira Joaquim</t>
  </si>
  <si>
    <t>Simone Nunes Batista</t>
  </si>
  <si>
    <t>Andreia Agnes Campell Gino</t>
  </si>
  <si>
    <t>Pamella De Souza Lucio</t>
  </si>
  <si>
    <t>Milena Ferreira Da Silva</t>
  </si>
  <si>
    <t>Natany Alves Gouveia</t>
  </si>
  <si>
    <t>Hugo Marques De Freitas Martins</t>
  </si>
  <si>
    <t>Fernanda Silva Nascimento</t>
  </si>
  <si>
    <t>Pedro Henrique Rodrigues Do Carmo</t>
  </si>
  <si>
    <t>Ramon Dos Santos Lima</t>
  </si>
  <si>
    <t>Jessica Samira Pires</t>
  </si>
  <si>
    <t>Caio Pires da Luz</t>
  </si>
  <si>
    <t>Diego Barbosa de Souza</t>
  </si>
  <si>
    <t>Renan Da Silva Leal</t>
  </si>
  <si>
    <t>Vinicius Carvalho Perez</t>
  </si>
  <si>
    <t>Yugner Tokunaga da Silva</t>
  </si>
  <si>
    <t>Caio Siqueira Nascimento</t>
  </si>
  <si>
    <t>Jean Carlos De Freitas</t>
  </si>
  <si>
    <t>Viviani De Sousa Gomes</t>
  </si>
  <si>
    <t>Rodrigo Medeiros Campos</t>
  </si>
  <si>
    <t>Carlos Alexandre Da Silva</t>
  </si>
  <si>
    <t>Luiz Guilherme Lima Sucupira</t>
  </si>
  <si>
    <t>Shirley Cardoso Dos Santos</t>
  </si>
  <si>
    <t>Renan Luz de Carvalho</t>
  </si>
  <si>
    <t>Hugo Nascimento Moreira</t>
  </si>
  <si>
    <t>Tiago Giatti De Sousa</t>
  </si>
  <si>
    <t>William Reis Da Conceição</t>
  </si>
  <si>
    <t>Alex Wilmer Yapiticona Flores</t>
  </si>
  <si>
    <t>Caio Eiji Arai</t>
  </si>
  <si>
    <t>Eliene De Souza Grigorio</t>
  </si>
  <si>
    <t>Afonso Celso Da Silva</t>
  </si>
  <si>
    <t>Darlan Da Silva Pereira</t>
  </si>
  <si>
    <t>Helem Priscila Almeida Do Amaral</t>
  </si>
  <si>
    <t>Weslley Bonfa Soares</t>
  </si>
  <si>
    <t>Carlos Henrique De Lima</t>
  </si>
  <si>
    <t>Estacio Vieira Dias</t>
  </si>
  <si>
    <t>Inaiana Pereira Leal</t>
  </si>
  <si>
    <t>Carlos Henrique De Carvalho Dantas</t>
  </si>
  <si>
    <t>Tiago Mello Do Prado</t>
  </si>
  <si>
    <t>Luis Henrique Pennafiel De Souza</t>
  </si>
  <si>
    <t>Sergio Luiz Tabuada Ortega</t>
  </si>
  <si>
    <t>Mauricio Resende Dos Santos</t>
  </si>
  <si>
    <t>Leandro Querino Nunes</t>
  </si>
  <si>
    <t>Anderson Aparecido de Jesus</t>
  </si>
  <si>
    <t>Felipe De Aguiar Moreira</t>
  </si>
  <si>
    <t>Aliander Silva Sant Ana</t>
  </si>
  <si>
    <t>Guilherme Mendes da Cruz</t>
  </si>
  <si>
    <t>Barbara Santiago Mota</t>
  </si>
  <si>
    <t>Francisjohny Jose Dos Santos</t>
  </si>
  <si>
    <t>Anderson Almeida Pereira</t>
  </si>
  <si>
    <t>Caue Francesco Petratti D Agosto</t>
  </si>
  <si>
    <t>Andrei Moreira Candido Da Silva</t>
  </si>
  <si>
    <t>Antonio Carlos de Andrade</t>
  </si>
  <si>
    <t>Joao Paulo Yasuda</t>
  </si>
  <si>
    <t>Jhonata Oliveira Silva</t>
  </si>
  <si>
    <t>Artur Eduardo Reis</t>
  </si>
  <si>
    <t>Elisangela Rodrigues De Oliveira</t>
  </si>
  <si>
    <t>Bruno Ferreira Farias</t>
  </si>
  <si>
    <t>Diego Velane Cardoso</t>
  </si>
  <si>
    <t>Gabriel Leonardo de Barros</t>
  </si>
  <si>
    <t>Jean Carlos Gomes Carrara</t>
  </si>
  <si>
    <t>Miriam Da Cruz</t>
  </si>
  <si>
    <t>Eder De Arruda Fialho</t>
  </si>
  <si>
    <t>Andre Henrique Nascimento da Graca</t>
  </si>
  <si>
    <t>Jose Tomaz de Santana</t>
  </si>
  <si>
    <t>Luis Henrique De Toledo</t>
  </si>
  <si>
    <t>Jesse Prates Martins</t>
  </si>
  <si>
    <t>Edilson Nunes De Souza</t>
  </si>
  <si>
    <t>Daniela Mayara Matos De Oliveira</t>
  </si>
  <si>
    <t>David Pereira Rodrigues</t>
  </si>
  <si>
    <t>Evandro Andrade De Albuquerque</t>
  </si>
  <si>
    <t>Jonatas Rocha Da Silva</t>
  </si>
  <si>
    <t>Rafael Dos Reis Borges</t>
  </si>
  <si>
    <t>Matheus Polli</t>
  </si>
  <si>
    <t>Ivanildo Cavalcante De Souza Junior</t>
  </si>
  <si>
    <t>Beatriz Botelho Vargas</t>
  </si>
  <si>
    <t>Romulo Gentil Prado de Faria</t>
  </si>
  <si>
    <t>Francisco De Assis Devides</t>
  </si>
  <si>
    <t>Vinicius Marques Ferreira Silva</t>
  </si>
  <si>
    <t>Felipe Da Silva Natal</t>
  </si>
  <si>
    <t>Jefferson Monteiro Ferreira</t>
  </si>
  <si>
    <t xml:space="preserve">Jhonatan De Lima Teodoro </t>
  </si>
  <si>
    <t>Marcio Ferreira Da Silva</t>
  </si>
  <si>
    <t>Francisco Adriano Da Silva</t>
  </si>
  <si>
    <t>Helio Gabriel Sabatelau Oliveira</t>
  </si>
  <si>
    <t>Lucia Ribeiro Dos Santos Silva</t>
  </si>
  <si>
    <t>Odonilton Firmino de Moura</t>
  </si>
  <si>
    <t>Danielle Borges De Oliveira</t>
  </si>
  <si>
    <t>Herick Bruno Lacerda Galvao</t>
  </si>
  <si>
    <t>Priscila Teixeira Nedealcov</t>
  </si>
  <si>
    <t>Douglas Fonseca Da Silva</t>
  </si>
  <si>
    <t>André Luiz Crivellari Pereira</t>
  </si>
  <si>
    <t>Thais Benevides Lopes</t>
  </si>
  <si>
    <t>Debora da Conceicao Rocha</t>
  </si>
  <si>
    <t>Guilherme Buzzola De Souza</t>
  </si>
  <si>
    <t>Kamila Schiavo Silva</t>
  </si>
  <si>
    <t>Mariele Silva dos Santos</t>
  </si>
  <si>
    <t>Samuel Feitoza De Andrade</t>
  </si>
  <si>
    <t>Thiago Santos Amaral</t>
  </si>
  <si>
    <t>Thiago Souza Herraez</t>
  </si>
  <si>
    <t>Alexandre Martins Martinez</t>
  </si>
  <si>
    <t>Bruno Romualdo Dos Santos</t>
  </si>
  <si>
    <t>Lindeson Alves Farias</t>
  </si>
  <si>
    <t>Patricia Santos Lopes</t>
  </si>
  <si>
    <t>Gabriel Santos Do Carmo</t>
  </si>
  <si>
    <t>Adelson Marcos Rodrigues Moreira</t>
  </si>
  <si>
    <t>Bruna Queiroz Dos Reis</t>
  </si>
  <si>
    <t>Rosangela Cosmo De Souza</t>
  </si>
  <si>
    <t>Luciana Souza Pereira</t>
  </si>
  <si>
    <t>Luiz Otavio Miras Bartholomeu</t>
  </si>
  <si>
    <t>Pablo Ricardo Dias De Souza</t>
  </si>
  <si>
    <t>Vinicius Ferreira Gomes</t>
  </si>
  <si>
    <t>Whanderson Da Silva Dias</t>
  </si>
  <si>
    <t>Rafael Batista Dantas</t>
  </si>
  <si>
    <t>Antonio Anderson Almeida Santos</t>
  </si>
  <si>
    <t>Luiz Fernando dos Santos Ferreira</t>
  </si>
  <si>
    <t>Uedese Ferreira da Costa</t>
  </si>
  <si>
    <t>Rafael Palmeira Bispo Taira</t>
  </si>
  <si>
    <t>Jonatas Gomes Tenorio</t>
  </si>
  <si>
    <t>Priscila Goncalves de Oliveira</t>
  </si>
  <si>
    <t>Paulo Nunes De Melo Neto</t>
  </si>
  <si>
    <t>Renato Miranda Dos Santos</t>
  </si>
  <si>
    <t>Alan Diego Da Silva</t>
  </si>
  <si>
    <t>Tatiane Brito Da Silva Lira</t>
  </si>
  <si>
    <t>Adriano Jose Novais Queiroz</t>
  </si>
  <si>
    <t>Helton Menconi</t>
  </si>
  <si>
    <t>Claudio Hideki Nakamura</t>
  </si>
  <si>
    <t>Rafael De Paula Pereira</t>
  </si>
  <si>
    <t>Dayane de Souza Ferreira</t>
  </si>
  <si>
    <t>Caroline Teixeira Santos</t>
  </si>
  <si>
    <t>Michel Palacio De Cerqueira Nunes</t>
  </si>
  <si>
    <t>Jamilton Da Silva Santana</t>
  </si>
  <si>
    <t>Marivaldo Silva De Oliveira</t>
  </si>
  <si>
    <t>Jessika Aparecida Vieira Do Amaral</t>
  </si>
  <si>
    <t>Agatha Vieira Silva</t>
  </si>
  <si>
    <t>Artur Berteli De Figueiredo</t>
  </si>
  <si>
    <t>Renato Jose Miranda Monteiro</t>
  </si>
  <si>
    <t>Rodolfo Barros De Araujo</t>
  </si>
  <si>
    <t>Roseli Izabel Da Silva</t>
  </si>
  <si>
    <t>Andressa Cristina Da Cruz Rosa</t>
  </si>
  <si>
    <t>Thais De Paula Silva</t>
  </si>
  <si>
    <t>Danielle De Paula Rugue</t>
  </si>
  <si>
    <t>Paulo Henrique Adaes Silva</t>
  </si>
  <si>
    <t>Monica Silva Santos Armando</t>
  </si>
  <si>
    <t>Darcione Silva Da Cruz</t>
  </si>
  <si>
    <t>Amanda da Silva Santos</t>
  </si>
  <si>
    <t>Erica Araujo</t>
  </si>
  <si>
    <t>Juliane Dias Teixeira</t>
  </si>
  <si>
    <t>Kleber Santos Junior</t>
  </si>
  <si>
    <t>Priscila Ferreira Soutero</t>
  </si>
  <si>
    <t>Arthur Ussuy Ferrari</t>
  </si>
  <si>
    <t>Selma Maria Rodrigues</t>
  </si>
  <si>
    <t>Priscilla Aparecida De Campos Batista</t>
  </si>
  <si>
    <t>Fernando De Melo Leite</t>
  </si>
  <si>
    <t>Rodrigo Roque Alvarenga</t>
  </si>
  <si>
    <t>Caique da Silva Ramos</t>
  </si>
  <si>
    <t>Jaqueline De Souza Silva</t>
  </si>
  <si>
    <t>Caio Satiro De Sousa</t>
  </si>
  <si>
    <t>Daniel Dantas De Oliveira</t>
  </si>
  <si>
    <t>Gustavo Henrique Silva Araujo</t>
  </si>
  <si>
    <t>Maksoud da Silva Rocha</t>
  </si>
  <si>
    <t>Renan Cazumba Tegani</t>
  </si>
  <si>
    <t>Lucas Rezende Bonfim</t>
  </si>
  <si>
    <t>Anderson Massuchetti Da Costa</t>
  </si>
  <si>
    <t>Erica Santos De Azevedo</t>
  </si>
  <si>
    <t>Christopher Diogo Gomes Messias</t>
  </si>
  <si>
    <t>Thiffany Avino</t>
  </si>
  <si>
    <t>Kelli Cristine Cisterna</t>
  </si>
  <si>
    <t>Luciano Ribeiro Salvi</t>
  </si>
  <si>
    <t>Franciele de Almeida Soares</t>
  </si>
  <si>
    <t>Luiz Fernando Franca Da Silva</t>
  </si>
  <si>
    <t>Filipe Augusto Fernandes De Oliveira</t>
  </si>
  <si>
    <t>Samuel Enoque Da Silva</t>
  </si>
  <si>
    <t>Jonas Pinheiro Batista</t>
  </si>
  <si>
    <t>Fernando Souza De Almeida</t>
  </si>
  <si>
    <t>Foi Bing Gun</t>
  </si>
  <si>
    <t>Gilberto Simeao Junior</t>
  </si>
  <si>
    <t>Levi De Sousa Barros</t>
  </si>
  <si>
    <t>Marcos Nascimento Correia</t>
  </si>
  <si>
    <t>Renato Da Silva Andrade</t>
  </si>
  <si>
    <t>Robson Francisco Goncalves</t>
  </si>
  <si>
    <t>Vinicius Alves Queiroz Dos Prazeres</t>
  </si>
  <si>
    <t>Yam Rodrigo Eugenio Santos</t>
  </si>
  <si>
    <t>Giseli Dias dos Santos</t>
  </si>
  <si>
    <t>Renan Souza Santos</t>
  </si>
  <si>
    <t>Alan Richardy Da Cruz</t>
  </si>
  <si>
    <t>Andre Luis Batista De Abreu</t>
  </si>
  <si>
    <t>Taina Alexsander Fernandes Pires</t>
  </si>
  <si>
    <t>Katiane Souza Almeida</t>
  </si>
  <si>
    <t>Bruno Henrique Padua Colella</t>
  </si>
  <si>
    <t>Kaio Fernandes</t>
  </si>
  <si>
    <t>Fabio Perez Da Silva</t>
  </si>
  <si>
    <t>Ivan Leonardo Gomes Moreira da Silva</t>
  </si>
  <si>
    <t>Jhonatan Sousa Farias</t>
  </si>
  <si>
    <t>Tatiane Pereira Santos</t>
  </si>
  <si>
    <t>Adriano Alves De Araujo</t>
  </si>
  <si>
    <t>Gustavo Vitor Guanas</t>
  </si>
  <si>
    <t>Felipe Jesus de Oliveira</t>
  </si>
  <si>
    <t>Alyf Da Macena Santos</t>
  </si>
  <si>
    <t>Everton Ferreira Fidelis</t>
  </si>
  <si>
    <t>Leonardo Cantilho Maracas</t>
  </si>
  <si>
    <t>Thiago De Oliveira Silva</t>
  </si>
  <si>
    <t>Yssac da Silva Neto</t>
  </si>
  <si>
    <t>Davi Santos Cardoso da Silva</t>
  </si>
  <si>
    <t>Anderson Mendes Da Silva</t>
  </si>
  <si>
    <t>Rodrigo Jandre de Macedo</t>
  </si>
  <si>
    <t>Erico Luan de Jesus Silva</t>
  </si>
  <si>
    <t>Tony Fernandes De Andrade</t>
  </si>
  <si>
    <t>Felipe Daniel Teles Farias</t>
  </si>
  <si>
    <t>Cristian Brayam Condori Paxi</t>
  </si>
  <si>
    <t>Patrik Ferreira Araujo</t>
  </si>
  <si>
    <t>Lucas Almeida Dos Santos</t>
  </si>
  <si>
    <t>Igor Cury Bevilacqua</t>
  </si>
  <si>
    <t>Valter Aparecido Vieira Junior</t>
  </si>
  <si>
    <t>Alexmar França Oliveira</t>
  </si>
  <si>
    <t>Léo Dos Santos Piaui</t>
  </si>
  <si>
    <t>Evandro Morais de Sousa</t>
  </si>
  <si>
    <t>Alessandra Garcia Pasin</t>
  </si>
  <si>
    <t>Washington Alves da Silva</t>
  </si>
  <si>
    <t>Milca Mendes Cavalcante</t>
  </si>
  <si>
    <t>Bianca Nunes Tolotto</t>
  </si>
  <si>
    <t>Mariana Molica Santos</t>
  </si>
  <si>
    <t>Haram Cezar Lobo Pedroso</t>
  </si>
  <si>
    <t>Karina Aparecida Dos Santos</t>
  </si>
  <si>
    <t>Aline Roberta Dos Santos Almeida</t>
  </si>
  <si>
    <t>Viviane De Souza Magrini</t>
  </si>
  <si>
    <t>Adriana Silva Sousa</t>
  </si>
  <si>
    <t>Stefane Araujo Ribeiro Goncalves</t>
  </si>
  <si>
    <t>Thiago Dos Santos Gonçalves</t>
  </si>
  <si>
    <t>Felipe Diniz</t>
  </si>
  <si>
    <t>Franciani Tomaz Silva Pereira</t>
  </si>
  <si>
    <t>Fabricio Serra</t>
  </si>
  <si>
    <t>Robson Augusto Da Silva Carvalho</t>
  </si>
  <si>
    <t>Denilson Venancio Ferreira</t>
  </si>
  <si>
    <t>Emerson De Lima Franca</t>
  </si>
  <si>
    <t>Tatiane Barbosa Fonseca</t>
  </si>
  <si>
    <t>Diego Ferrete Hernandes</t>
  </si>
  <si>
    <t>Emanuelle Lidiane Silva Matos</t>
  </si>
  <si>
    <t>Geisla da Paz Catharino</t>
  </si>
  <si>
    <t xml:space="preserve">Nelson Cirilo Santos Da Silva </t>
  </si>
  <si>
    <t>Bruno Angelo De Araujo</t>
  </si>
  <si>
    <t>Bruno Figueiredo Niquirilo</t>
  </si>
  <si>
    <t>Andreia Ferreira Gomes</t>
  </si>
  <si>
    <t>Lucas Borgheri Monteiro</t>
  </si>
  <si>
    <t>Lucas Alonso Huamani</t>
  </si>
  <si>
    <t>Ana Cristina Da Silva Esteves</t>
  </si>
  <si>
    <t>Aline Vieira Ometto</t>
  </si>
  <si>
    <t>Andrea Carla De Magalhaes</t>
  </si>
  <si>
    <t>Bruna Lima Canteiro</t>
  </si>
  <si>
    <t>Rafael Dal Bem Santa Cruz</t>
  </si>
  <si>
    <t>Renata Riquena</t>
  </si>
  <si>
    <t>Suellen Souza Brandao</t>
  </si>
  <si>
    <t>BCD</t>
  </si>
  <si>
    <t>Chat</t>
  </si>
  <si>
    <t>ECR</t>
  </si>
  <si>
    <t>FUPO</t>
  </si>
  <si>
    <t>FUPOTECH</t>
  </si>
  <si>
    <t>FUPOTECH - Chat</t>
  </si>
  <si>
    <t>IPG</t>
  </si>
  <si>
    <t>Mentor</t>
  </si>
  <si>
    <t>Mídia Social</t>
  </si>
  <si>
    <t>Order Management</t>
  </si>
  <si>
    <t>POP</t>
  </si>
  <si>
    <t>PSG</t>
  </si>
  <si>
    <t>Revenue Generation</t>
  </si>
  <si>
    <t>TCO</t>
  </si>
  <si>
    <t>Unassisted</t>
  </si>
  <si>
    <t>Frederic Vilas Boas Moinho</t>
  </si>
  <si>
    <t>Gilmar Pereira do Lago</t>
  </si>
  <si>
    <t>Raul Alves De Oliveira</t>
  </si>
  <si>
    <t>Thiago Medeiros Peterlini</t>
  </si>
  <si>
    <t>Maria Cristina de Assis Marques</t>
  </si>
  <si>
    <t>Diego Guimaraes Rosa</t>
  </si>
  <si>
    <t>Marcos Paulo da Silva Batista</t>
  </si>
  <si>
    <t>Daniela Andrade Silva</t>
  </si>
  <si>
    <t>Erivelton Rodrigo Fragoso</t>
  </si>
  <si>
    <t>Jefte Soares Da Silva</t>
  </si>
  <si>
    <t>Marcelo Dos Santos Mesquita Melo</t>
  </si>
  <si>
    <t>Reginaldo Santana De Souza</t>
  </si>
  <si>
    <t>Tatiana Cristina Vilas Boas</t>
  </si>
  <si>
    <t>Vinicius Loula De Sousa</t>
  </si>
  <si>
    <t>Wagner Santos De Oliveira</t>
  </si>
  <si>
    <t>Fabiana Lucia da Silva</t>
  </si>
  <si>
    <t>Vivian Luci do Carmo</t>
  </si>
  <si>
    <t>Josue Cardoso De Oliveira</t>
  </si>
  <si>
    <t>andre.freitas@cs-sitel.com.br</t>
  </si>
  <si>
    <t>danilo.freitas@cs-sitel.com.br</t>
  </si>
  <si>
    <t>lidiane.santos@cs-sitel.com.br</t>
  </si>
  <si>
    <t>aldo.texeira@cs-sitel.com.br</t>
  </si>
  <si>
    <t>marina.rodrigues@cs-sitel.com.br</t>
  </si>
  <si>
    <t>ronald.souza@cs-sitel.com.br</t>
  </si>
  <si>
    <t>tiago.sobreira@cs-sitel.com.br</t>
  </si>
  <si>
    <t>ivan.aparecido@cs-sitel.com.br</t>
  </si>
  <si>
    <t>lilian.felix@cs-sitel.com.br</t>
  </si>
  <si>
    <t>bruno.asantos@cs-sitel.com.br</t>
  </si>
  <si>
    <t>carlos.pompilio@cs-sitel.com.br</t>
  </si>
  <si>
    <t>gilmar.gomes@cs-sitel.com.br</t>
  </si>
  <si>
    <t>kerly.silva@cs-sitel.com.br</t>
  </si>
  <si>
    <t>anderson.ssilveira@cs-sitel.com.br</t>
  </si>
  <si>
    <t>raphael.stahbchmidt@cs-sitel.com.br</t>
  </si>
  <si>
    <t>aramis.proenca@cs-sitel.com.br</t>
  </si>
  <si>
    <t>viviane.gomes@cs-sitel.com.br</t>
  </si>
  <si>
    <t>rebert.souza@cs-sitel.com.br</t>
  </si>
  <si>
    <t>oliviana.almeida@cs-sitel.com.br</t>
  </si>
  <si>
    <t>wesley.teixeira@cs-sitel.com.br</t>
  </si>
  <si>
    <t>paula.silva@cs-sitel.com.br</t>
  </si>
  <si>
    <t>claudia.oscar@cs-sitel.com.br</t>
  </si>
  <si>
    <t>fernando.tavares@cs-sitel.com.br</t>
  </si>
  <si>
    <t>vanilson.santos@cs-sitel.com.br</t>
  </si>
  <si>
    <t>viviane.jesus@cs-sitel.com.br</t>
  </si>
  <si>
    <t>ariel.moura@cs-sitel.com.br</t>
  </si>
  <si>
    <t>vanessa.bassi@cs-sitel.com.br</t>
  </si>
  <si>
    <t>jose.torres01@cs-sitel.com.br</t>
  </si>
  <si>
    <t>nicodemos.loureiro@cs-sitel.com.br</t>
  </si>
  <si>
    <t>mauricio.renesto@cs-sitel.com.br</t>
  </si>
  <si>
    <t>denis.rizzo@cs-sitel.com.br</t>
  </si>
  <si>
    <t>fernando.asantos@cs-sitel.com.br</t>
  </si>
  <si>
    <t>andre.dbrito@cs-sitel.com.br</t>
  </si>
  <si>
    <t>samuel.oliveira@cs-sitel.com.br</t>
  </si>
  <si>
    <t>michele.alves@cs-sitel.com.br</t>
  </si>
  <si>
    <t>keila.leviati@cs-sitel.com.br</t>
  </si>
  <si>
    <t>ivair.barros@cs-sitel.com.br</t>
  </si>
  <si>
    <t>pedro.hferreira@cs-sitel.com.br</t>
  </si>
  <si>
    <t>uilas.gama@cs-sitel.com.br</t>
  </si>
  <si>
    <t>fernando.dnascimento@cs-sitel.com.br</t>
  </si>
  <si>
    <t>joao.fernandes@cs-sitel.com.br</t>
  </si>
  <si>
    <t>wellynton.campos@cs-sitel.com.br</t>
  </si>
  <si>
    <t>janaina.gsilva@cs-sitel.com.br</t>
  </si>
  <si>
    <t>valeria.amorim@cs-sitel.com.br</t>
  </si>
  <si>
    <t>gislene.araujo@cs-sitel.com.br</t>
  </si>
  <si>
    <t>rafael.botinhao@cs-sitel.com.br</t>
  </si>
  <si>
    <t>diego.gonzales@cs-sitel.com.br</t>
  </si>
  <si>
    <t>jennifer.amaral@cs-sitel.com.br</t>
  </si>
  <si>
    <t>mariana.juvino@cs-sitel.com.br</t>
  </si>
  <si>
    <t>vinicius.brandao@cs-sitel.com.br</t>
  </si>
  <si>
    <t>flavia.joaquim@cs-sitel.com.br</t>
  </si>
  <si>
    <t>simone.nunes@cs-sitel.com.br</t>
  </si>
  <si>
    <t>andreia.gino@cs-sitel.com.br</t>
  </si>
  <si>
    <t>pamella.lucio@cs-sitel.com.br</t>
  </si>
  <si>
    <t>milena.dasilva@cs-sitel.com.br</t>
  </si>
  <si>
    <t>natany.alves@cs-sitel.com.br</t>
  </si>
  <si>
    <t>hugo.martins@cs-sitel.com.br</t>
  </si>
  <si>
    <t>fernanda.snascimento@cs-sitel.com.br</t>
  </si>
  <si>
    <t>ramon.lima@cs-sitel.com.br</t>
  </si>
  <si>
    <t>jessica.pires@cs-sitel.com.br</t>
  </si>
  <si>
    <t>caio.pires@cs-sitel.com.br</t>
  </si>
  <si>
    <t>diego.bsouza@cs-sitel.com.br</t>
  </si>
  <si>
    <t>renan.leal@cs-sitel.com.br</t>
  </si>
  <si>
    <t>vinicius.perez@cs-sitel.com.br</t>
  </si>
  <si>
    <t>yugner.silva@cs-sitel.com.br</t>
  </si>
  <si>
    <t>caio.nascimento@cs-sitel.com.br</t>
  </si>
  <si>
    <t>jean.freitas@cs-sitel.com.br</t>
  </si>
  <si>
    <t>viviani.gomes@cs-sitel.com.br</t>
  </si>
  <si>
    <t>rodrigo.campos@cs-sitel.com.br</t>
  </si>
  <si>
    <t>carlos.alexandre@cs-sitel.com.br</t>
  </si>
  <si>
    <t>luiz.sucupira@cs-sitel.com.br</t>
  </si>
  <si>
    <t>shirley.santos01@cs-sitel.com.br</t>
  </si>
  <si>
    <t>renan.carvalho@cs-sitel.com.br</t>
  </si>
  <si>
    <t>hugo.moreira@cs-sitel.com.br</t>
  </si>
  <si>
    <t>tiago.sousa@cs-sitel.com.br</t>
  </si>
  <si>
    <t>willian.reis@cs-sitel.com.br</t>
  </si>
  <si>
    <t>alex.flores@cs-sitel.com.br</t>
  </si>
  <si>
    <t>caio.arai@cs-sitel.com.br</t>
  </si>
  <si>
    <t>eliene.grigorio@cs-sitel.com.br</t>
  </si>
  <si>
    <t>darlan.pereira@cs-sitel.com.br</t>
  </si>
  <si>
    <t>helem.amaral@cs-sitel.com.br</t>
  </si>
  <si>
    <t>wesley.soares@cs-sitel.com.br</t>
  </si>
  <si>
    <t>carlos.lima1@cs-sitel.com.br</t>
  </si>
  <si>
    <t>estacio.dias@cs-sitel.com.br</t>
  </si>
  <si>
    <t>inaiana.leal@cs-sitel.com.br</t>
  </si>
  <si>
    <t>lazaro.oliveira@cs-sitel.com.br</t>
  </si>
  <si>
    <t>carlos.dantas01@cs-sitel.com.br</t>
  </si>
  <si>
    <t>tiago.prado@cs-sitel.com.br</t>
  </si>
  <si>
    <t>luis.pennafiel@cs-sitel.com.br</t>
  </si>
  <si>
    <t>sergio.ortega@cs-sitel.com.br</t>
  </si>
  <si>
    <t>mauricio.resende@cs-sitel.com.br</t>
  </si>
  <si>
    <t>leandro.nunes2@cs-sitel.com.br</t>
  </si>
  <si>
    <t>anderson.jesus@cs-sitel.com.br</t>
  </si>
  <si>
    <t>felipe.aguiar@cs-sitel.com.br</t>
  </si>
  <si>
    <t>aliander.santana@cs-sitel.com.br</t>
  </si>
  <si>
    <t>barbara.mota@cs-sitel.com.br</t>
  </si>
  <si>
    <t>francisjohny.santos@cs-sitel.com.br</t>
  </si>
  <si>
    <t>andersonalmeida.pereira@cs-sitel.com.br</t>
  </si>
  <si>
    <t>cauefrancesco.petratti@cs-sitel.com.br</t>
  </si>
  <si>
    <t>andrei.silva@cs-sitel.com.br</t>
  </si>
  <si>
    <t>antonio.andrade1@cs-sitel.com.br</t>
  </si>
  <si>
    <t>joao.yasuda@cs-sitel.com.br</t>
  </si>
  <si>
    <t>jhonata.silva@cs-sitel.com.br</t>
  </si>
  <si>
    <t>artur.eduardo@cs-sitel.com.br</t>
  </si>
  <si>
    <t>elisangela.oliveira@cs-sitel.com.br</t>
  </si>
  <si>
    <t>bruno.farias@cs-sitel.com.br</t>
  </si>
  <si>
    <t>diego.vcardoso@cs-sitel.com.br</t>
  </si>
  <si>
    <t>gabriel.lbarros@cs-sitel.com.br</t>
  </si>
  <si>
    <t>jean.carrara@cs-sitel.com.br</t>
  </si>
  <si>
    <t>miriam.cruz@cs-sitel.com.br</t>
  </si>
  <si>
    <t>ederdearruda.fialho@cs-sitel.com.br</t>
  </si>
  <si>
    <t>andre.graca@cs-sitel.com.br</t>
  </si>
  <si>
    <t>josetomaz.desantana@cs-sitel.com.br</t>
  </si>
  <si>
    <t>lui.henrique.detoledo@cs-sitel.com.br</t>
  </si>
  <si>
    <t>jesse.martins@cs-sitel.com.br</t>
  </si>
  <si>
    <t>edilson.souza@cs-sitel.com.br</t>
  </si>
  <si>
    <t>daniela.matos@cs-sitel.com.br</t>
  </si>
  <si>
    <t>davidpereira.rodrigues@cs-sitel.com.br</t>
  </si>
  <si>
    <t>evandroandrade.dealbuquerque@cs-sitel.com.br</t>
  </si>
  <si>
    <t>jonatas.rocha@cs-sitel.com.br</t>
  </si>
  <si>
    <t>rafael.rborges@cs-sitel.com.br</t>
  </si>
  <si>
    <t>matheus.polli@cs-sitel.com.br</t>
  </si>
  <si>
    <t>ivanildo.junior@cs-sitel.com.br</t>
  </si>
  <si>
    <t>beatriz.vargas@cs-sitel.com.br</t>
  </si>
  <si>
    <t>romulo.faria@cs-sitel.com.br</t>
  </si>
  <si>
    <t>francisco.devides@cs-sitel.com.br</t>
  </si>
  <si>
    <t>vinicius.marques@cs-sitel.com.br</t>
  </si>
  <si>
    <t>jefferson.ferreira@cs-sitel.com.br</t>
  </si>
  <si>
    <t>jhonatan.teodoro@cs-sitel.com.br</t>
  </si>
  <si>
    <t>marcio.dsilva@cs-sitel.com.br</t>
  </si>
  <si>
    <t>francisco.silva01@cs-sitel.com.br</t>
  </si>
  <si>
    <t>helio.oliveira@cs-sitel.com.br</t>
  </si>
  <si>
    <t>lucia.dsantos@cs-sitel.com.br</t>
  </si>
  <si>
    <t>odonilton.moura@cs-sitel.com.br</t>
  </si>
  <si>
    <t>danielle.borges@cs-sitel.com.br</t>
  </si>
  <si>
    <t>herick.galvao@cs-sitel.com.br</t>
  </si>
  <si>
    <t>jose.ljunior@cs-sitel.com.br</t>
  </si>
  <si>
    <t>priscila.nedealcov@cs-sitel.com.br</t>
  </si>
  <si>
    <t>douglasfonseca.da.silva@cs-sitel.com.br</t>
  </si>
  <si>
    <t>andre.crivellari@cs-sitel.com.br</t>
  </si>
  <si>
    <t>thaisbenevides.lopes@cs-sitel.com.br</t>
  </si>
  <si>
    <t>guilherme.desouza@cs-sitel.com.br</t>
  </si>
  <si>
    <t>kamila.silva@cs-sitel.com.br</t>
  </si>
  <si>
    <t>mariele.santos@cs-sitel.com.br</t>
  </si>
  <si>
    <t>samuel.andrade@cs-sitel.com.br</t>
  </si>
  <si>
    <t>thiago.amaral@cs-sitel.com.br</t>
  </si>
  <si>
    <t>thiago.herraez@cs-sitel.com.br</t>
  </si>
  <si>
    <t>alexandre.martinez@cs-sitel.com.br</t>
  </si>
  <si>
    <t>bruno.romualdo@cs-sitel.com.br</t>
  </si>
  <si>
    <t>lindeson.farias@cs-sitel.com.br</t>
  </si>
  <si>
    <t>patriciasantos.lopes@cs-sitel.com.br</t>
  </si>
  <si>
    <t>gabriel.carmo@cs-sitel.com.br</t>
  </si>
  <si>
    <t>adelson.moreira@cs-sitel.com.br</t>
  </si>
  <si>
    <t>bruna.queiroz@cs-sitel.com.br</t>
  </si>
  <si>
    <t>rosangela.souza@cs-sitel.com.br</t>
  </si>
  <si>
    <t>luciana.pereira1@cs-sitel.com.br</t>
  </si>
  <si>
    <t>luiz.bartholomeu@cs-sitel.com.br</t>
  </si>
  <si>
    <t>pablo.dsouza@cs-sitel.com.br</t>
  </si>
  <si>
    <t>vinicius.fgomes@cs-sitel.com.br</t>
  </si>
  <si>
    <t>whanderson.dias@cs-sitel.com.br</t>
  </si>
  <si>
    <t>rafael.dantas@cs-sitel.com.br</t>
  </si>
  <si>
    <t>antonio.santos@cs-sitel.com.br</t>
  </si>
  <si>
    <t>luiz.sferreira@cs-sitel.com.br</t>
  </si>
  <si>
    <t>uedese.costa@cs-sitel.com.br</t>
  </si>
  <si>
    <t>rafael.taira@cs-sitel.com.br</t>
  </si>
  <si>
    <t>jonatas.tenorio@cs-sitel.com.br</t>
  </si>
  <si>
    <t>priscila.gongalves@cs-sitel.com.br</t>
  </si>
  <si>
    <t>paulo.neto@cs-sitel.com.br</t>
  </si>
  <si>
    <t>renato.miranda@cs-sitel.com.br</t>
  </si>
  <si>
    <t>alan.dsilva@cs-sitel.com.br</t>
  </si>
  <si>
    <t>tatiane.lira@cs-sitel.com.br</t>
  </si>
  <si>
    <t>adriano.queiroz@cs-sitel.com.br</t>
  </si>
  <si>
    <t>helton.menconi@cs-sitel.com.br</t>
  </si>
  <si>
    <t>claudio.nakamura@cs-sitel.com.br</t>
  </si>
  <si>
    <t>dayane.souza@cs-sitel.com.br</t>
  </si>
  <si>
    <t>michel.nunes@cs-sitel.com.br</t>
  </si>
  <si>
    <t>marivaldo.oliveira@cs-sitel.com.br</t>
  </si>
  <si>
    <t>jessika.amaral@cs-sitel.com.br</t>
  </si>
  <si>
    <t>agatha.silva01@cs-sitel.com.br</t>
  </si>
  <si>
    <t>artur.figueiredo@cs-sitel.com.br</t>
  </si>
  <si>
    <t>renato.monteiro@cs-sitel.com.br</t>
  </si>
  <si>
    <t>rodolfo.araujo@cs-sitel.com.br</t>
  </si>
  <si>
    <t>roseli.silva@cs-sitel.com.br</t>
  </si>
  <si>
    <t>andressa.rosa@cs-sitel.com.br</t>
  </si>
  <si>
    <t>thais.spaula@cs-sitel.com.br</t>
  </si>
  <si>
    <t>danille.rugue@cs-sitel.com.br</t>
  </si>
  <si>
    <t>paulo.henrique@cs-sitel.com.br</t>
  </si>
  <si>
    <t>monica.sarmando@cs-sitel.com.br</t>
  </si>
  <si>
    <t>dalcione.cruz@cs-sitel.com.br</t>
  </si>
  <si>
    <t>amanda.silva@cs-sitel.com.br</t>
  </si>
  <si>
    <t>erica.araujo@cs-sitel.com.br</t>
  </si>
  <si>
    <t>juliane.teixeira@cs-sitel.com.br</t>
  </si>
  <si>
    <t>kleber.junior@cs-sitel.com.br</t>
  </si>
  <si>
    <t>priscila.souterio@cs-sitel.com.br</t>
  </si>
  <si>
    <t>selma.rodrigues@cs-sitel.com.br</t>
  </si>
  <si>
    <t>priscilla.batista@cs-sitel.com.br</t>
  </si>
  <si>
    <t>fernando.leite1@cs-sitel.com.br</t>
  </si>
  <si>
    <t>rodrigo.alvarenga@cs-sitel.com.br</t>
  </si>
  <si>
    <t>caique.ramos@cs-sitel.com.br</t>
  </si>
  <si>
    <t>jaqueline.dsouza@cs-sitel.com.br</t>
  </si>
  <si>
    <t>caio.sousa2@cs-sitel.com.br</t>
  </si>
  <si>
    <t>daniel.doliveira@cs-sitel.com.br</t>
  </si>
  <si>
    <t>gustavo.araujo@cs-sitel.com.br</t>
  </si>
  <si>
    <t>maksoud.rocha@cs-sitel.com.br</t>
  </si>
  <si>
    <t>renan.tegani@cs-sitel.com.br</t>
  </si>
  <si>
    <t>lucas.bonfim@cs-sitel.com.br</t>
  </si>
  <si>
    <t>anderson.costa@cs-sitel.com.br</t>
  </si>
  <si>
    <t>erica.deazevedo@cs-sitel.com.br</t>
  </si>
  <si>
    <t>thiffany.avino@cs-sitel.com.br</t>
  </si>
  <si>
    <t>cisterna.kelli@cs-sitel.com.br</t>
  </si>
  <si>
    <t>luciano.salvi@cs-sitel.com.br</t>
  </si>
  <si>
    <t>franciele.soares@cs-sitel.com.br</t>
  </si>
  <si>
    <t>luizfernandofranca.dasilva@cs-sitel.com.br</t>
  </si>
  <si>
    <t>felipe.fernandes@cs-sitel.com.br</t>
  </si>
  <si>
    <t>samuel.enoque@cs-sitel.com.br</t>
  </si>
  <si>
    <t>jonas.batista@cs-sitel.com.br</t>
  </si>
  <si>
    <t>fernando.almeida@cs-sitel.com.br</t>
  </si>
  <si>
    <t>foi.gun@cs-sitel.com.br</t>
  </si>
  <si>
    <t>gilberto.simeao@cs-sitel.com.br</t>
  </si>
  <si>
    <t>levi.barros@cs-sitel.com.br</t>
  </si>
  <si>
    <t>marcos.correia@cs-sitel.com.br</t>
  </si>
  <si>
    <t>renato.andrade@cs-sitel.com.br</t>
  </si>
  <si>
    <t>robson.fgoncalves@cs-sitel.com.br</t>
  </si>
  <si>
    <t>vinicius.prazeres@cs-sitel.com.br</t>
  </si>
  <si>
    <t>yam.santos@cs-sitel.com.br</t>
  </si>
  <si>
    <t>gisele.dsantos@cs-sitel.com.br</t>
  </si>
  <si>
    <t>renan.santos@cs-sitel.com.br</t>
  </si>
  <si>
    <t>alan.cruz@cs-sitel.com.br</t>
  </si>
  <si>
    <t>andre.deabreu@cs-sitel.com.br</t>
  </si>
  <si>
    <t>taina.pires@cs-sitel.com.br</t>
  </si>
  <si>
    <t>katiane.almeida@cs-sitel.com.br</t>
  </si>
  <si>
    <t>bruno.colella@cs-sitel.com.br</t>
  </si>
  <si>
    <t>kaio.fernandes@cs-sitel.com.br</t>
  </si>
  <si>
    <t>fabio.psilva@cs-sitel.com.br</t>
  </si>
  <si>
    <t>ivan.moreira@cs-sitel.com.br</t>
  </si>
  <si>
    <t>jonatan.farias@cs-sitel.com.br</t>
  </si>
  <si>
    <t>tatiane.psantos@cs-sitel.com.br</t>
  </si>
  <si>
    <t>adriano.dearaujo@cs-sitel.com.br</t>
  </si>
  <si>
    <t>gustavo.guanas@cs-sitel.com.br</t>
  </si>
  <si>
    <t>felipe.joliveira@cs-sitel.com.br</t>
  </si>
  <si>
    <t>alyf.santos@cs-sitel.com.br</t>
  </si>
  <si>
    <t>everton.fidelis@cs-sitel.com.br</t>
  </si>
  <si>
    <t>leonardo.maracas@cs-sitel.com.br</t>
  </si>
  <si>
    <t>thiagodeoliveira.silva@cs-sitel.com.br</t>
  </si>
  <si>
    <t>ysaacdasilva.neto@cs-sitel.com.br</t>
  </si>
  <si>
    <t>davi.dsilva@cs-sitel.com.br</t>
  </si>
  <si>
    <t>anderson.msilva@cs-sitel.com.br</t>
  </si>
  <si>
    <t>rodrigo.macedo1@cs-sitel.com.br</t>
  </si>
  <si>
    <t>erico.silva@cs-sitel.com.br</t>
  </si>
  <si>
    <t>tony.andrade@cs-sitel.com.br</t>
  </si>
  <si>
    <t>felipe.farias@cs-sitel.com.br</t>
  </si>
  <si>
    <t>cristian.paxi@cs-sitel.com.br</t>
  </si>
  <si>
    <t>andre.tamazi@cs-sitel.com.br</t>
  </si>
  <si>
    <t>patrik.araujo@cs-sitel.com.br</t>
  </si>
  <si>
    <t>lucasalmeida.dossantos@cs-sitel.com.br</t>
  </si>
  <si>
    <t>igorcury.bevilacqua@cs-sitel.com.br</t>
  </si>
  <si>
    <t>valteraparecido.vieirajunior@cs-sitel.com.br</t>
  </si>
  <si>
    <t>alexmar.oliveira@cs-sitel.com.br</t>
  </si>
  <si>
    <t>leo.santos@cs-sitel.com.br</t>
  </si>
  <si>
    <t>evandro.sousa@cs-sitel.com.br</t>
  </si>
  <si>
    <t>alessandre.pasin@cs-sitel.com.br</t>
  </si>
  <si>
    <t>washington.asilva@cs-sitel.com.br</t>
  </si>
  <si>
    <t>milca.cavalcante@cs-sitel.com.br</t>
  </si>
  <si>
    <t>bianca.tolotto@cs-sitel.com.br</t>
  </si>
  <si>
    <t>marina.molica@cs-sitel.com.br</t>
  </si>
  <si>
    <t>haram.pedroso@cs-sitel.com.br</t>
  </si>
  <si>
    <t>karina.santos@cs-sitel.com.br</t>
  </si>
  <si>
    <t>aline.roberta@cs-sitel.com.br</t>
  </si>
  <si>
    <t>adriana.ssousa@cs-sitel.com.br</t>
  </si>
  <si>
    <t>thiago.goncalves01@cs-sitel.com.br</t>
  </si>
  <si>
    <t>felipe.diniz@cs-sitel.com.br</t>
  </si>
  <si>
    <t>franciani.pereira@cs-sitel.com.br</t>
  </si>
  <si>
    <t>fabricio.serra@cs-sitel.com.br</t>
  </si>
  <si>
    <t>robson.carvalho@cs-sitel.com.br</t>
  </si>
  <si>
    <t>denilson.ferreira@cs-sitel.com.br</t>
  </si>
  <si>
    <t>emerson.franca@cs-sitel.com.br</t>
  </si>
  <si>
    <t>tatiane.fonseca@cs-sitel.com.br</t>
  </si>
  <si>
    <t>emanuelle.matos@cs-sitel.com.br</t>
  </si>
  <si>
    <t>geisla.catharino@cs-sitel.com.br</t>
  </si>
  <si>
    <t>nelson.silva@cs-sitel.com.br</t>
  </si>
  <si>
    <t>bruno.angelo@cs-sitel.com.br</t>
  </si>
  <si>
    <t>renata.riquena@cs-sitel.com.br</t>
  </si>
  <si>
    <t>Operador</t>
  </si>
  <si>
    <t>Analista</t>
  </si>
  <si>
    <t>03820-270</t>
  </si>
  <si>
    <t>06180-000</t>
  </si>
  <si>
    <t>05209-120</t>
  </si>
  <si>
    <t>02366-001</t>
  </si>
  <si>
    <t>07865-020</t>
  </si>
  <si>
    <t>06813-230</t>
  </si>
  <si>
    <t>03728-005</t>
  </si>
  <si>
    <t>03928-235</t>
  </si>
  <si>
    <t>05203-100</t>
  </si>
  <si>
    <t>08554-210</t>
  </si>
  <si>
    <t>08253-250</t>
  </si>
  <si>
    <t>0841-250</t>
  </si>
  <si>
    <t>07428-320</t>
  </si>
  <si>
    <t>07093-100</t>
  </si>
  <si>
    <t>09530-550</t>
  </si>
  <si>
    <t>02324-160</t>
  </si>
  <si>
    <t>06775-030</t>
  </si>
  <si>
    <t>06172-310</t>
  </si>
  <si>
    <t>06418-010</t>
  </si>
  <si>
    <t>06816-160</t>
  </si>
  <si>
    <t>05792-000</t>
  </si>
  <si>
    <t>06856-700</t>
  </si>
  <si>
    <t>08340-260</t>
  </si>
  <si>
    <t>08465-140</t>
  </si>
  <si>
    <t>08473-100</t>
  </si>
  <si>
    <t>07895-120</t>
  </si>
  <si>
    <t>08581-210</t>
  </si>
  <si>
    <t>0847-1730</t>
  </si>
  <si>
    <t>02066-130</t>
  </si>
  <si>
    <t>04213-001</t>
  </si>
  <si>
    <t>03977-680</t>
  </si>
  <si>
    <t>07030-030</t>
  </si>
  <si>
    <t>0615-035</t>
  </si>
  <si>
    <t>04430-140</t>
  </si>
  <si>
    <t>06144-010</t>
  </si>
  <si>
    <t>04904-140</t>
  </si>
  <si>
    <t>08246-080</t>
  </si>
  <si>
    <t>08121-290</t>
  </si>
  <si>
    <t>08473-420</t>
  </si>
  <si>
    <t>05360-120</t>
  </si>
  <si>
    <t>08560-120</t>
  </si>
  <si>
    <t>03964-010</t>
  </si>
  <si>
    <t>02837-100</t>
  </si>
  <si>
    <t>04517-570</t>
  </si>
  <si>
    <t>04812-090</t>
  </si>
  <si>
    <t>07600-000</t>
  </si>
  <si>
    <t>03727-020</t>
  </si>
  <si>
    <t>06716-170</t>
  </si>
  <si>
    <t>06378-200</t>
  </si>
  <si>
    <t>06437-160</t>
  </si>
  <si>
    <t>06415-150</t>
  </si>
  <si>
    <t>6122-020</t>
  </si>
  <si>
    <t>8383-110</t>
  </si>
  <si>
    <t>05041-001</t>
  </si>
  <si>
    <t>02270-070</t>
  </si>
  <si>
    <t>08220-330</t>
  </si>
  <si>
    <t>03585-010</t>
  </si>
  <si>
    <t>06602-160</t>
  </si>
  <si>
    <t>06857-170</t>
  </si>
  <si>
    <t>02141-000</t>
  </si>
  <si>
    <t>03804-060</t>
  </si>
  <si>
    <t>06764-045</t>
  </si>
  <si>
    <t>08452-423</t>
  </si>
  <si>
    <t>07111-220</t>
  </si>
  <si>
    <t>06410-000</t>
  </si>
  <si>
    <t>06315-400</t>
  </si>
  <si>
    <t>Frederico Do Nascimento Giuntini</t>
  </si>
  <si>
    <t>Ricardo Cairo Oliveira</t>
  </si>
  <si>
    <t>afrei007</t>
  </si>
  <si>
    <t>dfrei002</t>
  </si>
  <si>
    <t>lsant031</t>
  </si>
  <si>
    <t>azaga001</t>
  </si>
  <si>
    <t>mrodr010</t>
  </si>
  <si>
    <t>rsous001</t>
  </si>
  <si>
    <t>tsant019</t>
  </si>
  <si>
    <t>idant001</t>
  </si>
  <si>
    <t>lfeli003</t>
  </si>
  <si>
    <t>bsant005</t>
  </si>
  <si>
    <t>csouz008</t>
  </si>
  <si>
    <t>ggome001</t>
  </si>
  <si>
    <t>ksilv019</t>
  </si>
  <si>
    <t>asilv070</t>
  </si>
  <si>
    <t>rstah001</t>
  </si>
  <si>
    <t>aproe001</t>
  </si>
  <si>
    <t>vgome003</t>
  </si>
  <si>
    <t>rsouz020</t>
  </si>
  <si>
    <t>oalme001</t>
  </si>
  <si>
    <t>wteix002</t>
  </si>
  <si>
    <t>psilv019</t>
  </si>
  <si>
    <t>cosca001</t>
  </si>
  <si>
    <t>ftava001</t>
  </si>
  <si>
    <t>vsant014</t>
  </si>
  <si>
    <t>vjesu001</t>
  </si>
  <si>
    <t>amour004</t>
  </si>
  <si>
    <t>vbass001</t>
  </si>
  <si>
    <t>jjuni012</t>
  </si>
  <si>
    <t>nlour001</t>
  </si>
  <si>
    <t>mrene001</t>
  </si>
  <si>
    <t>drizz001</t>
  </si>
  <si>
    <t>fsant041</t>
  </si>
  <si>
    <t>abrit006</t>
  </si>
  <si>
    <t>soliv001</t>
  </si>
  <si>
    <t>malve014</t>
  </si>
  <si>
    <t>klevi001</t>
  </si>
  <si>
    <t>ibarr024</t>
  </si>
  <si>
    <t>pferr003</t>
  </si>
  <si>
    <t>ugama001</t>
  </si>
  <si>
    <t>fsilv032</t>
  </si>
  <si>
    <t>jfern053</t>
  </si>
  <si>
    <t>wcamp002</t>
  </si>
  <si>
    <t>jsilv048</t>
  </si>
  <si>
    <t>vsant020</t>
  </si>
  <si>
    <t>garau003</t>
  </si>
  <si>
    <t>rbuti001</t>
  </si>
  <si>
    <t>dgonz020</t>
  </si>
  <si>
    <t>jamar002</t>
  </si>
  <si>
    <t>mjuvi001</t>
  </si>
  <si>
    <t>vbran002</t>
  </si>
  <si>
    <t>fjoaq001</t>
  </si>
  <si>
    <t>sbati003</t>
  </si>
  <si>
    <t>agino001</t>
  </si>
  <si>
    <t>pluci002</t>
  </si>
  <si>
    <t>msilv062</t>
  </si>
  <si>
    <t>ngouv001</t>
  </si>
  <si>
    <t>hmart001</t>
  </si>
  <si>
    <t>fnasc001</t>
  </si>
  <si>
    <t>pcarm001</t>
  </si>
  <si>
    <t>rlima008</t>
  </si>
  <si>
    <t>jpire002</t>
  </si>
  <si>
    <t>cpluz001</t>
  </si>
  <si>
    <t>dsouz005</t>
  </si>
  <si>
    <t>rleal001</t>
  </si>
  <si>
    <t>vperez001</t>
  </si>
  <si>
    <t>ysilv006</t>
  </si>
  <si>
    <t>cnasc002</t>
  </si>
  <si>
    <t>vgome013</t>
  </si>
  <si>
    <t>rcamp017</t>
  </si>
  <si>
    <t>csilv045</t>
  </si>
  <si>
    <t>lsucu001</t>
  </si>
  <si>
    <t>ssant015</t>
  </si>
  <si>
    <t>rcarv005</t>
  </si>
  <si>
    <t>hmore003</t>
  </si>
  <si>
    <t>tsous001</t>
  </si>
  <si>
    <t>wconc001</t>
  </si>
  <si>
    <t>aflor021</t>
  </si>
  <si>
    <t>carai001</t>
  </si>
  <si>
    <t>egrig001</t>
  </si>
  <si>
    <t>dpere001</t>
  </si>
  <si>
    <t>hamar001</t>
  </si>
  <si>
    <t>wsoar001</t>
  </si>
  <si>
    <t>clima001</t>
  </si>
  <si>
    <t>edias001</t>
  </si>
  <si>
    <t>ileal001</t>
  </si>
  <si>
    <t>loliv019</t>
  </si>
  <si>
    <t>cdant002</t>
  </si>
  <si>
    <t>tprad001</t>
  </si>
  <si>
    <t>lsouz014</t>
  </si>
  <si>
    <t>sorte005</t>
  </si>
  <si>
    <t>msant106</t>
  </si>
  <si>
    <t>lnune010</t>
  </si>
  <si>
    <t>fmore004</t>
  </si>
  <si>
    <t>asant007</t>
  </si>
  <si>
    <t>gcruz001</t>
  </si>
  <si>
    <t>bmota001</t>
  </si>
  <si>
    <t>fsant004</t>
  </si>
  <si>
    <t>apere003</t>
  </si>
  <si>
    <t>cpetr001</t>
  </si>
  <si>
    <t>asilv050</t>
  </si>
  <si>
    <t>aandr002</t>
  </si>
  <si>
    <t>jyasu001</t>
  </si>
  <si>
    <t>jsilv009</t>
  </si>
  <si>
    <t>eoliv017</t>
  </si>
  <si>
    <t>bfari001</t>
  </si>
  <si>
    <t>dcard003</t>
  </si>
  <si>
    <t>gbarr006</t>
  </si>
  <si>
    <t>jcach001</t>
  </si>
  <si>
    <t>mcruz040</t>
  </si>
  <si>
    <t>efial001</t>
  </si>
  <si>
    <t>agrac002</t>
  </si>
  <si>
    <t>jsant002</t>
  </si>
  <si>
    <t>ltole001</t>
  </si>
  <si>
    <t>jmart003</t>
  </si>
  <si>
    <t>esouz004</t>
  </si>
  <si>
    <t>doliv011</t>
  </si>
  <si>
    <t>drodr002</t>
  </si>
  <si>
    <t>jsilv049</t>
  </si>
  <si>
    <t>rborg003</t>
  </si>
  <si>
    <t>mpoll001</t>
  </si>
  <si>
    <t>ijuni002</t>
  </si>
  <si>
    <t>bvarg002</t>
  </si>
  <si>
    <t>rfari001</t>
  </si>
  <si>
    <t>fdevi001</t>
  </si>
  <si>
    <t>vsilv035</t>
  </si>
  <si>
    <t>fnata001</t>
  </si>
  <si>
    <t>jferr008</t>
  </si>
  <si>
    <t>jteod001</t>
  </si>
  <si>
    <t>msilv056</t>
  </si>
  <si>
    <t>fsilv037</t>
  </si>
  <si>
    <t>holiv002</t>
  </si>
  <si>
    <t>lsilv047</t>
  </si>
  <si>
    <t>omour001</t>
  </si>
  <si>
    <t>doliv018</t>
  </si>
  <si>
    <t>hgalv001</t>
  </si>
  <si>
    <t>jjuni010</t>
  </si>
  <si>
    <t>pnede001</t>
  </si>
  <si>
    <t>dsilv014</t>
  </si>
  <si>
    <t>apere44</t>
  </si>
  <si>
    <t>tlope001</t>
  </si>
  <si>
    <t>gsouz007</t>
  </si>
  <si>
    <t>ksilv008</t>
  </si>
  <si>
    <t>msant006</t>
  </si>
  <si>
    <t>sandr002</t>
  </si>
  <si>
    <t>tamar002</t>
  </si>
  <si>
    <t>therr003</t>
  </si>
  <si>
    <t>amart050</t>
  </si>
  <si>
    <t>bsant009</t>
  </si>
  <si>
    <t>lfari003</t>
  </si>
  <si>
    <t>plope001</t>
  </si>
  <si>
    <t>gcarm001</t>
  </si>
  <si>
    <t>amore008</t>
  </si>
  <si>
    <t>breis004</t>
  </si>
  <si>
    <t>rsouz010</t>
  </si>
  <si>
    <t>lpere003</t>
  </si>
  <si>
    <t>lbart001</t>
  </si>
  <si>
    <t>psouz006</t>
  </si>
  <si>
    <t>Vgome001</t>
  </si>
  <si>
    <t>wdias001</t>
  </si>
  <si>
    <t>rdant001</t>
  </si>
  <si>
    <t>asant041</t>
  </si>
  <si>
    <t>lferr008</t>
  </si>
  <si>
    <t>ucost002</t>
  </si>
  <si>
    <t>rtair001</t>
  </si>
  <si>
    <t>jteno002</t>
  </si>
  <si>
    <t>poliv006</t>
  </si>
  <si>
    <t>pneto002</t>
  </si>
  <si>
    <t>rsant063</t>
  </si>
  <si>
    <t>asilv085</t>
  </si>
  <si>
    <t>tlira001</t>
  </si>
  <si>
    <t>aquei002</t>
  </si>
  <si>
    <t>cnaka001</t>
  </si>
  <si>
    <t>rpere034</t>
  </si>
  <si>
    <t>dferr007</t>
  </si>
  <si>
    <t>mnune017</t>
  </si>
  <si>
    <t>moliv042</t>
  </si>
  <si>
    <t>jamar014</t>
  </si>
  <si>
    <t>asilv005</t>
  </si>
  <si>
    <t>afigu004</t>
  </si>
  <si>
    <t>rmont026</t>
  </si>
  <si>
    <t>rarau007</t>
  </si>
  <si>
    <t>rsilv070</t>
  </si>
  <si>
    <t>arosa006</t>
  </si>
  <si>
    <t>tsilv026</t>
  </si>
  <si>
    <t>drugu001</t>
  </si>
  <si>
    <t>psilv028</t>
  </si>
  <si>
    <t>marma002</t>
  </si>
  <si>
    <t>dcruz002</t>
  </si>
  <si>
    <t>asant043</t>
  </si>
  <si>
    <t>earau007</t>
  </si>
  <si>
    <t>jteix001</t>
  </si>
  <si>
    <t>kjuni001</t>
  </si>
  <si>
    <t>psout001</t>
  </si>
  <si>
    <t>aferr008</t>
  </si>
  <si>
    <t>srodr005</t>
  </si>
  <si>
    <t>pbati002</t>
  </si>
  <si>
    <t>fleit001</t>
  </si>
  <si>
    <t>ralva001</t>
  </si>
  <si>
    <t>cramo002</t>
  </si>
  <si>
    <t>jsilv051</t>
  </si>
  <si>
    <t>csous004</t>
  </si>
  <si>
    <t>doliv015</t>
  </si>
  <si>
    <t>garau001</t>
  </si>
  <si>
    <t>mroch012</t>
  </si>
  <si>
    <t>rtaga001</t>
  </si>
  <si>
    <t>lbonf001</t>
  </si>
  <si>
    <t>acost039</t>
  </si>
  <si>
    <t>eazev004</t>
  </si>
  <si>
    <t>tavin001</t>
  </si>
  <si>
    <t>lsalv007</t>
  </si>
  <si>
    <t>fsoar004</t>
  </si>
  <si>
    <t>lsilv012</t>
  </si>
  <si>
    <t>foliv004</t>
  </si>
  <si>
    <t>ssilv029</t>
  </si>
  <si>
    <t>jbati004</t>
  </si>
  <si>
    <t>falme004</t>
  </si>
  <si>
    <t>fbing001</t>
  </si>
  <si>
    <t>gjuni007</t>
  </si>
  <si>
    <t>lbarr005</t>
  </si>
  <si>
    <t>mcorr006</t>
  </si>
  <si>
    <t>randr008</t>
  </si>
  <si>
    <t>rgonc003</t>
  </si>
  <si>
    <t>vpraz001</t>
  </si>
  <si>
    <t>ysant001</t>
  </si>
  <si>
    <t>gsant020</t>
  </si>
  <si>
    <t>rsant008</t>
  </si>
  <si>
    <t>acruz003</t>
  </si>
  <si>
    <t>aabre003</t>
  </si>
  <si>
    <t>tpire001</t>
  </si>
  <si>
    <t>kalme001</t>
  </si>
  <si>
    <t>bcole002</t>
  </si>
  <si>
    <t>kfern001</t>
  </si>
  <si>
    <t>fsilv056</t>
  </si>
  <si>
    <t>isilv004</t>
  </si>
  <si>
    <t>jfari001</t>
  </si>
  <si>
    <t>tsant001</t>
  </si>
  <si>
    <t>aarau010</t>
  </si>
  <si>
    <t>gguan001</t>
  </si>
  <si>
    <t>foliv001</t>
  </si>
  <si>
    <t>asant059</t>
  </si>
  <si>
    <t>efide001</t>
  </si>
  <si>
    <t>lmara001</t>
  </si>
  <si>
    <t>tsilv005</t>
  </si>
  <si>
    <t>yneto002</t>
  </si>
  <si>
    <t>dsilv069</t>
  </si>
  <si>
    <t>asilv009</t>
  </si>
  <si>
    <t>rmace001</t>
  </si>
  <si>
    <t>esilv009</t>
  </si>
  <si>
    <t>tandr003</t>
  </si>
  <si>
    <t>ffari001</t>
  </si>
  <si>
    <t>cpaxi001</t>
  </si>
  <si>
    <t>atama006</t>
  </si>
  <si>
    <t>parau003</t>
  </si>
  <si>
    <t>lsant008</t>
  </si>
  <si>
    <t>ibevi001</t>
  </si>
  <si>
    <t>vjuni003</t>
  </si>
  <si>
    <t>aoliv015</t>
  </si>
  <si>
    <t>lsant022</t>
  </si>
  <si>
    <t>esous003</t>
  </si>
  <si>
    <t>alessandre.pasin</t>
  </si>
  <si>
    <t>wsilv024</t>
  </si>
  <si>
    <t>btolo001</t>
  </si>
  <si>
    <t>msant032</t>
  </si>
  <si>
    <t>hpedr001</t>
  </si>
  <si>
    <t>ksant020</t>
  </si>
  <si>
    <t>aalme013</t>
  </si>
  <si>
    <t>asous006</t>
  </si>
  <si>
    <t>tgonc001</t>
  </si>
  <si>
    <t>fdini002</t>
  </si>
  <si>
    <t>fserr009</t>
  </si>
  <si>
    <t>rcarv009</t>
  </si>
  <si>
    <t>dferr010</t>
  </si>
  <si>
    <t>efran011</t>
  </si>
  <si>
    <t>tfons001</t>
  </si>
  <si>
    <t>emato002</t>
  </si>
  <si>
    <t>gcath001</t>
  </si>
  <si>
    <t>nsilv006</t>
  </si>
  <si>
    <t>barau002</t>
  </si>
  <si>
    <t>lmont012</t>
  </si>
  <si>
    <t>lhuam001</t>
  </si>
  <si>
    <t>aeste004</t>
  </si>
  <si>
    <t>aomet001</t>
  </si>
  <si>
    <t>amaga002</t>
  </si>
  <si>
    <t>bcant001</t>
  </si>
  <si>
    <t>rcruz002</t>
  </si>
  <si>
    <t>rriqu001</t>
  </si>
  <si>
    <t>sbran001</t>
  </si>
  <si>
    <t>BPID</t>
  </si>
  <si>
    <t>Híbrido</t>
  </si>
  <si>
    <t>Multiskill</t>
  </si>
  <si>
    <t>P5760499</t>
  </si>
  <si>
    <t>P1004641</t>
  </si>
  <si>
    <t>P5606159</t>
  </si>
  <si>
    <t>P0984529</t>
  </si>
  <si>
    <t>P3973426</t>
  </si>
  <si>
    <t>P2951894</t>
  </si>
  <si>
    <t>P3908398</t>
  </si>
  <si>
    <t>P1837640</t>
  </si>
  <si>
    <t>P3857407</t>
  </si>
  <si>
    <t>P4710829</t>
  </si>
  <si>
    <t>P5104449</t>
  </si>
  <si>
    <t>P4553604</t>
  </si>
  <si>
    <t>P0336446</t>
  </si>
  <si>
    <t>P0152626</t>
  </si>
  <si>
    <t>P3579712</t>
  </si>
  <si>
    <t>P5388750</t>
  </si>
  <si>
    <t>P4804475</t>
  </si>
  <si>
    <t>P7783173</t>
  </si>
  <si>
    <t>P8161396</t>
  </si>
  <si>
    <t>P5754610</t>
  </si>
  <si>
    <t>P0512762</t>
  </si>
  <si>
    <t>P2714406</t>
  </si>
  <si>
    <t>P5032821</t>
  </si>
  <si>
    <t>P6789885</t>
  </si>
  <si>
    <t>P1809084</t>
  </si>
  <si>
    <t>P7802773</t>
  </si>
  <si>
    <t>P3518751</t>
  </si>
  <si>
    <t>P7210237</t>
  </si>
  <si>
    <t>P1212986</t>
  </si>
  <si>
    <t>P4514679</t>
  </si>
  <si>
    <t>P3624392</t>
  </si>
  <si>
    <t>P0277186</t>
  </si>
  <si>
    <t>P4815470</t>
  </si>
  <si>
    <t>P2986624</t>
  </si>
  <si>
    <t>P4495818</t>
  </si>
  <si>
    <t>P2603483</t>
  </si>
  <si>
    <t>P7399610</t>
  </si>
  <si>
    <t>P7446984</t>
  </si>
  <si>
    <t>P0564478</t>
  </si>
  <si>
    <t>P0785125</t>
  </si>
  <si>
    <t>P3038112</t>
  </si>
  <si>
    <t>P3767599</t>
  </si>
  <si>
    <t>P1565458</t>
  </si>
  <si>
    <t>P6806738</t>
  </si>
  <si>
    <t>P2214258</t>
  </si>
  <si>
    <t>P6853347</t>
  </si>
  <si>
    <t>P2174521</t>
  </si>
  <si>
    <t>P0859034</t>
  </si>
  <si>
    <t>P3226453</t>
  </si>
  <si>
    <t>P1500031</t>
  </si>
  <si>
    <t>P4264797</t>
  </si>
  <si>
    <t>P5641580</t>
  </si>
  <si>
    <t>P5375989</t>
  </si>
  <si>
    <t>P4273347</t>
  </si>
  <si>
    <t>P7210597</t>
  </si>
  <si>
    <t>P0782846</t>
  </si>
  <si>
    <t>P3394883</t>
  </si>
  <si>
    <t>P1044742</t>
  </si>
  <si>
    <t>P7398291</t>
  </si>
  <si>
    <t>P1465629</t>
  </si>
  <si>
    <t>P2050002</t>
  </si>
  <si>
    <t>P0208916</t>
  </si>
  <si>
    <t>P5092674</t>
  </si>
  <si>
    <t>P4286727</t>
  </si>
  <si>
    <t>P1960691</t>
  </si>
  <si>
    <t>P6272410</t>
  </si>
  <si>
    <t>P0914220</t>
  </si>
  <si>
    <t>P5668493</t>
  </si>
  <si>
    <t>P6780930</t>
  </si>
  <si>
    <t>P5289931</t>
  </si>
  <si>
    <t>P7807947</t>
  </si>
  <si>
    <t>P0482911</t>
  </si>
  <si>
    <t>P1103391</t>
  </si>
  <si>
    <t>P7654510</t>
  </si>
  <si>
    <t>P1298918</t>
  </si>
  <si>
    <t>P6860244</t>
  </si>
  <si>
    <t>P7540371</t>
  </si>
  <si>
    <t>P6613820</t>
  </si>
  <si>
    <t>P0776152</t>
  </si>
  <si>
    <t>P0809102</t>
  </si>
  <si>
    <t>P3769780</t>
  </si>
  <si>
    <t>P7529205</t>
  </si>
  <si>
    <t>P6022217</t>
  </si>
  <si>
    <t>P1196175</t>
  </si>
  <si>
    <t>P1346073</t>
  </si>
  <si>
    <t>P4345367</t>
  </si>
  <si>
    <t>P2186142</t>
  </si>
  <si>
    <t>P5713853</t>
  </si>
  <si>
    <t>P6421745</t>
  </si>
  <si>
    <t>P7307545</t>
  </si>
  <si>
    <t>P1930623</t>
  </si>
  <si>
    <t>P1083823</t>
  </si>
  <si>
    <t>P5784446</t>
  </si>
  <si>
    <t>P1927044</t>
  </si>
  <si>
    <t>P5298312</t>
  </si>
  <si>
    <t>P4164860</t>
  </si>
  <si>
    <t>P0453603</t>
  </si>
  <si>
    <t>P3365772</t>
  </si>
  <si>
    <t>P1045411</t>
  </si>
  <si>
    <t>P2781169</t>
  </si>
  <si>
    <t>P4367798</t>
  </si>
  <si>
    <t>P4362620</t>
  </si>
  <si>
    <t>P2508393</t>
  </si>
  <si>
    <t>P0995052</t>
  </si>
  <si>
    <t>P7827593</t>
  </si>
  <si>
    <t>P1940860</t>
  </si>
  <si>
    <t>P0541153</t>
  </si>
  <si>
    <t>P1889086</t>
  </si>
  <si>
    <t>P2648371</t>
  </si>
  <si>
    <t>P2045098</t>
  </si>
  <si>
    <t>P2522607</t>
  </si>
  <si>
    <t>P7028717</t>
  </si>
  <si>
    <t>P6343622</t>
  </si>
  <si>
    <t>P4328875</t>
  </si>
  <si>
    <t>P5434481</t>
  </si>
  <si>
    <t>P4239658</t>
  </si>
  <si>
    <t>P0211540</t>
  </si>
  <si>
    <t>P3315564</t>
  </si>
  <si>
    <t>P0612666</t>
  </si>
  <si>
    <t>P5506870</t>
  </si>
  <si>
    <t>P1310486</t>
  </si>
  <si>
    <t>P6588382</t>
  </si>
  <si>
    <t>P2633592</t>
  </si>
  <si>
    <t>P6226312</t>
  </si>
  <si>
    <t>P2851380</t>
  </si>
  <si>
    <t>P4275254</t>
  </si>
  <si>
    <t>P6703874</t>
  </si>
  <si>
    <t>P3002829</t>
  </si>
  <si>
    <t>P4174647</t>
  </si>
  <si>
    <t>P3556916</t>
  </si>
  <si>
    <t>P1049000</t>
  </si>
  <si>
    <t>P0728806</t>
  </si>
  <si>
    <t>P0488084</t>
  </si>
  <si>
    <t>P8062756</t>
  </si>
  <si>
    <t>P7505685</t>
  </si>
  <si>
    <t>P6179807</t>
  </si>
  <si>
    <t>P0356396</t>
  </si>
  <si>
    <t>P7702664</t>
  </si>
  <si>
    <t>P1751314</t>
  </si>
  <si>
    <t>P0136352</t>
  </si>
  <si>
    <t>P3907005</t>
  </si>
  <si>
    <t>P2521223</t>
  </si>
  <si>
    <t>P1198859</t>
  </si>
  <si>
    <t>P8273544</t>
  </si>
  <si>
    <t>P4793502</t>
  </si>
  <si>
    <t>P6646235</t>
  </si>
  <si>
    <t>P3684677</t>
  </si>
  <si>
    <t>P1395297</t>
  </si>
  <si>
    <t>APASIN</t>
  </si>
  <si>
    <t>P4522971</t>
  </si>
  <si>
    <t>P0157980</t>
  </si>
  <si>
    <t>P8265359</t>
  </si>
  <si>
    <t>P2215136</t>
  </si>
  <si>
    <t>P1737064</t>
  </si>
  <si>
    <t>P5661819</t>
  </si>
  <si>
    <t>P2010464</t>
  </si>
  <si>
    <t>P2231145</t>
  </si>
  <si>
    <t>P7254874</t>
  </si>
  <si>
    <t>P3087867</t>
  </si>
  <si>
    <t>P0503589</t>
  </si>
  <si>
    <t>P3539455</t>
  </si>
  <si>
    <t>P6296189</t>
  </si>
  <si>
    <t>P6915616</t>
  </si>
  <si>
    <t>P4177127</t>
  </si>
  <si>
    <t>P5426113</t>
  </si>
  <si>
    <t>P7686813</t>
  </si>
  <si>
    <t>P4820778</t>
  </si>
  <si>
    <t>P6085529</t>
  </si>
  <si>
    <t>P8062621</t>
  </si>
  <si>
    <t>P7303659</t>
  </si>
  <si>
    <t>P1426282</t>
  </si>
  <si>
    <t>P6719992</t>
  </si>
  <si>
    <t>P4142332</t>
  </si>
  <si>
    <t>P0449925</t>
  </si>
  <si>
    <t>P0921851</t>
  </si>
  <si>
    <t>P0307984</t>
  </si>
  <si>
    <t>P1922130</t>
  </si>
  <si>
    <t>P3929743</t>
  </si>
  <si>
    <t>P8168260</t>
  </si>
  <si>
    <t>P4937989</t>
  </si>
  <si>
    <t>P1731045</t>
  </si>
  <si>
    <t>P6720721</t>
  </si>
  <si>
    <t>Sim</t>
  </si>
  <si>
    <t>201;203;396;202</t>
  </si>
  <si>
    <t>262;371</t>
  </si>
  <si>
    <t>FUPI</t>
  </si>
  <si>
    <t>Smartfriend</t>
  </si>
  <si>
    <t>205;207;209;226</t>
  </si>
  <si>
    <t>MS IPG</t>
  </si>
  <si>
    <t>MS PSG</t>
  </si>
  <si>
    <t>158;3;391;377;375;378;260;199;270</t>
  </si>
  <si>
    <t>RANGE DE LOGINS - HP CONSUMER</t>
  </si>
  <si>
    <t>RESUMO</t>
  </si>
  <si>
    <t>Senha</t>
  </si>
  <si>
    <t>Tipo de Login</t>
  </si>
  <si>
    <t>Em uso</t>
  </si>
  <si>
    <t>%</t>
  </si>
  <si>
    <t>Livre</t>
  </si>
  <si>
    <t>Receptivo</t>
  </si>
  <si>
    <t>Agente IPG</t>
  </si>
  <si>
    <t>Reservado para Revgen</t>
  </si>
  <si>
    <t>Ariane Hitos Ferreira</t>
  </si>
  <si>
    <t>Sidnei Batista Pereira</t>
  </si>
  <si>
    <t>Gilmar Pereira Do Lago</t>
  </si>
  <si>
    <t>Vivian Luci Do Carmo</t>
  </si>
  <si>
    <t>Igor Luiz Nunes Da Silva</t>
  </si>
  <si>
    <t>CHAT</t>
  </si>
  <si>
    <t>Qualidade</t>
  </si>
  <si>
    <t>Leaders</t>
  </si>
  <si>
    <t>roliv020</t>
  </si>
  <si>
    <t>tpete009</t>
  </si>
  <si>
    <t>spere021</t>
  </si>
  <si>
    <t>drosa006</t>
  </si>
  <si>
    <t>glago001</t>
  </si>
  <si>
    <t>mmarq023</t>
  </si>
  <si>
    <t>vcarm003</t>
  </si>
  <si>
    <t>woliv009</t>
  </si>
  <si>
    <t>efrag001</t>
  </si>
  <si>
    <t>jsilv061</t>
  </si>
  <si>
    <t>dsilv060</t>
  </si>
  <si>
    <t>rsouz023</t>
  </si>
  <si>
    <t>tboas001</t>
  </si>
  <si>
    <t>mmelo002</t>
  </si>
  <si>
    <t>isilv011</t>
  </si>
  <si>
    <t>ariane.ferreira@cs-sitel.com.br</t>
  </si>
  <si>
    <t>frederic.noinho@cs-sitel.com.br</t>
  </si>
  <si>
    <t>raul.oliveira@cs-sitel.com.br</t>
  </si>
  <si>
    <t>sidney.batista@cs-sitel.com.br</t>
  </si>
  <si>
    <t>diego.rosa@cs-sitel.com.br</t>
  </si>
  <si>
    <t>gilmar.lago@cs-sitel.com.br</t>
  </si>
  <si>
    <t>vivian.carmo@cs-sitel.com.br</t>
  </si>
  <si>
    <t>wagner.oliveira@cs-sitel.com.br</t>
  </si>
  <si>
    <t>vinicius.loula@cs-sitel.com.br</t>
  </si>
  <si>
    <t>reginaldo.souza@cs-sitel.com.br</t>
  </si>
  <si>
    <t>tatiana.boas@cs-sitel.com.br</t>
  </si>
  <si>
    <t>Grupo Avaya CMS</t>
  </si>
  <si>
    <t>HPC BK Ariane</t>
  </si>
  <si>
    <t>HPC BCD Frederic</t>
  </si>
  <si>
    <t>HPC FL Marcos</t>
  </si>
  <si>
    <t>HPC FL Diego</t>
  </si>
  <si>
    <t>HPC BK Maria</t>
  </si>
  <si>
    <t>HPC BK Josué</t>
  </si>
  <si>
    <t>HPC FL Erivelton</t>
  </si>
  <si>
    <t>HPC Jefte</t>
  </si>
  <si>
    <t>HPC FL Vinicius</t>
  </si>
  <si>
    <t>HPC FL Dani</t>
  </si>
  <si>
    <t>HPC FL Reginaldo</t>
  </si>
  <si>
    <t>HPC FL Marcelo Melo</t>
  </si>
  <si>
    <t>P4970586</t>
  </si>
  <si>
    <t>P3840802</t>
  </si>
  <si>
    <t>P3020234</t>
  </si>
  <si>
    <t>P0210366</t>
  </si>
  <si>
    <t>P2038324</t>
  </si>
  <si>
    <t>P1519234</t>
  </si>
  <si>
    <t>P4776503</t>
  </si>
  <si>
    <t>P7568498</t>
  </si>
  <si>
    <t>P3553026</t>
  </si>
  <si>
    <t>P5363379</t>
  </si>
  <si>
    <t>P6275473</t>
  </si>
  <si>
    <t>P2271980</t>
  </si>
  <si>
    <t>P4813828</t>
  </si>
  <si>
    <t>P4431100</t>
  </si>
  <si>
    <t>P5357988</t>
  </si>
  <si>
    <t>P6708232</t>
  </si>
  <si>
    <t>P6498217</t>
  </si>
  <si>
    <t>P0036721</t>
  </si>
  <si>
    <t>Egberto Lopes De Souza Junior</t>
  </si>
  <si>
    <t>Pamela De Aguiar Favaro</t>
  </si>
  <si>
    <t>Edison Borges Junior</t>
  </si>
  <si>
    <t>Felipe Rodrigues Dos Santos Silva</t>
  </si>
  <si>
    <t>Jessica Sartorelli</t>
  </si>
  <si>
    <t>Victor De Oliveira Vieira</t>
  </si>
  <si>
    <t>Daniela Zanon Dos Santos</t>
  </si>
  <si>
    <t>Maiky Fabio Pereira Rufino</t>
  </si>
  <si>
    <t>Anderson Marques De Sousa</t>
  </si>
  <si>
    <t>Aline Faria Eneas</t>
  </si>
  <si>
    <t>Edinalda Netto Da Silva</t>
  </si>
  <si>
    <t>Anderson Correia De Andrade De Morais</t>
  </si>
  <si>
    <t>Katiana Alves Tolentino</t>
  </si>
  <si>
    <t>Marta Maria Do Nascimento Alves Guandalini</t>
  </si>
  <si>
    <t>Nivaldo Valeriano Castanha</t>
  </si>
  <si>
    <t>Leandro Souza Da Silva</t>
  </si>
  <si>
    <t>Moacir Alves Rodrigues de Mendonça</t>
  </si>
  <si>
    <t>Danilo Adler Pereira</t>
  </si>
  <si>
    <t>Felipe Da Costa Coelho</t>
  </si>
  <si>
    <t>Carlos Andre Nascimento Baptista</t>
  </si>
  <si>
    <t>Maiky Douglas Lima De Oliveira</t>
  </si>
  <si>
    <t>Felipe Dos Anjos Reis</t>
  </si>
  <si>
    <t>Adriano De Sousa Meneses</t>
  </si>
  <si>
    <t>Gabriele Santos Da Silva</t>
  </si>
  <si>
    <t>Bruna Carvalho Macedo</t>
  </si>
  <si>
    <t>Gerente</t>
  </si>
  <si>
    <t>Metricas e Ferramentas</t>
  </si>
  <si>
    <t>OPS Leader</t>
  </si>
  <si>
    <t>WFM Team</t>
  </si>
  <si>
    <t>02/07/2012</t>
  </si>
  <si>
    <t>Coordenador</t>
  </si>
  <si>
    <t>Analista de Desenvolvimento</t>
  </si>
  <si>
    <t>Vanderlei pereira</t>
  </si>
  <si>
    <t xml:space="preserve">João Kuntz </t>
  </si>
  <si>
    <t>ricardo.oliveira@cs-sitel.com.br</t>
  </si>
  <si>
    <t>frederico.giontini@sitel.com</t>
  </si>
  <si>
    <t>pamela.favaro@cs-sitel.com.br</t>
  </si>
  <si>
    <t>edison.borges@cs-sitel.com.br</t>
  </si>
  <si>
    <t>jessica.sartorelli@cs-sitel.com.br</t>
  </si>
  <si>
    <t>daniela.zanos@sitel.com</t>
  </si>
  <si>
    <t>maiky.rufino@cs-sitel.com.br</t>
  </si>
  <si>
    <t>anderson.marques@cs-sitel.com.br</t>
  </si>
  <si>
    <t>fabiana.dsilva@cs-sitel.com.br</t>
  </si>
  <si>
    <t>aline.eneas@cs-sitel.com.br</t>
  </si>
  <si>
    <t>edinalda.silva@cs-sitel.com.br</t>
  </si>
  <si>
    <t>anderson.moraes@cs-sitel.com.br</t>
  </si>
  <si>
    <t>katiana.tolentino@sitel.com</t>
  </si>
  <si>
    <t>marta.guandalini@cs-sitel.com.br</t>
  </si>
  <si>
    <t>nivaldo.castanha@cs-sitel.com.br</t>
  </si>
  <si>
    <t>leandro.souza01@cs-sitel.com.br</t>
  </si>
  <si>
    <t>moacir.mendonca@cs-sitel.com.br</t>
  </si>
  <si>
    <t>danilo.adler@cs-sitel.com.br</t>
  </si>
  <si>
    <t>felipe.coelho@cs-sitel.com.br</t>
  </si>
  <si>
    <t>carlos.baptista@cs-sitel.com.br</t>
  </si>
  <si>
    <t xml:space="preserve">maiky.doliveira@cs-sitel.com.br </t>
  </si>
  <si>
    <t>felipe.reis@cs-sitel.com.br</t>
  </si>
  <si>
    <t>adriano.menezes@sitel.com</t>
  </si>
  <si>
    <t>gabriele.dsilva@sitel.com</t>
  </si>
  <si>
    <t>fgiun001</t>
  </si>
  <si>
    <t>elope001</t>
  </si>
  <si>
    <t>pfava001</t>
  </si>
  <si>
    <t>fsilv049</t>
  </si>
  <si>
    <t>jsart004</t>
  </si>
  <si>
    <t>vviei001</t>
  </si>
  <si>
    <t>dsant040</t>
  </si>
  <si>
    <t>mrufi001</t>
  </si>
  <si>
    <t>asous002</t>
  </si>
  <si>
    <t>fsilv041</t>
  </si>
  <si>
    <t>aenea001</t>
  </si>
  <si>
    <t>esilv031</t>
  </si>
  <si>
    <t>amora021</t>
  </si>
  <si>
    <t>ktole002</t>
  </si>
  <si>
    <t>ncast015</t>
  </si>
  <si>
    <t>lsilv048</t>
  </si>
  <si>
    <t>mmend006</t>
  </si>
  <si>
    <t>dpere020</t>
  </si>
  <si>
    <t>fcoel001</t>
  </si>
  <si>
    <t>cbapt001</t>
  </si>
  <si>
    <t>moliv012</t>
  </si>
  <si>
    <t>freis002</t>
  </si>
  <si>
    <t>amene005</t>
  </si>
  <si>
    <t>gsilv014</t>
  </si>
  <si>
    <t>P0592172</t>
  </si>
  <si>
    <t>P7079021</t>
  </si>
  <si>
    <t>P5676037</t>
  </si>
  <si>
    <t>P7779322</t>
  </si>
  <si>
    <t>P8045002</t>
  </si>
  <si>
    <t>P3937442</t>
  </si>
  <si>
    <t>P6862245</t>
  </si>
  <si>
    <t>P2409769</t>
  </si>
  <si>
    <t>P2557544</t>
  </si>
  <si>
    <t>P0259215</t>
  </si>
  <si>
    <t>P2661365</t>
  </si>
  <si>
    <t>P8229130</t>
  </si>
  <si>
    <t>P7043472</t>
  </si>
  <si>
    <t>P0041220</t>
  </si>
  <si>
    <t>P4113963</t>
  </si>
  <si>
    <t>P4909832</t>
  </si>
  <si>
    <t>P7328094</t>
  </si>
  <si>
    <t>P6410004</t>
  </si>
  <si>
    <t>P8135031</t>
  </si>
  <si>
    <t>P2664489</t>
  </si>
  <si>
    <t>P0983206</t>
  </si>
  <si>
    <t>08235-790</t>
  </si>
  <si>
    <t>02083-060</t>
  </si>
  <si>
    <t>PEDIU DEMISSÃO</t>
  </si>
  <si>
    <t>Danillo Araujo Feitosa</t>
  </si>
  <si>
    <t>Vitor Alves Dos Rios</t>
  </si>
  <si>
    <t>Kayan Marcos De Oliveira Santos</t>
  </si>
  <si>
    <t>Nicolas Dias Rocha De Souza</t>
  </si>
  <si>
    <t>Clayton Gomes de Lima</t>
  </si>
  <si>
    <t>André William Azevedo Santos</t>
  </si>
  <si>
    <t>Rafael Nogueira Borba</t>
  </si>
  <si>
    <t>Rafael Lima Reis</t>
  </si>
  <si>
    <t>Diego De Souza Medina</t>
  </si>
  <si>
    <t>Eduardo Santana Dos Santos</t>
  </si>
  <si>
    <t>Lucas Guilherme Couto Da Silva</t>
  </si>
  <si>
    <t>Eduardo Rosa Dos Santos</t>
  </si>
  <si>
    <t>Viviane Maria De Souza</t>
  </si>
  <si>
    <t>Rodrigo Pazianoto Mouzinho Silva</t>
  </si>
  <si>
    <t>Erick Allan Moreira Oliveira Araujo</t>
  </si>
  <si>
    <t>Paul Ever Honores Maida</t>
  </si>
  <si>
    <t>Reginaldo Pereira Da Silva</t>
  </si>
  <si>
    <t>Fabio Reis De Brito</t>
  </si>
  <si>
    <t>Lucas Alves Nascimento</t>
  </si>
  <si>
    <t>Iasmine de Sontone Chagas</t>
  </si>
  <si>
    <t>Samuel Gouvea Dos Santos</t>
  </si>
  <si>
    <t>Edenilda Gomes Da Silva Santos</t>
  </si>
  <si>
    <t>Pedro Henrique De Oliveira Silva</t>
  </si>
  <si>
    <t>Jennifer dos Santos Assalin</t>
  </si>
  <si>
    <t>Wagner Donizete Simao</t>
  </si>
  <si>
    <t>Douglas Domenico Bollella</t>
  </si>
  <si>
    <t>Thiago Gomes da Silva</t>
  </si>
  <si>
    <t>Mateus De Paula Souza</t>
  </si>
  <si>
    <t>Alessano Pinheiro Santos Brito</t>
  </si>
  <si>
    <t>Cesar Luiz Vieira Belisario</t>
  </si>
  <si>
    <t>Eliza Santos Gotardi</t>
  </si>
  <si>
    <t>Luiz Felipe Pereira</t>
  </si>
  <si>
    <t>Elisangela Mendes Dos Santos</t>
  </si>
  <si>
    <t>Renan Clemente de Almeida</t>
  </si>
  <si>
    <t>Elison Evaristo de Souza</t>
  </si>
  <si>
    <t>Suzy Rodrigues de Sousa</t>
  </si>
  <si>
    <t>Marcos Paulo Vezu De Jesus</t>
  </si>
  <si>
    <t>Felipe Lopes Nascimento</t>
  </si>
  <si>
    <t>Joao Da Silva Santo</t>
  </si>
  <si>
    <t>Leonardo Marques da Silva</t>
  </si>
  <si>
    <t>Carlos Freires da Silva</t>
  </si>
  <si>
    <t>Mike Fleming Malaquias</t>
  </si>
  <si>
    <t>Julio Cesar Da Cunha Santana</t>
  </si>
  <si>
    <t>Wellington De Assis Aquino</t>
  </si>
  <si>
    <t>Jozy Mery Oliveira Fernandes</t>
  </si>
  <si>
    <t>Anailson Francisco da Gama</t>
  </si>
  <si>
    <t>Gustavo Carlos De Almeida</t>
  </si>
  <si>
    <t>Raphael Oliveira Lopes Da Silva</t>
  </si>
  <si>
    <t>Jaqueline Gomes Da Silva</t>
  </si>
  <si>
    <t>David Martins Damasceno</t>
  </si>
  <si>
    <t>Kleber Ferreira Lopes</t>
  </si>
  <si>
    <t>Daniele Peixoto</t>
  </si>
  <si>
    <t>Rafael Alexandre Da Silva</t>
  </si>
  <si>
    <t>Ewerton Luiz Xavier</t>
  </si>
  <si>
    <t>Renan Linz de Azevedo</t>
  </si>
  <si>
    <t>Rafael Alves Nucci</t>
  </si>
  <si>
    <t>Mauro Prieto</t>
  </si>
  <si>
    <t>Sophia Arruda Alvarez</t>
  </si>
  <si>
    <t>Lucas Gomes Ruiz</t>
  </si>
  <si>
    <t>Caique Lucena Dos Santos</t>
  </si>
  <si>
    <t>Simone Maria de Azevedo Moura</t>
  </si>
  <si>
    <t>Thiago Andrade Avila</t>
  </si>
  <si>
    <t>Domingos Henrique Ferreira Galvao</t>
  </si>
  <si>
    <t>Thiago Joao da Silva</t>
  </si>
  <si>
    <t>Marcos Alexandre Novaes Pedra</t>
  </si>
  <si>
    <t>Marcelo Caldas Barros</t>
  </si>
  <si>
    <t>Guilherme Viana Rosa</t>
  </si>
  <si>
    <t>Marcelo De Oliveira</t>
  </si>
  <si>
    <t>Rodrigo Da Silva Oliveira</t>
  </si>
  <si>
    <t>Joyce Gabriele Florencio Borba</t>
  </si>
  <si>
    <t>Juliana Do Carmo Anastacio</t>
  </si>
  <si>
    <t>Leonardo de Oliveira Costa Sampaio</t>
  </si>
  <si>
    <t>Paola Oliveira Farias</t>
  </si>
  <si>
    <t>Brendle Willian Rodrigues</t>
  </si>
  <si>
    <t>Daniel Fernando da Silva</t>
  </si>
  <si>
    <t>Jefferson Silva Do Rego</t>
  </si>
  <si>
    <t>Regiane Vieira Da Silva</t>
  </si>
  <si>
    <t>João Paulo Santos Rodrigues</t>
  </si>
  <si>
    <t>Elisangela Rodrigues De Lima Correa</t>
  </si>
  <si>
    <t>Bruno Felipe Clemente Santos da Silv</t>
  </si>
  <si>
    <t>Hevellin Alencar Do Carmo</t>
  </si>
  <si>
    <t>Vinicius De Matos Costa</t>
  </si>
  <si>
    <t>Anselmo Francisco De Souza</t>
  </si>
  <si>
    <t>Maiara Pereira De Figueiredo</t>
  </si>
  <si>
    <t>Lucas Da Mata Lopes</t>
  </si>
  <si>
    <t>Jordana Oliveira Da Silva</t>
  </si>
  <si>
    <t>Erick Gaudencio Bispo</t>
  </si>
  <si>
    <t>Marcelo Marcelo Ghenis</t>
  </si>
  <si>
    <t>Marceline Mota De Oliveira</t>
  </si>
  <si>
    <t>Marcelo Ribeiro De Oliveira</t>
  </si>
  <si>
    <t>Nathalia Benfica Santos</t>
  </si>
  <si>
    <t>Diego Tomaz De Oliveira</t>
  </si>
  <si>
    <t>Italo Douglas De Oliveira</t>
  </si>
  <si>
    <t>Rodrigo Tupynamba da Silva</t>
  </si>
  <si>
    <t>Gilson De Oliveira Campos</t>
  </si>
  <si>
    <t>Aguinaldo Aparecido De Brito Junior</t>
  </si>
  <si>
    <t>Raphael Cardoso Da Mata</t>
  </si>
  <si>
    <t>Marco Antonio Magni Junior</t>
  </si>
  <si>
    <t>Claudio Augusto Avelar da Conceicao</t>
  </si>
  <si>
    <t xml:space="preserve">Ramilson Da Silva Junior </t>
  </si>
  <si>
    <t>Alessandro Ferreira Da Silva</t>
  </si>
  <si>
    <t>Martina David Firmino</t>
  </si>
  <si>
    <t>Elisa Yumi Narahara</t>
  </si>
  <si>
    <t>Filipe Medina Triboli</t>
  </si>
  <si>
    <t>Gleidison Marcio Ribeiro da Silva</t>
  </si>
  <si>
    <t>Anderson Antunes Dos Santos</t>
  </si>
  <si>
    <t>Whiloney Conceição Santos</t>
  </si>
  <si>
    <t>Mayze Cristyane Moura De Souza</t>
  </si>
  <si>
    <t>Leandro Henrique Ferreira</t>
  </si>
  <si>
    <t>Jonas Batista Da Silva Filho</t>
  </si>
  <si>
    <t>Victor Silva dos Santos</t>
  </si>
  <si>
    <t>Leandro Schimith Da Silva</t>
  </si>
  <si>
    <t>Jaime Gomes da Silva</t>
  </si>
  <si>
    <t>Willian Jose dos Santos</t>
  </si>
  <si>
    <t>Neemias Oliveira da Silva</t>
  </si>
  <si>
    <t>Jhenniffer Rodrigues Pinheiro</t>
  </si>
  <si>
    <t>Phelipe Tadeu Ribeiro Mariano</t>
  </si>
  <si>
    <t>Geyce Rodrigues dos Santos</t>
  </si>
  <si>
    <t>Rodrigo Lujan De Rezende</t>
  </si>
  <si>
    <t>Marcos Vinicius Ferreira</t>
  </si>
  <si>
    <t>Fernando Daniel Ramos De Souza</t>
  </si>
  <si>
    <t>Fabio Cavalcante Da Silva</t>
  </si>
  <si>
    <t>Emerson Roberto Rossim</t>
  </si>
  <si>
    <t>Gustavo Sette Ohara</t>
  </si>
  <si>
    <t>Denilson Djones Barbosa dos Santos</t>
  </si>
  <si>
    <t>Rodrigo Nascimento Aguilar</t>
  </si>
  <si>
    <t>Thiago Cezario Da Silva</t>
  </si>
  <si>
    <t>Miguel Moreira Lima</t>
  </si>
  <si>
    <t>Sidnei Ferreira de Oliveira</t>
  </si>
  <si>
    <t>Lorran Adriel Goncalves Mafra</t>
  </si>
  <si>
    <t>Eduard dos Santos Dantas</t>
  </si>
  <si>
    <t>Andre de Castro Silva</t>
  </si>
  <si>
    <t>Felipe Almeida Prado</t>
  </si>
  <si>
    <t>João Raphael Belo Dos Santos</t>
  </si>
  <si>
    <t>Rafael Lima Novais</t>
  </si>
  <si>
    <t>Francisco Alberto Cruz Ramos</t>
  </si>
  <si>
    <t>Paulo Felipe Magalhaes Martins</t>
  </si>
  <si>
    <t>Alvaro Turra Filho</t>
  </si>
  <si>
    <t>Gabrielle Ribeiro Sanchez</t>
  </si>
  <si>
    <t>Arthur Lamana Rizzardo</t>
  </si>
  <si>
    <t>Gregori Wille da Silva Martins</t>
  </si>
  <si>
    <t>Elielton Das Virgens Ribeiro</t>
  </si>
  <si>
    <t>Robson Neri De Sousa</t>
  </si>
  <si>
    <t>Barbara Denilza Medeiros Santos</t>
  </si>
  <si>
    <t>Leticia Goncalves Damasceno</t>
  </si>
  <si>
    <t>Maria Aparecida Da Silva</t>
  </si>
  <si>
    <t>Aline Alves Santos Da Silva</t>
  </si>
  <si>
    <t>Caio Jose Evangelista Neto</t>
  </si>
  <si>
    <t>Bruno Santos de Oliveira</t>
  </si>
  <si>
    <t>Cleber Turra</t>
  </si>
  <si>
    <t>Leonardo Furukawa Bonaldo</t>
  </si>
  <si>
    <t>Jhonatas Gomes de Abreu</t>
  </si>
  <si>
    <t>Samay Giovana Mamede De Campos</t>
  </si>
  <si>
    <t>Ricardo Santiago Pereira</t>
  </si>
  <si>
    <t>Gisele Fabilene Pereira De Barros</t>
  </si>
  <si>
    <t>Leandro De Oliveira Pereira</t>
  </si>
  <si>
    <t>Geovane Borges Da Silva</t>
  </si>
  <si>
    <t>Lucas Leonardo de Lima</t>
  </si>
  <si>
    <t>Antonia Nunes da Costa</t>
  </si>
  <si>
    <t>Renan De Medeiros Almeida</t>
  </si>
  <si>
    <t>Tatiana Alves Lourenco</t>
  </si>
  <si>
    <t>Fernando Santos da Silva</t>
  </si>
  <si>
    <t>Samuel Borges de Oliveira Venancio</t>
  </si>
  <si>
    <t>Guilherme Levy Silva Setti</t>
  </si>
  <si>
    <t>Samanta Neumann Ribeiro Barbosa</t>
  </si>
  <si>
    <t>Leidiane Viana Machado</t>
  </si>
  <si>
    <t>Bruno Rafael Macedo De Oliveira</t>
  </si>
  <si>
    <t>Ailton Gomes De Lima Sobrinho</t>
  </si>
  <si>
    <t>Leonardo Donadon Santoro</t>
  </si>
  <si>
    <t>Emerson Juca de Araujo</t>
  </si>
  <si>
    <t>Silvana Dias Salas Molina</t>
  </si>
  <si>
    <t>Denis Aprigio De Oliveira</t>
  </si>
  <si>
    <t>Matheus Freitas Da Silva</t>
  </si>
  <si>
    <t>Brendon Celestino Casado</t>
  </si>
  <si>
    <t>Karina Silva Leite Machado</t>
  </si>
  <si>
    <t>desligado</t>
  </si>
  <si>
    <t>Coordenador de Processos</t>
  </si>
  <si>
    <t>01/01/0001</t>
  </si>
  <si>
    <t>danilo.afeitosa@cs-sitel.com.br</t>
  </si>
  <si>
    <t>vitor.rios@cs-sitel.com.br</t>
  </si>
  <si>
    <t>kayan.santos@cs-sitel.com.br</t>
  </si>
  <si>
    <t>nicolas.souza@cs-sitel.com.br</t>
  </si>
  <si>
    <t>clayton.lima@cs-sitel.com.br</t>
  </si>
  <si>
    <t>andre.azevedo@cs-sitel.com.br</t>
  </si>
  <si>
    <t>rafael.borba@cs-sitel.com.br</t>
  </si>
  <si>
    <t>rafael.reis01@cs-sitel.com.br</t>
  </si>
  <si>
    <t>diego.medina@cs-sitel.com.br</t>
  </si>
  <si>
    <t>eduardo.esantana@cs-sitel.com.br</t>
  </si>
  <si>
    <t>lucas.couto@cs-siel.com.br</t>
  </si>
  <si>
    <t>eduardo.santos@cs-sitel.com.br</t>
  </si>
  <si>
    <t>viviane.souza@cs-sitel.com.br</t>
  </si>
  <si>
    <t>rodrigo.mouzinho@cs-sitel.com.br</t>
  </si>
  <si>
    <t>erik.araujo@cs-sitel.com.br</t>
  </si>
  <si>
    <t>paul.hmaida@cs-sitel.com.br</t>
  </si>
  <si>
    <t>reginaldo.dsilva@cs-sitel.com.br</t>
  </si>
  <si>
    <t>fabio.brito@cs-sitel.com.br</t>
  </si>
  <si>
    <t>lucas.anascimento@cs-sitel.com.br</t>
  </si>
  <si>
    <t>iasmine.chagas@cs-sitel.com.br</t>
  </si>
  <si>
    <t>samuel.santos@cs-sitel.com.br</t>
  </si>
  <si>
    <t>edenilda.santos@cs-sitel.com.br</t>
  </si>
  <si>
    <t>pedro.dasilva@cs-sitel.com.br</t>
  </si>
  <si>
    <t>jenifer.assalin@cs-sitel.com.br</t>
  </si>
  <si>
    <t>wagner.simao@cs-sitel.com.br</t>
  </si>
  <si>
    <t>douglas.bollella@cs-sitel.com.br</t>
  </si>
  <si>
    <t>thiago.dasilva@cs-sitel.com.br</t>
  </si>
  <si>
    <t>mateus.souza@cs-sitel.com.br</t>
  </si>
  <si>
    <t>alessano.brito@cs-sitel.com.br</t>
  </si>
  <si>
    <t>cesar.belizario@cs-sitel.com.br</t>
  </si>
  <si>
    <t>eliza.gotardi@cs-sitel.com.br</t>
  </si>
  <si>
    <t>luiz.pereira1@cs-sitel.com.br</t>
  </si>
  <si>
    <t>elisangela.dsantos@cs-sitel.com.br</t>
  </si>
  <si>
    <t>renan.dalmeida@cs-sitel.com.br</t>
  </si>
  <si>
    <t>elison.souza@cs-sitel.com.br</t>
  </si>
  <si>
    <t>suzy.sousa@cs-sitel.com.br</t>
  </si>
  <si>
    <t>marcos.jesus@cs-sitel.com.br</t>
  </si>
  <si>
    <t>joao.ssanto@cs-sitel.com.br</t>
  </si>
  <si>
    <t>leonardo.msilva@cs-sitel.com.br</t>
  </si>
  <si>
    <t>carlos.silva@cs-sitel.com.br</t>
  </si>
  <si>
    <t>mike.malaquias@cs-sitel.com.br</t>
  </si>
  <si>
    <t>julio.santana@cs-sitel.com.br</t>
  </si>
  <si>
    <t>wellington.aquino@cs-sitel.com.br</t>
  </si>
  <si>
    <t>jozy.fernandes@cs-sitel.com.br</t>
  </si>
  <si>
    <t>anailson.gama@cs-sitel.com.br</t>
  </si>
  <si>
    <t>gustavo.dealmeida@cs-sitel.com.br</t>
  </si>
  <si>
    <t>raphael.dsilva@cs-sitel.com.br</t>
  </si>
  <si>
    <t>jaqueline.aguiar@cs-sitel.com.br</t>
  </si>
  <si>
    <t>david.damaceno@cs-sitel.com.br</t>
  </si>
  <si>
    <t>kleber.lopes@cs-sitel.com.br</t>
  </si>
  <si>
    <t>daniele.peixoto@cs-sitel.com.br</t>
  </si>
  <si>
    <t>rafael.alexandre@cs-sitel.com.br</t>
  </si>
  <si>
    <t>ewerton.xavier@cs-sitel.com.br</t>
  </si>
  <si>
    <t>renan.azevedo@cs-sitel.com.br</t>
  </si>
  <si>
    <t>rafael.nucci@cs-sitel.com.br</t>
  </si>
  <si>
    <t>mauro.prieto@cs-sitel.com.br</t>
  </si>
  <si>
    <t>sophia.alvarez@cs-sitel.com.br</t>
  </si>
  <si>
    <t>lucas.ruis@cs-sitel.com.br</t>
  </si>
  <si>
    <t>caique.santos@cs-sitel.com.br</t>
  </si>
  <si>
    <t>simone.moura@cs-sitel.com.br</t>
  </si>
  <si>
    <t>thiago.avila@cs-sitel.com.br</t>
  </si>
  <si>
    <t>domingues.galvao@cs-sitel.com.br</t>
  </si>
  <si>
    <t>thiago.jsilva@cs-sitel.com.br</t>
  </si>
  <si>
    <t>marcos.pedra@cs-sitel.com.br</t>
  </si>
  <si>
    <t>marcelo.barros@cs-sitel.com.br</t>
  </si>
  <si>
    <t>guilherme.rosa1@cs-sitel.com.br</t>
  </si>
  <si>
    <t>marcelo.oliveira@cs-sitel.com.br</t>
  </si>
  <si>
    <t>rodrigo.dasilva@cs-sitel.com.br</t>
  </si>
  <si>
    <t>joyce.borba@cs-sitel.com.br</t>
  </si>
  <si>
    <t>juliana.anastacio@cs-sitel.com.br</t>
  </si>
  <si>
    <t>leonardo.sampaio@cs-sitel.com.br</t>
  </si>
  <si>
    <t>paola.farias@cs-sitel.com.br</t>
  </si>
  <si>
    <t>brendle.rodrigues@cs-sitel.com.br</t>
  </si>
  <si>
    <t>daniel.fsilva@cs-sitel.com.br</t>
  </si>
  <si>
    <t>jefferson.rego@cs-sitel.com.br</t>
  </si>
  <si>
    <t>regiane.silva@cs-sitel.com.br</t>
  </si>
  <si>
    <t>joao.rodrigues01@cs-sitel.com.br</t>
  </si>
  <si>
    <t>elisangela.correa01@cs-sitel.com.br</t>
  </si>
  <si>
    <t>bruno.dasilva@cs-sitel.com.br</t>
  </si>
  <si>
    <t>hevelin.carmo@cs-sitel.com.br</t>
  </si>
  <si>
    <t>vinicius.matos@cs-sitel.com.br</t>
  </si>
  <si>
    <t>anselmo.souza@cs-sitel.com.br</t>
  </si>
  <si>
    <t>maiara.figueiredo@cs-sitel.com.br</t>
  </si>
  <si>
    <t>lucas.lopes@cs-sitel.com.br</t>
  </si>
  <si>
    <t>jordana.silva@cs-sitel.com.br</t>
  </si>
  <si>
    <t>erick.bispo@cs-sitel.com.br</t>
  </si>
  <si>
    <t>marcelo.ghenis@cs-sitel.com.br</t>
  </si>
  <si>
    <t>marceline.oliveira@cs-sitel.com.br</t>
  </si>
  <si>
    <t>marcelo.doliveira01@cs-sitel.com.br</t>
  </si>
  <si>
    <t>nathalia.bsantos@cs-sitel.com.br</t>
  </si>
  <si>
    <t>diego.tomaz@cs-sitel.com.br</t>
  </si>
  <si>
    <t>italo.oliveira@cs-sitel.com.br</t>
  </si>
  <si>
    <t>rodrigo.nsilva@cs-sitel.com.br</t>
  </si>
  <si>
    <t>gilson.campos@cs-sitel.com.br</t>
  </si>
  <si>
    <t>aguinaldo.junior@cs-sitel.com.br</t>
  </si>
  <si>
    <t>raphael.mata@cs-sitel.com.br</t>
  </si>
  <si>
    <t>marco.magni@cs-sitel.com.br</t>
  </si>
  <si>
    <t>claudio.avelar@cs-sitel.com.br</t>
  </si>
  <si>
    <t>ramilson.junior@cs-sitel.com.br</t>
  </si>
  <si>
    <t>alessandro.silva01@cs-sitel.com.br</t>
  </si>
  <si>
    <t>martina.david@cs-sitel.com.br</t>
  </si>
  <si>
    <t>elisa.narahara@sitelbrasil.com.br</t>
  </si>
  <si>
    <t>filipe.triboli@cs-sitel.com.br</t>
  </si>
  <si>
    <t>gleidison.silva@cs-sitel.com.br</t>
  </si>
  <si>
    <t>anderson.asantos@cs-sitel.com.br</t>
  </si>
  <si>
    <t>whiloney.santos@cs-sitel.com.br</t>
  </si>
  <si>
    <t>mayzze.souza@cs-sitel.com.br</t>
  </si>
  <si>
    <t>leandro.ferreira1@cs-sitel.com.br</t>
  </si>
  <si>
    <t>jonas.filho@cs-sitel.com.br</t>
  </si>
  <si>
    <t>victor.dsantos@cs-sitel.com.br</t>
  </si>
  <si>
    <t>leandro.silva@cs-sitel.com.br</t>
  </si>
  <si>
    <t>jaime.silva@cs-sitel.com.br</t>
  </si>
  <si>
    <t>willian.jsantos@cs-sitel.com.br</t>
  </si>
  <si>
    <t>neemias.silva@cs-sitel.com.br</t>
  </si>
  <si>
    <t>jhennifer.pinheiro@cs-sitel.com.br</t>
  </si>
  <si>
    <t>philipe.mariano@cs-sitel.com.br</t>
  </si>
  <si>
    <t>geyce.Santos@cs-sitel.com.br</t>
  </si>
  <si>
    <t>rodrigo.rezende@cs-sitel.com.br</t>
  </si>
  <si>
    <t>fernando.ramos@cs-sitel.com.br</t>
  </si>
  <si>
    <t>fabio.cavalcante@sitel.com</t>
  </si>
  <si>
    <t>emerson.rrossim@cs-sitel.com.br</t>
  </si>
  <si>
    <t>denilson.santos@cs-sitel.com.br</t>
  </si>
  <si>
    <t>rodrigo.aguilar@cs-sitel.com.br</t>
  </si>
  <si>
    <t>thiago.cezario@cs-sitel.com.br</t>
  </si>
  <si>
    <t>miguel.lima@cs-sitel.com.br</t>
  </si>
  <si>
    <t>sidnei.oliveira@cs-sitel.com.br</t>
  </si>
  <si>
    <t>lorran.mafra@cs-sitel.com.br</t>
  </si>
  <si>
    <t>eduard.dantas@cs-sitel.com.br</t>
  </si>
  <si>
    <t>andre.csilva01@cs-sitel.com.br</t>
  </si>
  <si>
    <t>felipe.prado@cs-sitel.com.br</t>
  </si>
  <si>
    <t>joao.belo@cs-sitel.com.br</t>
  </si>
  <si>
    <t>rafael.novais@cs-sitel.com.br</t>
  </si>
  <si>
    <t>franciscoalberto.cruzramos@cs-sitel.com.br</t>
  </si>
  <si>
    <t>paulo.martins@cs-sitel.com.br</t>
  </si>
  <si>
    <t>alvaro.filho@cs-sitel.com.br</t>
  </si>
  <si>
    <t>gabrielle.sanchez@cs-sitel.com.br</t>
  </si>
  <si>
    <t>arthur.rizzardo@cs-sitel.com.br</t>
  </si>
  <si>
    <t>gregori.martins@cs-sitel.com.br</t>
  </si>
  <si>
    <t>elielton.ribeiro@cs-sitel.com.br</t>
  </si>
  <si>
    <t>robsonneri.desousa@cs-sitel.com.br</t>
  </si>
  <si>
    <t>barbara.santos@cs-sitel.com.br</t>
  </si>
  <si>
    <t>leticia.damasceno@cs-sitel.com.br</t>
  </si>
  <si>
    <t>maria.dasilva@cs-sitel.com.br</t>
  </si>
  <si>
    <t>aline.alves@cs-sitel.com.br</t>
  </si>
  <si>
    <t>caiojoseevangelista.neto@cs-sitel.com.br</t>
  </si>
  <si>
    <t>bruno.conta@cs-sitel.com.br</t>
  </si>
  <si>
    <t>cleber.turra@cs-sitel.com.br</t>
  </si>
  <si>
    <t>leonardo.bonaldo@cs-sitel.com.br</t>
  </si>
  <si>
    <t>jhonata.abreu@cs-sitel.com.br</t>
  </si>
  <si>
    <t>samay.campos@cs-sitel.com.br</t>
  </si>
  <si>
    <t>ricardo.santiago@cs-sitel.com.br</t>
  </si>
  <si>
    <t>gisele.barros@cs-sitel.com.br</t>
  </si>
  <si>
    <t>leandro.opereira@cs-sitel.com.br</t>
  </si>
  <si>
    <t>geovane.borges@cs-sitel.com.br</t>
  </si>
  <si>
    <t>lucas.lima02@cs-sitel.com.br</t>
  </si>
  <si>
    <t>antonia.costa@cs-sitel.com.br</t>
  </si>
  <si>
    <t>renan.medeiros@cs-sitel.com.br</t>
  </si>
  <si>
    <t>tatiana.lourenco@cs-sitel.com.br</t>
  </si>
  <si>
    <t>fernando.silva01@cs-sitel.com.br</t>
  </si>
  <si>
    <t>samuelborges.deovenancio@cs-sitel.com.br</t>
  </si>
  <si>
    <t>guilhermelevysilva.setti@cs-sitel.com.br</t>
  </si>
  <si>
    <t>samanta.barbosa@cs-sitel.com.br</t>
  </si>
  <si>
    <t>leidiane.machado@cs-sitel.com.br</t>
  </si>
  <si>
    <t>bruno.macedo@cs-sitel.com.br</t>
  </si>
  <si>
    <t>ailton.sobrinho@cs-sitel.com.br</t>
  </si>
  <si>
    <t>leonardo.santoro@cs-sitel.com.br</t>
  </si>
  <si>
    <t>emerson.araujo@cs-sitel.com.br</t>
  </si>
  <si>
    <t>silvanadiassala.molina@cs-sitel.com.br</t>
  </si>
  <si>
    <t>denis.oliveira@cs-sitel.com.br</t>
  </si>
  <si>
    <t>matheus.dsilva@cs-sitel.com.br</t>
  </si>
  <si>
    <t>brendon.casado@cs-sitel.com.br</t>
  </si>
  <si>
    <t>karina.machado@cs-sitel.com.br</t>
  </si>
  <si>
    <t>dfeit002</t>
  </si>
  <si>
    <t>vrios001</t>
  </si>
  <si>
    <t>ksant027</t>
  </si>
  <si>
    <t>nsouz001</t>
  </si>
  <si>
    <t>clima015</t>
  </si>
  <si>
    <t>asant083</t>
  </si>
  <si>
    <t>rborb001</t>
  </si>
  <si>
    <t>rreis004</t>
  </si>
  <si>
    <t>dmedi001</t>
  </si>
  <si>
    <t>esant023</t>
  </si>
  <si>
    <t>lsilv060</t>
  </si>
  <si>
    <t>esant055</t>
  </si>
  <si>
    <t>vsouz010</t>
  </si>
  <si>
    <t>rsilv051</t>
  </si>
  <si>
    <t>earau005</t>
  </si>
  <si>
    <t>pmaid001</t>
  </si>
  <si>
    <t>rsilv035</t>
  </si>
  <si>
    <t>fbrit002</t>
  </si>
  <si>
    <t>lnasc001</t>
  </si>
  <si>
    <t>ichag001</t>
  </si>
  <si>
    <t>ssant008</t>
  </si>
  <si>
    <t>esant002</t>
  </si>
  <si>
    <t>psilv016</t>
  </si>
  <si>
    <t>jassa001</t>
  </si>
  <si>
    <t>wsima001</t>
  </si>
  <si>
    <t>dboll001</t>
  </si>
  <si>
    <t>msouz010</t>
  </si>
  <si>
    <t>abrit001</t>
  </si>
  <si>
    <t>cbeli002</t>
  </si>
  <si>
    <t>egota002</t>
  </si>
  <si>
    <t>lpere001</t>
  </si>
  <si>
    <t>esant024</t>
  </si>
  <si>
    <t>ralme013</t>
  </si>
  <si>
    <t>esouz013</t>
  </si>
  <si>
    <t>ssous004</t>
  </si>
  <si>
    <t>mjesu002</t>
  </si>
  <si>
    <t>jsant012</t>
  </si>
  <si>
    <t>lsilv003</t>
  </si>
  <si>
    <t>csilv010</t>
  </si>
  <si>
    <t>mmala012</t>
  </si>
  <si>
    <t>jsant017</t>
  </si>
  <si>
    <t>wquin002</t>
  </si>
  <si>
    <t>jfern003</t>
  </si>
  <si>
    <t>agama002</t>
  </si>
  <si>
    <t>galme002</t>
  </si>
  <si>
    <t>rsilv032</t>
  </si>
  <si>
    <t>jsilv046</t>
  </si>
  <si>
    <t>ddama001</t>
  </si>
  <si>
    <t>klope001</t>
  </si>
  <si>
    <t>dpeix001</t>
  </si>
  <si>
    <t>rsilv048</t>
  </si>
  <si>
    <t>exavi001</t>
  </si>
  <si>
    <t>razev001</t>
  </si>
  <si>
    <t>rnucc001</t>
  </si>
  <si>
    <t>mprie001</t>
  </si>
  <si>
    <t>salva015</t>
  </si>
  <si>
    <t>lruis001</t>
  </si>
  <si>
    <t>csant008</t>
  </si>
  <si>
    <t>smour002</t>
  </si>
  <si>
    <t>tavil001</t>
  </si>
  <si>
    <t>dgalv001</t>
  </si>
  <si>
    <t>tsilv010</t>
  </si>
  <si>
    <t>mpedr002</t>
  </si>
  <si>
    <t>mbarr005</t>
  </si>
  <si>
    <t xml:space="preserve">grosa002 </t>
  </si>
  <si>
    <t>moliv021</t>
  </si>
  <si>
    <t>roliv012</t>
  </si>
  <si>
    <t>jborb001</t>
  </si>
  <si>
    <t>janas001</t>
  </si>
  <si>
    <t>lsamp002</t>
  </si>
  <si>
    <t>pfari001</t>
  </si>
  <si>
    <t>brodr003</t>
  </si>
  <si>
    <t>dsilv070</t>
  </si>
  <si>
    <t>jrego004</t>
  </si>
  <si>
    <t>rsilv049</t>
  </si>
  <si>
    <t>jrodr090</t>
  </si>
  <si>
    <t>ecorr005</t>
  </si>
  <si>
    <t>bsilv009</t>
  </si>
  <si>
    <t>hcarm001</t>
  </si>
  <si>
    <t>vcost005</t>
  </si>
  <si>
    <t>asouz010</t>
  </si>
  <si>
    <t>mfigu003</t>
  </si>
  <si>
    <t>llope003</t>
  </si>
  <si>
    <t>jsilv042</t>
  </si>
  <si>
    <t>ebisp002</t>
  </si>
  <si>
    <t>mghen001</t>
  </si>
  <si>
    <t>moliv020</t>
  </si>
  <si>
    <t>moliv038</t>
  </si>
  <si>
    <t>nsant014</t>
  </si>
  <si>
    <t>doliv003</t>
  </si>
  <si>
    <t>ioliv004</t>
  </si>
  <si>
    <t>rsilv008</t>
  </si>
  <si>
    <t>gcamp001</t>
  </si>
  <si>
    <t>ajuni008</t>
  </si>
  <si>
    <t>rmata005</t>
  </si>
  <si>
    <t>mjuni005</t>
  </si>
  <si>
    <t>cavel001</t>
  </si>
  <si>
    <t>rjuni001</t>
  </si>
  <si>
    <t>asilv051</t>
  </si>
  <si>
    <t>mfirm001</t>
  </si>
  <si>
    <t>enara001</t>
  </si>
  <si>
    <t>ftrib001</t>
  </si>
  <si>
    <t>gsilv004</t>
  </si>
  <si>
    <t>asant042</t>
  </si>
  <si>
    <t>wsant001</t>
  </si>
  <si>
    <t>msouz009</t>
  </si>
  <si>
    <t>lferr003</t>
  </si>
  <si>
    <t>jfilh001</t>
  </si>
  <si>
    <t>vsant002</t>
  </si>
  <si>
    <t>lsilv026</t>
  </si>
  <si>
    <t>jsilv074</t>
  </si>
  <si>
    <t>wsant005</t>
  </si>
  <si>
    <t>nsilv007</t>
  </si>
  <si>
    <t>jpinh002</t>
  </si>
  <si>
    <t>pmari001</t>
  </si>
  <si>
    <t>gsant006</t>
  </si>
  <si>
    <t>rreze001</t>
  </si>
  <si>
    <t>fsouz009</t>
  </si>
  <si>
    <t>fsilv006</t>
  </si>
  <si>
    <t>eross001</t>
  </si>
  <si>
    <t>dsant018</t>
  </si>
  <si>
    <t>ragui001</t>
  </si>
  <si>
    <t>tsilv016</t>
  </si>
  <si>
    <t>mlima010</t>
  </si>
  <si>
    <t>soliv004</t>
  </si>
  <si>
    <t>lmafr001</t>
  </si>
  <si>
    <t>edant001</t>
  </si>
  <si>
    <t>asilv001</t>
  </si>
  <si>
    <t>fprad002</t>
  </si>
  <si>
    <t>jsant028</t>
  </si>
  <si>
    <t>rnova001</t>
  </si>
  <si>
    <t>framo001</t>
  </si>
  <si>
    <t>pmart004</t>
  </si>
  <si>
    <t>afilh002</t>
  </si>
  <si>
    <t>gsanc004</t>
  </si>
  <si>
    <t>arizz002</t>
  </si>
  <si>
    <t>gmart005</t>
  </si>
  <si>
    <t>eribe003</t>
  </si>
  <si>
    <t>rsous002</t>
  </si>
  <si>
    <t>bsant010</t>
  </si>
  <si>
    <t>ldama004</t>
  </si>
  <si>
    <t>msilv060</t>
  </si>
  <si>
    <t>asilv095</t>
  </si>
  <si>
    <t>cneto002</t>
  </si>
  <si>
    <t>bcont001</t>
  </si>
  <si>
    <t>cturr001</t>
  </si>
  <si>
    <t>lbona001</t>
  </si>
  <si>
    <t>jabre001</t>
  </si>
  <si>
    <t>scamp001</t>
  </si>
  <si>
    <t>rpere004</t>
  </si>
  <si>
    <t>gbarr008</t>
  </si>
  <si>
    <t>lpere016</t>
  </si>
  <si>
    <t>gsilv024</t>
  </si>
  <si>
    <t>llima006</t>
  </si>
  <si>
    <t>acost012</t>
  </si>
  <si>
    <t>ralme001</t>
  </si>
  <si>
    <t>tlour001</t>
  </si>
  <si>
    <t>fsilv025</t>
  </si>
  <si>
    <t>svena001</t>
  </si>
  <si>
    <t>gsett001</t>
  </si>
  <si>
    <t>sbarb009</t>
  </si>
  <si>
    <t>lmach004</t>
  </si>
  <si>
    <t>boliv007</t>
  </si>
  <si>
    <t>asobr002</t>
  </si>
  <si>
    <t>lsant001</t>
  </si>
  <si>
    <t>earau003</t>
  </si>
  <si>
    <t>smoli001</t>
  </si>
  <si>
    <t>doliv002</t>
  </si>
  <si>
    <t>msilv036</t>
  </si>
  <si>
    <t>bcasa001</t>
  </si>
  <si>
    <t>kmach001</t>
  </si>
  <si>
    <t>P8072503</t>
  </si>
  <si>
    <t>P0937782</t>
  </si>
  <si>
    <t>P6331469</t>
  </si>
  <si>
    <t>P6656199</t>
  </si>
  <si>
    <t>P7044832</t>
  </si>
  <si>
    <t>P4563428</t>
  </si>
  <si>
    <t>P5563924</t>
  </si>
  <si>
    <t>P0901991</t>
  </si>
  <si>
    <t>P2926132</t>
  </si>
  <si>
    <t>P7036624</t>
  </si>
  <si>
    <t>P6200537</t>
  </si>
  <si>
    <t>P4797456</t>
  </si>
  <si>
    <t>P2012380</t>
  </si>
  <si>
    <t>P4364180</t>
  </si>
  <si>
    <t>P5776112</t>
  </si>
  <si>
    <t>P4718551</t>
  </si>
  <si>
    <t>P8089505</t>
  </si>
  <si>
    <t>P4015421</t>
  </si>
  <si>
    <t>P3347557</t>
  </si>
  <si>
    <t>P2575728</t>
  </si>
  <si>
    <t>P4538997</t>
  </si>
  <si>
    <t>P5220239</t>
  </si>
  <si>
    <t>P3733960</t>
  </si>
  <si>
    <t>P0332923</t>
  </si>
  <si>
    <t>P7858044</t>
  </si>
  <si>
    <t>P3005768</t>
  </si>
  <si>
    <t>P6424021</t>
  </si>
  <si>
    <t>P3687229</t>
  </si>
  <si>
    <t>P5169886</t>
  </si>
  <si>
    <t>P5609249</t>
  </si>
  <si>
    <t>P5570096</t>
  </si>
  <si>
    <t>P6565615</t>
  </si>
  <si>
    <t>P1353060</t>
  </si>
  <si>
    <t>P1716912</t>
  </si>
  <si>
    <t>P5965593</t>
  </si>
  <si>
    <t>P3045550</t>
  </si>
  <si>
    <t>P0175524</t>
  </si>
  <si>
    <t>P6033459</t>
  </si>
  <si>
    <t>P3765722</t>
  </si>
  <si>
    <t>P1886266</t>
  </si>
  <si>
    <t>P1880630</t>
  </si>
  <si>
    <t>P4934302</t>
  </si>
  <si>
    <t>P4715041</t>
  </si>
  <si>
    <t>P0908139</t>
  </si>
  <si>
    <t>P3594318</t>
  </si>
  <si>
    <t>P1608118</t>
  </si>
  <si>
    <t>P4837513</t>
  </si>
  <si>
    <t>P5115839</t>
  </si>
  <si>
    <t>P5827980</t>
  </si>
  <si>
    <t>P5076814</t>
  </si>
  <si>
    <t>P1181915</t>
  </si>
  <si>
    <t>P0214493</t>
  </si>
  <si>
    <t>P6518888</t>
  </si>
  <si>
    <t>P3651993</t>
  </si>
  <si>
    <t>P3531835</t>
  </si>
  <si>
    <t>P3737007</t>
  </si>
  <si>
    <t>P5342218</t>
  </si>
  <si>
    <t>P2078975</t>
  </si>
  <si>
    <t>P0881448</t>
  </si>
  <si>
    <t>P5557004</t>
  </si>
  <si>
    <t>P0374524</t>
  </si>
  <si>
    <t>P7660712</t>
  </si>
  <si>
    <t>P5003292</t>
  </si>
  <si>
    <t>P6046681</t>
  </si>
  <si>
    <t>P0348746</t>
  </si>
  <si>
    <t>P6857426</t>
  </si>
  <si>
    <t>P7338506</t>
  </si>
  <si>
    <t>P1150476</t>
  </si>
  <si>
    <t>P1157568</t>
  </si>
  <si>
    <t>P5692276</t>
  </si>
  <si>
    <t>P4013028</t>
  </si>
  <si>
    <t>P1694387</t>
  </si>
  <si>
    <t>P3546201</t>
  </si>
  <si>
    <t>P0363092</t>
  </si>
  <si>
    <t>P2711334</t>
  </si>
  <si>
    <t>P2709677</t>
  </si>
  <si>
    <t>P3442180</t>
  </si>
  <si>
    <t>P2376198</t>
  </si>
  <si>
    <t>P6299872</t>
  </si>
  <si>
    <t>P3112327</t>
  </si>
  <si>
    <t>P7496003</t>
  </si>
  <si>
    <t>P0201450</t>
  </si>
  <si>
    <t>P1915822</t>
  </si>
  <si>
    <t>P3467984</t>
  </si>
  <si>
    <t>P7237881</t>
  </si>
  <si>
    <t>P1777962</t>
  </si>
  <si>
    <t>P2008006</t>
  </si>
  <si>
    <t>P5690101</t>
  </si>
  <si>
    <t>P3884481</t>
  </si>
  <si>
    <t>P2842117</t>
  </si>
  <si>
    <t>P5177887</t>
  </si>
  <si>
    <t>P0044398</t>
  </si>
  <si>
    <t>P7437801</t>
  </si>
  <si>
    <t>P7762624</t>
  </si>
  <si>
    <t>P4396108</t>
  </si>
  <si>
    <t>P4113659</t>
  </si>
  <si>
    <t>P2875569</t>
  </si>
  <si>
    <t>P3457656</t>
  </si>
  <si>
    <t>P3302100</t>
  </si>
  <si>
    <t>P2737628</t>
  </si>
  <si>
    <t>P6899969</t>
  </si>
  <si>
    <t>P4329820</t>
  </si>
  <si>
    <t>P0424192</t>
  </si>
  <si>
    <t>P2128443</t>
  </si>
  <si>
    <t>P3156543</t>
  </si>
  <si>
    <t>P4494826</t>
  </si>
  <si>
    <t>P8147726</t>
  </si>
  <si>
    <t>P1915500</t>
  </si>
  <si>
    <t>P7140642</t>
  </si>
  <si>
    <t>P3255386</t>
  </si>
  <si>
    <t>P2687621</t>
  </si>
  <si>
    <t>P3018148</t>
  </si>
  <si>
    <t>P5376378</t>
  </si>
  <si>
    <t>P4053295</t>
  </si>
  <si>
    <t>P7362079</t>
  </si>
  <si>
    <t>P7723113</t>
  </si>
  <si>
    <t>P2707908</t>
  </si>
  <si>
    <t>P5145055</t>
  </si>
  <si>
    <t>P2198263</t>
  </si>
  <si>
    <t>P2315752</t>
  </si>
  <si>
    <t>P2602734</t>
  </si>
  <si>
    <t>P2137230</t>
  </si>
  <si>
    <t>P1391475</t>
  </si>
  <si>
    <t>P7044023</t>
  </si>
  <si>
    <t>P4026366</t>
  </si>
  <si>
    <t>P3561769</t>
  </si>
  <si>
    <t>P7240832</t>
  </si>
  <si>
    <t>P6177492</t>
  </si>
  <si>
    <t>P0494734</t>
  </si>
  <si>
    <t>P7029910</t>
  </si>
  <si>
    <t>P4368844</t>
  </si>
  <si>
    <t>P2994895</t>
  </si>
  <si>
    <t>P3340815</t>
  </si>
  <si>
    <t>P6410525</t>
  </si>
  <si>
    <t>P4267273</t>
  </si>
  <si>
    <t>P0988044</t>
  </si>
  <si>
    <t>P4229772</t>
  </si>
  <si>
    <t>P6447864</t>
  </si>
  <si>
    <t>P5670506</t>
  </si>
  <si>
    <t>P8010435</t>
  </si>
  <si>
    <t>P8046889</t>
  </si>
  <si>
    <t>P0142610</t>
  </si>
  <si>
    <t>P5115219</t>
  </si>
  <si>
    <t>P1349636</t>
  </si>
  <si>
    <t>P7091270</t>
  </si>
  <si>
    <t>P7284918</t>
  </si>
  <si>
    <t>P2818713</t>
  </si>
  <si>
    <t>P7957661</t>
  </si>
  <si>
    <t>P8384144</t>
  </si>
  <si>
    <t>P4910322</t>
  </si>
  <si>
    <t>P0844266</t>
  </si>
  <si>
    <t>P0398131</t>
  </si>
  <si>
    <t>P7545132</t>
  </si>
  <si>
    <t>P7731515</t>
  </si>
  <si>
    <t>P0813815</t>
  </si>
  <si>
    <t>P3147045</t>
  </si>
  <si>
    <t>P3927866</t>
  </si>
  <si>
    <t>P0881090</t>
  </si>
  <si>
    <t>P6852502</t>
  </si>
  <si>
    <t>P7852984</t>
  </si>
  <si>
    <t>P8386228</t>
  </si>
  <si>
    <t>P1091050</t>
  </si>
  <si>
    <t>P1819875</t>
  </si>
  <si>
    <t>P1210559</t>
  </si>
  <si>
    <t>P3021826</t>
  </si>
  <si>
    <t>P4830019</t>
  </si>
  <si>
    <t>P8355115</t>
  </si>
  <si>
    <t>P7765938</t>
  </si>
  <si>
    <t>08275-690</t>
  </si>
  <si>
    <t>02996-210</t>
  </si>
  <si>
    <t>06220-060</t>
  </si>
  <si>
    <t>03570-350</t>
  </si>
  <si>
    <t>08191-330</t>
  </si>
  <si>
    <t>03665-010</t>
  </si>
  <si>
    <t>04417-140</t>
  </si>
  <si>
    <t>02228-030</t>
  </si>
  <si>
    <t>06851-220</t>
  </si>
  <si>
    <t>02327-060</t>
  </si>
  <si>
    <t>05386-160</t>
  </si>
  <si>
    <t>04965-030</t>
  </si>
  <si>
    <t>02965-120</t>
  </si>
  <si>
    <t>06311-001</t>
  </si>
  <si>
    <t>05207-190</t>
  </si>
  <si>
    <t>04169-000</t>
  </si>
  <si>
    <t>07262-219</t>
  </si>
  <si>
    <t>07082-705</t>
  </si>
  <si>
    <t>09931-210</t>
  </si>
  <si>
    <t>02812-110</t>
  </si>
  <si>
    <t>04843-550</t>
  </si>
  <si>
    <t>07845-080</t>
  </si>
  <si>
    <t>08032-500</t>
  </si>
  <si>
    <t>06704-295</t>
  </si>
  <si>
    <t>08505-620</t>
  </si>
  <si>
    <t>06823-020</t>
  </si>
  <si>
    <t>08215-355</t>
  </si>
  <si>
    <t>08230-020</t>
  </si>
  <si>
    <t>08072-180</t>
  </si>
  <si>
    <t>06160-255</t>
  </si>
  <si>
    <t>07906-010</t>
  </si>
  <si>
    <t>08310-200</t>
  </si>
  <si>
    <t>06449-220</t>
  </si>
  <si>
    <t>06246-110</t>
  </si>
  <si>
    <t>01512-010</t>
  </si>
  <si>
    <t>04012-080</t>
  </si>
  <si>
    <t>06435-200</t>
  </si>
  <si>
    <t>06529-210</t>
  </si>
  <si>
    <t>05013-001</t>
  </si>
  <si>
    <t>06700-227</t>
  </si>
  <si>
    <t>08141-670</t>
  </si>
  <si>
    <t>08220-640</t>
  </si>
  <si>
    <t>07718-015</t>
  </si>
  <si>
    <t>02812-050</t>
  </si>
  <si>
    <t>07724-215</t>
  </si>
  <si>
    <t>02132-000</t>
  </si>
  <si>
    <t>04441-170</t>
  </si>
  <si>
    <t>2996-165</t>
  </si>
  <si>
    <t>08290-270</t>
  </si>
  <si>
    <t>03978-160</t>
  </si>
  <si>
    <t>06384-060</t>
  </si>
  <si>
    <t>07033-020</t>
  </si>
  <si>
    <t>03681-000</t>
  </si>
  <si>
    <t>06126-160</t>
  </si>
  <si>
    <t>06396-120</t>
  </si>
  <si>
    <t>03813-000</t>
  </si>
  <si>
    <t>08122-080</t>
  </si>
  <si>
    <t>02674-090</t>
  </si>
  <si>
    <t>11143-685</t>
  </si>
  <si>
    <t>09040-140</t>
  </si>
  <si>
    <t>Região Sul</t>
  </si>
  <si>
    <t>Região Norte</t>
  </si>
  <si>
    <t>Santo André e Região</t>
  </si>
  <si>
    <t>Região Oeste</t>
  </si>
  <si>
    <t>Região Central</t>
  </si>
  <si>
    <t>Osasco e Região</t>
  </si>
  <si>
    <t>Mogi das Cruzes e Região</t>
  </si>
  <si>
    <t>Região Leste</t>
  </si>
  <si>
    <t>Guarulhos e Região</t>
  </si>
  <si>
    <t>Termed</t>
  </si>
  <si>
    <t>JUSTA CAUSA</t>
  </si>
  <si>
    <t>DEMITIDO</t>
  </si>
  <si>
    <t>Pediu Demissão</t>
  </si>
  <si>
    <t>Demitido</t>
  </si>
  <si>
    <t>EXTERNA</t>
  </si>
  <si>
    <t>Outro produto</t>
  </si>
  <si>
    <t>HPS</t>
  </si>
  <si>
    <t>CCE</t>
  </si>
  <si>
    <t>HP COMMERCIAL</t>
  </si>
  <si>
    <t>LENOVO</t>
  </si>
  <si>
    <t>HPC</t>
  </si>
  <si>
    <t>Externa</t>
  </si>
  <si>
    <t>HP CONSUMER</t>
  </si>
  <si>
    <t>Pay Pal</t>
  </si>
  <si>
    <t>Open English</t>
  </si>
  <si>
    <t>Metricas e Ferramentas Le novo</t>
  </si>
  <si>
    <t>PayPal</t>
  </si>
  <si>
    <t>Hybrid</t>
  </si>
  <si>
    <t>Analista Suporte Sr</t>
  </si>
  <si>
    <t>Repr.Atend.Pleno</t>
  </si>
  <si>
    <t>Analista Suporte Jr</t>
  </si>
  <si>
    <t>Repr.Atend.Jr</t>
  </si>
  <si>
    <t>Analista Suporte Pl</t>
  </si>
  <si>
    <t>Anal.Sup.Tecn.Pleno</t>
  </si>
  <si>
    <t>Anl Sup Tec Mid Soc</t>
  </si>
  <si>
    <t>Editor De Site</t>
  </si>
  <si>
    <t>Repr.Back Office Pl</t>
  </si>
  <si>
    <t>Edit Desenvolvimento</t>
  </si>
  <si>
    <t>Espec De Negocio</t>
  </si>
  <si>
    <t>Superv.Atend.Junior</t>
  </si>
  <si>
    <t>Supervisor Pleno</t>
  </si>
  <si>
    <t>Superv.Atend.Senior</t>
  </si>
  <si>
    <t>Supervisor Operac.</t>
  </si>
  <si>
    <t>Superv.De Operacoes</t>
  </si>
  <si>
    <t>Superv Qual Bil</t>
  </si>
  <si>
    <t>Gerente De Projetos</t>
  </si>
  <si>
    <t>Gerente De Operacoes</t>
  </si>
  <si>
    <t>Assist.Administrat</t>
  </si>
  <si>
    <t>Anal.Sup.Tecn.Senior</t>
  </si>
  <si>
    <t>Anal Sistemas Jr</t>
  </si>
  <si>
    <t>Analista De Processo</t>
  </si>
  <si>
    <t>Anal Relatorios Jr</t>
  </si>
  <si>
    <t>Lider De Operacoes</t>
  </si>
  <si>
    <t>Anal Qualidade Jr</t>
  </si>
  <si>
    <t>Analista Trein. Jr</t>
  </si>
  <si>
    <t>Analista Trein. Pl</t>
  </si>
  <si>
    <t>Anl. Planejamento Jr</t>
  </si>
  <si>
    <t>Involuntary</t>
  </si>
  <si>
    <t>Voluntary</t>
  </si>
  <si>
    <t>271;374;384</t>
  </si>
  <si>
    <t>159;392;240;210;376;379;261;231;199;270</t>
  </si>
  <si>
    <t>sjuni008</t>
  </si>
  <si>
    <t>sergio.giunti@cs-sitel.com.br</t>
  </si>
  <si>
    <t>Pediu demissão</t>
  </si>
  <si>
    <t>Alexsandro Silvestre Da Silva</t>
  </si>
  <si>
    <t>Bruno Rodrigues Fialkovics</t>
  </si>
  <si>
    <t>Felipe Alves Barbosa</t>
  </si>
  <si>
    <t>Fernando Tavares</t>
  </si>
  <si>
    <t>Lais Silva Pereira</t>
  </si>
  <si>
    <t>Rafael Dos Santos</t>
  </si>
  <si>
    <t>Caroline Souza Da Silva</t>
  </si>
  <si>
    <t>Daniel Viana Feitosa</t>
  </si>
  <si>
    <t>Felipe De Oliveira Dos Santos</t>
  </si>
  <si>
    <t>Felipe Marchini Martins</t>
  </si>
  <si>
    <t>Gabriel Fernandes Alves</t>
  </si>
  <si>
    <t>Jorge Da Cruz Lopes</t>
  </si>
  <si>
    <t>Paulo Wueliton Horacio Fernandes</t>
  </si>
  <si>
    <t>Wallace Nunes Dos Santos Fonseca</t>
  </si>
  <si>
    <t>Edivaldo Dias dos Santos</t>
  </si>
  <si>
    <t>Eliano Jose Da Rocha</t>
  </si>
  <si>
    <t>Rafael De Barros Rinaldi</t>
  </si>
  <si>
    <t>Henrique De Mello Serrao</t>
  </si>
  <si>
    <t>asilv123</t>
  </si>
  <si>
    <t>bfial001</t>
  </si>
  <si>
    <t>esant066</t>
  </si>
  <si>
    <t>eroch011</t>
  </si>
  <si>
    <t>fbarb007</t>
  </si>
  <si>
    <t>ftava002</t>
  </si>
  <si>
    <t>lpere058</t>
  </si>
  <si>
    <t>rrina001</t>
  </si>
  <si>
    <t>rsant109</t>
  </si>
  <si>
    <t>csilv041</t>
  </si>
  <si>
    <t>dfeit004</t>
  </si>
  <si>
    <t>fsant032</t>
  </si>
  <si>
    <t>fmart068</t>
  </si>
  <si>
    <t>galve003</t>
  </si>
  <si>
    <t>jlope188</t>
  </si>
  <si>
    <t>pfern033</t>
  </si>
  <si>
    <t>hserr002</t>
  </si>
  <si>
    <t>wfons003</t>
  </si>
  <si>
    <t>Vanderlei Pereira</t>
  </si>
  <si>
    <t>mgonc005</t>
  </si>
  <si>
    <t>Anl. De Planejamento Pl</t>
  </si>
  <si>
    <t>monica.goncalves@sitel.com</t>
  </si>
  <si>
    <t>Monica Gonçalves De Souza</t>
  </si>
  <si>
    <t>lais.pereira@sitel.com</t>
  </si>
  <si>
    <t>fernando.tavares02@sitel.com</t>
  </si>
  <si>
    <t>caroline.ssilva@sitel.com</t>
  </si>
  <si>
    <t>felipe.osantos@sitel.com</t>
  </si>
  <si>
    <t>jorge.clopes@sitel.com</t>
  </si>
  <si>
    <t>paulo.horacio@sitel.com</t>
  </si>
  <si>
    <t>alex.silva1@sitel.com</t>
  </si>
  <si>
    <t>bruno.Fialkovics@sitel.com</t>
  </si>
  <si>
    <t>Edivaldo.Santos@sitel.com</t>
  </si>
  <si>
    <t>eliano.rocha@sitel.com</t>
  </si>
  <si>
    <t>felipe.abarbosa@sitel.com</t>
  </si>
  <si>
    <t>rafael.rinaldi@sitel.com</t>
  </si>
  <si>
    <t>rafael.dsantos01@sitel.com</t>
  </si>
  <si>
    <t>daniel.feitosa@sitel.com</t>
  </si>
  <si>
    <t>felipe.marchini@sitel.com</t>
  </si>
  <si>
    <t>gabriel.alves@sitel.com</t>
  </si>
  <si>
    <t>henrique.serrao@sitel.com</t>
  </si>
  <si>
    <t>wallace.fonseca@sitel.com</t>
  </si>
  <si>
    <t>P3677883</t>
  </si>
  <si>
    <t>P7064576</t>
  </si>
  <si>
    <t>P5348612</t>
  </si>
  <si>
    <t>P1832124</t>
  </si>
  <si>
    <t>P6627651</t>
  </si>
  <si>
    <t>P5691325</t>
  </si>
  <si>
    <t>P1303225</t>
  </si>
  <si>
    <t>P0629644</t>
  </si>
  <si>
    <t>P0381022</t>
  </si>
  <si>
    <t>P0908721</t>
  </si>
  <si>
    <t>P4276368</t>
  </si>
  <si>
    <t>P1483900</t>
  </si>
  <si>
    <t>P7905847</t>
  </si>
  <si>
    <t>P2019267</t>
  </si>
  <si>
    <t>Erick Oliveira Ferreira</t>
  </si>
  <si>
    <t>Fabio Rodrigo Soares Machado</t>
  </si>
  <si>
    <t>Fabricio Gomes dos Santos Alves</t>
  </si>
  <si>
    <t>Gabriel Cunha Pereira</t>
  </si>
  <si>
    <t>Paulo Henrique Paiva da Silva</t>
  </si>
  <si>
    <t>Thiago Bastos Tabarana</t>
  </si>
  <si>
    <t>Alexsandro de Albuquerque</t>
  </si>
  <si>
    <t>David Quirino de Melo</t>
  </si>
  <si>
    <t>Luiz Cesar Coletto Pedro</t>
  </si>
  <si>
    <t>Alexandre Inacio Sergio Junior</t>
  </si>
  <si>
    <t>Davi Teodoro de Jesus</t>
  </si>
  <si>
    <t>Luciano Gomes Nogueira</t>
  </si>
  <si>
    <t>Matheus Claudio Santana</t>
  </si>
  <si>
    <t>William dos Santos Oliveira</t>
  </si>
  <si>
    <t>Jose Ricardo Silva Teixeira Junior</t>
  </si>
  <si>
    <t>Nelson Silva de Oliveira</t>
  </si>
  <si>
    <t>Vanderlei Valentim Vieira</t>
  </si>
  <si>
    <t>felipe.rodrigues2@sitel.com</t>
  </si>
  <si>
    <t>P2821946</t>
  </si>
  <si>
    <t>Jefferson Reis Lopes Damiao</t>
  </si>
  <si>
    <t>erick.oliveira@sitel.com</t>
  </si>
  <si>
    <t>fabio.rsoares@sitel.com</t>
  </si>
  <si>
    <t>gabriel.cunha@sitel.com</t>
  </si>
  <si>
    <t>paulo.paiva@sitel.com</t>
  </si>
  <si>
    <t>thiago.tabarana@sitel.com</t>
  </si>
  <si>
    <t>fabricio.gomes@sitel.com</t>
  </si>
  <si>
    <t>david.quirino@sitel.com</t>
  </si>
  <si>
    <t>jefferson.damiao@sitel.com</t>
  </si>
  <si>
    <t>luiz.coletto@sitel.com</t>
  </si>
  <si>
    <t>Alexsandro.Albuquerque@sitel.com</t>
  </si>
  <si>
    <t>alexandre.inacio@sitel.com</t>
  </si>
  <si>
    <t>matheus.claudio@sitel.com</t>
  </si>
  <si>
    <t>nelson.doliveira@sitel.com</t>
  </si>
  <si>
    <t>davi.teodoro@sitel.com</t>
  </si>
  <si>
    <t>luciano.nogueira@sitel.com</t>
  </si>
  <si>
    <t>vanderlei.valentim@sitel.com</t>
  </si>
  <si>
    <t>eferr021</t>
  </si>
  <si>
    <t>fmach004</t>
  </si>
  <si>
    <t>gpere038</t>
  </si>
  <si>
    <t>ppaiv001</t>
  </si>
  <si>
    <t>ttaba003</t>
  </si>
  <si>
    <t>falve006</t>
  </si>
  <si>
    <t>dmelo007</t>
  </si>
  <si>
    <t>jdami006</t>
  </si>
  <si>
    <t>lpedr009</t>
  </si>
  <si>
    <t>aalbu003</t>
  </si>
  <si>
    <t>ainac001</t>
  </si>
  <si>
    <t>msant194</t>
  </si>
  <si>
    <t>noliv006</t>
  </si>
  <si>
    <t>djesu004</t>
  </si>
  <si>
    <t>lnogu004</t>
  </si>
  <si>
    <t>jjuni017</t>
  </si>
  <si>
    <t>vviei002</t>
  </si>
  <si>
    <t>P3618417</t>
  </si>
  <si>
    <t>P6935419</t>
  </si>
  <si>
    <t>P6463255</t>
  </si>
  <si>
    <t>P2335457</t>
  </si>
  <si>
    <t>P0599150</t>
  </si>
  <si>
    <t>P4929164</t>
  </si>
  <si>
    <t>P3275124</t>
  </si>
  <si>
    <t>P2712236</t>
  </si>
  <si>
    <t>P8212943</t>
  </si>
  <si>
    <t>P3858922</t>
  </si>
  <si>
    <t>P5956452</t>
  </si>
  <si>
    <t>Lenovo</t>
  </si>
  <si>
    <t>P5653879</t>
  </si>
  <si>
    <t>jose.steixeira@sitel.com</t>
  </si>
  <si>
    <t>Lazaro Barbosa De Oliveira</t>
  </si>
  <si>
    <t>Especialista de Negocios</t>
  </si>
  <si>
    <t>dhern053</t>
  </si>
  <si>
    <t>jfrei008</t>
  </si>
  <si>
    <t>30/10/215</t>
  </si>
  <si>
    <t>Open</t>
  </si>
  <si>
    <t>aapar004</t>
  </si>
  <si>
    <t>Tadeu Antonio de Souza</t>
  </si>
  <si>
    <t>03603-000 </t>
  </si>
  <si>
    <t>27/08/1979 </t>
  </si>
  <si>
    <t>tadeu.souza@sitel.com </t>
  </si>
  <si>
    <t>P5901609</t>
  </si>
  <si>
    <t>Kim Pedro Barbosa</t>
  </si>
  <si>
    <t>Renan Albuquerque Ariedi</t>
  </si>
  <si>
    <t>Matheus Cardoso Silva</t>
  </si>
  <si>
    <t>Douglas Telles Lourencini</t>
  </si>
  <si>
    <t>Gabriel Moreno Franco</t>
  </si>
  <si>
    <t>Marcelo Guilherme Rasera</t>
  </si>
  <si>
    <t>Carlos Rodrigues Neto</t>
  </si>
  <si>
    <t>Luciano Oliveira Da Silva</t>
  </si>
  <si>
    <t>Thiago Maciel Lima</t>
  </si>
  <si>
    <t>Douglas Neri</t>
  </si>
  <si>
    <t>Leonardo Felipe Da Silva Torreao</t>
  </si>
  <si>
    <t>Bruno Henrique Santos Da Silva</t>
  </si>
  <si>
    <t>Victor Arruda Do Carmo</t>
  </si>
  <si>
    <t>Washington Silva De Oliveira</t>
  </si>
  <si>
    <t>Luis Felipe Morais Dos Santos</t>
  </si>
  <si>
    <t>Luana Fernandes Ribeiro Souza</t>
  </si>
  <si>
    <t>Lucas Da Silva Pinto</t>
  </si>
  <si>
    <t>Gabriel Heguedusch Franco Pereira</t>
  </si>
  <si>
    <t>Wesley do Nascimento Albuquerque da S</t>
  </si>
  <si>
    <t>Cleber Aparecido Gregorio</t>
  </si>
  <si>
    <t>Stefany Aparecida Alexandre De Franca</t>
  </si>
  <si>
    <t>Joao Henrique Santos Oliveira</t>
  </si>
  <si>
    <t>ealbu002</t>
  </si>
  <si>
    <t>kbarb009</t>
  </si>
  <si>
    <t>rarie004</t>
  </si>
  <si>
    <t>msilv096</t>
  </si>
  <si>
    <t>dlour001</t>
  </si>
  <si>
    <t>gfran016</t>
  </si>
  <si>
    <t>wsilv028</t>
  </si>
  <si>
    <t>mrase001</t>
  </si>
  <si>
    <t>cneto001</t>
  </si>
  <si>
    <t>lsilv072</t>
  </si>
  <si>
    <t>cgreg016</t>
  </si>
  <si>
    <t>tlima004</t>
  </si>
  <si>
    <t>dneri001</t>
  </si>
  <si>
    <t>ltorr053</t>
  </si>
  <si>
    <t>bsilv006</t>
  </si>
  <si>
    <t>vcarm004</t>
  </si>
  <si>
    <t>woliv012</t>
  </si>
  <si>
    <t>lsant064</t>
  </si>
  <si>
    <t>sfran060</t>
  </si>
  <si>
    <t>joliv043</t>
  </si>
  <si>
    <t>lsouz017</t>
  </si>
  <si>
    <t>lpint007</t>
  </si>
  <si>
    <t>gpere042</t>
  </si>
  <si>
    <t>y</t>
  </si>
  <si>
    <t>tsouz010 </t>
  </si>
  <si>
    <t>kim.barbosa@sitel.com</t>
  </si>
  <si>
    <t>renan.ariedi@sitel.com</t>
  </si>
  <si>
    <t>matheus.cardoso@sitel.com</t>
  </si>
  <si>
    <t>douglas.lourencini@sitel.com</t>
  </si>
  <si>
    <t>gabriel.mfranco@sitel.com</t>
  </si>
  <si>
    <t>wesley.nasilva@sitel.com</t>
  </si>
  <si>
    <t>victor.adcarmo@sitel.com</t>
  </si>
  <si>
    <t>marcelo.rasera@sitel.com</t>
  </si>
  <si>
    <t>carlos.rneto@sitel.com</t>
  </si>
  <si>
    <t>luciano.osilva@sitel.com</t>
  </si>
  <si>
    <t>cleber.gregorio@sitel.com</t>
  </si>
  <si>
    <t>thiago.maciel@sitel.com</t>
  </si>
  <si>
    <t>leonardo.torreao@sitel.com</t>
  </si>
  <si>
    <t>bruno.hsilva@sitel.com</t>
  </si>
  <si>
    <t>washington.oliveira@sitel.com</t>
  </si>
  <si>
    <t>luis.fsantos@sitel.com</t>
  </si>
  <si>
    <t>stefany.aparecida@sitel.com</t>
  </si>
  <si>
    <t>joao.holiveira@sitel.com</t>
  </si>
  <si>
    <t>luana.fsouza@sitel.com</t>
  </si>
  <si>
    <t>lucas.dpinto@sitel.com</t>
  </si>
  <si>
    <t>gabriel.Heguedusch@sitel.com</t>
  </si>
  <si>
    <t>P3511051</t>
  </si>
  <si>
    <t>P4375453</t>
  </si>
  <si>
    <t>P0648935</t>
  </si>
  <si>
    <t>P3330110</t>
  </si>
  <si>
    <t>P6875601</t>
  </si>
  <si>
    <t>P0944884</t>
  </si>
  <si>
    <t>P2835631</t>
  </si>
  <si>
    <t>P3609496</t>
  </si>
  <si>
    <t>P2587938</t>
  </si>
  <si>
    <t>P6184982</t>
  </si>
  <si>
    <t>P8135707</t>
  </si>
  <si>
    <t>P3266513</t>
  </si>
  <si>
    <t>P3114954</t>
  </si>
  <si>
    <t>P6414582</t>
  </si>
  <si>
    <t>P8101536</t>
  </si>
  <si>
    <t>P7146894</t>
  </si>
  <si>
    <t>P4325338</t>
  </si>
  <si>
    <t>P0450682</t>
  </si>
  <si>
    <t>P8069453</t>
  </si>
  <si>
    <t>P6990158</t>
  </si>
  <si>
    <t>P3456544</t>
  </si>
  <si>
    <t>03567-130</t>
  </si>
  <si>
    <t>02420-100</t>
  </si>
  <si>
    <t>02815-000</t>
  </si>
  <si>
    <t>02837-000</t>
  </si>
  <si>
    <t>07155-250</t>
  </si>
  <si>
    <t>02249-000</t>
  </si>
  <si>
    <t>03808-170</t>
  </si>
  <si>
    <t>08062-760</t>
  </si>
  <si>
    <t>09120-600</t>
  </si>
  <si>
    <t>02674-050</t>
  </si>
  <si>
    <t>08539-110</t>
  </si>
  <si>
    <t>03478-040</t>
  </si>
  <si>
    <t>08270-220</t>
  </si>
  <si>
    <t>08225-380</t>
  </si>
  <si>
    <t>08555-050</t>
  </si>
  <si>
    <t>03803-100</t>
  </si>
  <si>
    <t>04657-000</t>
  </si>
  <si>
    <t>01031-001</t>
  </si>
  <si>
    <t>08250-730</t>
  </si>
  <si>
    <t>08430-855</t>
  </si>
  <si>
    <t>P4057100</t>
  </si>
  <si>
    <t>guilherme.cruz1@cs-sitel.com.br</t>
  </si>
  <si>
    <t>P5147742</t>
  </si>
  <si>
    <t>P5133205</t>
  </si>
  <si>
    <t>P3206120</t>
  </si>
  <si>
    <t>P0339556</t>
  </si>
  <si>
    <t>P2369653</t>
  </si>
  <si>
    <t>P7476703</t>
  </si>
  <si>
    <t>P1234914</t>
  </si>
  <si>
    <t>P3245651</t>
  </si>
  <si>
    <t>P5907259</t>
  </si>
  <si>
    <t>P4460230</t>
  </si>
  <si>
    <t>P1643405</t>
  </si>
  <si>
    <t>P5531294</t>
  </si>
  <si>
    <t>P7321869</t>
  </si>
  <si>
    <t>P2647732</t>
  </si>
  <si>
    <t>P2789154</t>
  </si>
  <si>
    <t>P4567186</t>
  </si>
  <si>
    <t>P2769138</t>
  </si>
  <si>
    <t>P6034761</t>
  </si>
  <si>
    <t>P1820523</t>
  </si>
  <si>
    <t>P5197376</t>
  </si>
  <si>
    <t>P4229192</t>
  </si>
  <si>
    <t>P2475434</t>
  </si>
  <si>
    <t>P3125922</t>
  </si>
  <si>
    <t>P7120150</t>
  </si>
  <si>
    <t>P3810277</t>
  </si>
  <si>
    <t>P2410829</t>
  </si>
  <si>
    <t>P5444277</t>
  </si>
  <si>
    <t>P5927755</t>
  </si>
  <si>
    <t>P8230241</t>
  </si>
  <si>
    <t>P1554883</t>
  </si>
  <si>
    <t>P6861804</t>
  </si>
  <si>
    <t>P4310851</t>
  </si>
  <si>
    <t>P6430846</t>
  </si>
  <si>
    <t>P7972394</t>
  </si>
  <si>
    <t>P7213506</t>
  </si>
  <si>
    <t>P4359210</t>
  </si>
  <si>
    <t>P8316880</t>
  </si>
  <si>
    <t>P5364269</t>
  </si>
  <si>
    <t>P2848236</t>
  </si>
  <si>
    <t>P0070698</t>
  </si>
  <si>
    <t>P2113211</t>
  </si>
  <si>
    <t>P0785805</t>
  </si>
  <si>
    <t>P6357798</t>
  </si>
  <si>
    <t>P7034327</t>
  </si>
  <si>
    <t>P7658372</t>
  </si>
  <si>
    <t>P7822419</t>
  </si>
  <si>
    <t>P8022832</t>
  </si>
  <si>
    <t>P2424066</t>
  </si>
  <si>
    <t>P7375061</t>
  </si>
  <si>
    <t>P5710499</t>
  </si>
  <si>
    <t>P0094489</t>
  </si>
  <si>
    <t>P0179270</t>
  </si>
  <si>
    <t>P3581095</t>
  </si>
  <si>
    <t>P6249041</t>
  </si>
  <si>
    <t>P0344305</t>
  </si>
  <si>
    <t>P5477566</t>
  </si>
  <si>
    <t>P2032096</t>
  </si>
  <si>
    <t>P7972806</t>
  </si>
  <si>
    <t>P8125016</t>
  </si>
  <si>
    <t>P7117533</t>
  </si>
  <si>
    <t>P0289742</t>
  </si>
  <si>
    <t>P1739203</t>
  </si>
  <si>
    <t>P6593195</t>
  </si>
  <si>
    <t>P0141830</t>
  </si>
  <si>
    <t>P1886262</t>
  </si>
  <si>
    <t>P7493805</t>
  </si>
  <si>
    <t>P1332916</t>
  </si>
  <si>
    <t>P0677176</t>
  </si>
  <si>
    <t>P5205267</t>
  </si>
  <si>
    <t>P2446994</t>
  </si>
  <si>
    <t>P1544795</t>
  </si>
  <si>
    <t>P0543876</t>
  </si>
  <si>
    <t>P7503636</t>
  </si>
  <si>
    <t>P6549223</t>
  </si>
  <si>
    <t>P4339329</t>
  </si>
  <si>
    <t>P4418300</t>
  </si>
  <si>
    <t>P3096528</t>
  </si>
  <si>
    <t>P4286458</t>
  </si>
  <si>
    <t>P7212551</t>
  </si>
  <si>
    <t>P2108790</t>
  </si>
  <si>
    <t>P8076266</t>
  </si>
  <si>
    <t>P6986334</t>
  </si>
  <si>
    <t>P7167114</t>
  </si>
  <si>
    <t>P2274964</t>
  </si>
  <si>
    <t>P8046816</t>
  </si>
  <si>
    <t>P0407362</t>
  </si>
  <si>
    <t>P5508860</t>
  </si>
  <si>
    <t>P8336924</t>
  </si>
  <si>
    <t>P1684924</t>
  </si>
  <si>
    <t>P3229330</t>
  </si>
  <si>
    <t>P0530154</t>
  </si>
  <si>
    <t>P6849255</t>
  </si>
  <si>
    <t>P4636880</t>
  </si>
  <si>
    <t>P7204113</t>
  </si>
  <si>
    <t>P5668217</t>
  </si>
  <si>
    <t>P3145703</t>
  </si>
  <si>
    <t>P4490042</t>
  </si>
  <si>
    <t>P7667182</t>
  </si>
  <si>
    <t>P1094319</t>
  </si>
  <si>
    <t>P8182881</t>
  </si>
  <si>
    <t>P3688617</t>
  </si>
  <si>
    <t>P1399478</t>
  </si>
  <si>
    <t>P3374193</t>
  </si>
  <si>
    <t>P8090315</t>
  </si>
  <si>
    <t>P1784173</t>
  </si>
  <si>
    <t>P3123603</t>
  </si>
  <si>
    <t>P3537628</t>
  </si>
  <si>
    <t>P3467883</t>
  </si>
  <si>
    <t>P4503087</t>
  </si>
  <si>
    <t>P4861376</t>
  </si>
  <si>
    <t>P4800088</t>
  </si>
  <si>
    <t>P0207415</t>
  </si>
  <si>
    <t>P4033552</t>
  </si>
  <si>
    <t>P4257871</t>
  </si>
  <si>
    <t>P5440540</t>
  </si>
  <si>
    <t>P5973917</t>
  </si>
  <si>
    <t>P2604255</t>
  </si>
  <si>
    <t>P1405322</t>
  </si>
  <si>
    <t>P3972927</t>
  </si>
  <si>
    <t>P5265742</t>
  </si>
  <si>
    <t>P2854913</t>
  </si>
  <si>
    <t>P6146481</t>
  </si>
  <si>
    <t>Omar Mauricio La Torre Medrano</t>
  </si>
  <si>
    <t>Wilian Bincoleto Wenzel</t>
  </si>
  <si>
    <t>Wendrey Schumaher Lara</t>
  </si>
  <si>
    <t>Victor Hugo Virginio de Santana</t>
  </si>
  <si>
    <t>Janio Vinicius Inacio Custodio</t>
  </si>
  <si>
    <t>Eduardo Paixao Oliveira</t>
  </si>
  <si>
    <t>Tiago Ferreira da Silva</t>
  </si>
  <si>
    <t>Danilo Euclides Ferreira Estevao</t>
  </si>
  <si>
    <t>03429-010</t>
  </si>
  <si>
    <t>Felipe Nery Saturnino</t>
  </si>
  <si>
    <t>omedr001</t>
  </si>
  <si>
    <t>wlara004</t>
  </si>
  <si>
    <t>vsant035</t>
  </si>
  <si>
    <t>jcust004</t>
  </si>
  <si>
    <t>eoliv027</t>
  </si>
  <si>
    <t>tsilv031</t>
  </si>
  <si>
    <t>deste009</t>
  </si>
  <si>
    <t>omar.medrano@sitel.com</t>
  </si>
  <si>
    <t>wendrey.lara@sitel.com</t>
  </si>
  <si>
    <t>victor.vsantana@sitel.com</t>
  </si>
  <si>
    <t>janio.custodio@sitel.com</t>
  </si>
  <si>
    <t>eduardo.poliveira@sitel.com</t>
  </si>
  <si>
    <t>tiago.ferreirasilva@sitel.com</t>
  </si>
  <si>
    <t>danilo.festevao@sitel.com</t>
  </si>
  <si>
    <t>P2500125</t>
  </si>
  <si>
    <t>P1752063</t>
  </si>
  <si>
    <t>P3746576</t>
  </si>
  <si>
    <t>P6157453</t>
  </si>
  <si>
    <t>P0638092</t>
  </si>
  <si>
    <t>P7316808</t>
  </si>
  <si>
    <t>P1152966</t>
  </si>
  <si>
    <t>P5310180</t>
  </si>
  <si>
    <t>Alexandre Gael Terroso Domingos</t>
  </si>
  <si>
    <t>Reginaldo de Araujo Rosario</t>
  </si>
  <si>
    <t>Kaio Victor de Santana</t>
  </si>
  <si>
    <t>Alvani Elizabete Aliano de Oliveira</t>
  </si>
  <si>
    <t>Marcello Morato Miguel da Silva</t>
  </si>
  <si>
    <t xml:space="preserve"> Marcio de Andrade</t>
  </si>
  <si>
    <t>Fabio Batista Assis Santana</t>
  </si>
  <si>
    <t xml:space="preserve">Diego Rodrigo Sobreira </t>
  </si>
  <si>
    <t>Ricardo Alves dos Santos</t>
  </si>
  <si>
    <t>Fabio da Silva</t>
  </si>
  <si>
    <t>Jaqueline Carvalho Borges</t>
  </si>
  <si>
    <t>Karina Andrade Silva</t>
  </si>
  <si>
    <t>Adriano Evaristo Rosa de Mattos</t>
  </si>
  <si>
    <t xml:space="preserve">Kleber Barbosa Patricio </t>
  </si>
  <si>
    <t>Pedro Henrique Faraco dos Santos</t>
  </si>
  <si>
    <t>Clarina Praxedes Alfredo</t>
  </si>
  <si>
    <t xml:space="preserve">Glauco Cruz Lisboa </t>
  </si>
  <si>
    <t>Luciana Lopes da Silva</t>
  </si>
  <si>
    <t>Zaelly Suerfia Ferreira da Costa</t>
  </si>
  <si>
    <t xml:space="preserve">Jhony Lourenco de Sousa </t>
  </si>
  <si>
    <t>adomi042</t>
  </si>
  <si>
    <t>rrosa038</t>
  </si>
  <si>
    <t>ksant044</t>
  </si>
  <si>
    <t>msilv101</t>
  </si>
  <si>
    <t>mandr044</t>
  </si>
  <si>
    <t>fsant039</t>
  </si>
  <si>
    <t>fsilv022</t>
  </si>
  <si>
    <t>jborg007</t>
  </si>
  <si>
    <t>ksilv029</t>
  </si>
  <si>
    <t>amatt019</t>
  </si>
  <si>
    <t>kpatr009</t>
  </si>
  <si>
    <t>calfr001</t>
  </si>
  <si>
    <t>glisb001</t>
  </si>
  <si>
    <t xml:space="preserve">Sergio Giunti Junior </t>
  </si>
  <si>
    <t>Andre Luiz Dos Santos Tamazi</t>
  </si>
  <si>
    <t>Rosangela Maria da Silva Sao Pedro</t>
  </si>
  <si>
    <t>Jose Dos Santos Souza Lima Junior</t>
  </si>
  <si>
    <t>aoliv061</t>
  </si>
  <si>
    <t>zcost001</t>
  </si>
  <si>
    <t>rsant123</t>
  </si>
  <si>
    <t>rpedr013</t>
  </si>
  <si>
    <t>Erika Iga Parmezam</t>
  </si>
  <si>
    <t>Coordenador(a)</t>
  </si>
  <si>
    <t>eparm001</t>
  </si>
  <si>
    <t>erika.parmezam@sitel.com</t>
  </si>
  <si>
    <t>HP Commercial</t>
  </si>
  <si>
    <t>Pede senha</t>
  </si>
  <si>
    <t>Fabio.Santana@sitel.com</t>
  </si>
  <si>
    <t>P0669150</t>
  </si>
  <si>
    <t>Karina.Silva2@sitel.com</t>
  </si>
  <si>
    <t>P7115288</t>
  </si>
  <si>
    <t>Ricardo.Santos@sitel.com</t>
  </si>
  <si>
    <t>P1626025</t>
  </si>
  <si>
    <t>Rosangela.Pedro@sitel.com</t>
  </si>
  <si>
    <t>P3617631</t>
  </si>
  <si>
    <t>Marcio.Andrade@sitel.com</t>
  </si>
  <si>
    <t>Marcello.Silva@sitel.com</t>
  </si>
  <si>
    <t>P3359950</t>
  </si>
  <si>
    <t>Zaelly.Costa@sitel.com</t>
  </si>
  <si>
    <t>P2728681</t>
  </si>
  <si>
    <t>Adriano.Mattos@sitel.com</t>
  </si>
  <si>
    <t>P7580651</t>
  </si>
  <si>
    <t>Kleber.Patricio@sitel.com</t>
  </si>
  <si>
    <t>P5461871</t>
  </si>
  <si>
    <t>alexandre.domingos@sitel.com</t>
  </si>
  <si>
    <t>Glauco.Lisboa@sitel.com</t>
  </si>
  <si>
    <t>Kaio.Santana@sitel.com</t>
  </si>
  <si>
    <t>P2301326</t>
  </si>
  <si>
    <t>P2564540</t>
  </si>
  <si>
    <t>Reginaldo.Rosario@sitel.com</t>
  </si>
  <si>
    <t>P3194960</t>
  </si>
  <si>
    <t>Jaqueline.Borges@sitel.com</t>
  </si>
  <si>
    <t>P8154088</t>
  </si>
  <si>
    <t>Alvani.Oliveira@sitel.com</t>
  </si>
  <si>
    <t>P3140211</t>
  </si>
  <si>
    <t>Fabio.dsilva2@sitel.com</t>
  </si>
  <si>
    <t>P4423708</t>
  </si>
  <si>
    <t>P4479859</t>
  </si>
  <si>
    <t>P5370664</t>
  </si>
  <si>
    <t>Clarina.Alfredo@sitel.com</t>
  </si>
  <si>
    <t>P6632347</t>
  </si>
  <si>
    <t>P1534858</t>
  </si>
  <si>
    <t>Não puxa segunda linha</t>
  </si>
  <si>
    <t>Pede Senha</t>
  </si>
  <si>
    <t>voluntary</t>
  </si>
  <si>
    <t>Desligada</t>
  </si>
  <si>
    <t>mgoncalves</t>
  </si>
  <si>
    <t>gdasilva</t>
  </si>
  <si>
    <t>Observações</t>
  </si>
  <si>
    <t xml:space="preserve">Elias Martins Dos Santos </t>
  </si>
  <si>
    <t xml:space="preserve">Leandro Ferreira Batista </t>
  </si>
  <si>
    <t xml:space="preserve">Alexandre Roberto De Oliveira </t>
  </si>
  <si>
    <t xml:space="preserve">Thiago De Carvalho Silva </t>
  </si>
  <si>
    <t>Almir Pinto</t>
  </si>
  <si>
    <t>Alex Alexandre Souza Porto</t>
  </si>
  <si>
    <t>rjose027</t>
  </si>
  <si>
    <t>emart134</t>
  </si>
  <si>
    <t>lferr025</t>
  </si>
  <si>
    <t>jclau005</t>
  </si>
  <si>
    <t>arobe055</t>
  </si>
  <si>
    <t>isant033</t>
  </si>
  <si>
    <t>tdec001</t>
  </si>
  <si>
    <t>ramuncio.pinheiro@sitel.com</t>
  </si>
  <si>
    <t>elias.msantos@sitel.com</t>
  </si>
  <si>
    <t>leandro.fbatista@sitel.com</t>
  </si>
  <si>
    <t>jose.junior01@sitel.com</t>
  </si>
  <si>
    <t>alexandre.roliveira@sitel.com</t>
  </si>
  <si>
    <t>isaias.boas@sitel.com</t>
  </si>
  <si>
    <t>thiago.csilva01@sitel.com</t>
  </si>
  <si>
    <t>P2323838</t>
  </si>
  <si>
    <t>P3733437</t>
  </si>
  <si>
    <t>P3390194</t>
  </si>
  <si>
    <t>P7822680</t>
  </si>
  <si>
    <t>P7395841</t>
  </si>
  <si>
    <t>P3799272</t>
  </si>
  <si>
    <t>P4152286</t>
  </si>
  <si>
    <t>P1256299</t>
  </si>
  <si>
    <t>Takeo Guilheme Mizuno</t>
  </si>
  <si>
    <t>tmizu001</t>
  </si>
  <si>
    <t>takeo.mizuno@cs-sitel.com.br</t>
  </si>
  <si>
    <t>P5679154</t>
  </si>
  <si>
    <t>Supervisor Sênior</t>
  </si>
  <si>
    <t>hmenc002</t>
  </si>
  <si>
    <t>Ramuncio Jose Pinheiro</t>
  </si>
  <si>
    <t xml:space="preserve">Jose Claudio Cavalcanti Junior </t>
  </si>
  <si>
    <t>Isaias  Santos Vilas Boas</t>
  </si>
  <si>
    <t>eborg005</t>
  </si>
  <si>
    <t>fnoin001</t>
  </si>
  <si>
    <t>vsous001</t>
  </si>
  <si>
    <t>mbati006</t>
  </si>
  <si>
    <t>joliv018</t>
  </si>
  <si>
    <t>Senior</t>
  </si>
  <si>
    <t>Claudineia Visnauskas Guimarães</t>
  </si>
  <si>
    <t>8111-745</t>
  </si>
  <si>
    <t>WFM</t>
  </si>
  <si>
    <t>Dell</t>
  </si>
  <si>
    <t>Caroline Amparo Nunes</t>
  </si>
  <si>
    <t>Daniel Sousa Pinheiro</t>
  </si>
  <si>
    <t>Vanessa Aparecida Dos Santos</t>
  </si>
  <si>
    <t>Henrique Eulalio De Sousa</t>
  </si>
  <si>
    <t>Lucas Aparecido De Motta</t>
  </si>
  <si>
    <t>Mariana Tadim Estevao</t>
  </si>
  <si>
    <t>Bruno Araujo Da Silva</t>
  </si>
  <si>
    <t>Denyse Souza Santos</t>
  </si>
  <si>
    <t>Wellington Da Silva De Oliveira</t>
  </si>
  <si>
    <t>Daniel Da Silva Bernardes</t>
  </si>
  <si>
    <t xml:space="preserve">Daniel Vitor Coelho Pereira </t>
  </si>
  <si>
    <t>victor.vieira2@sitel.com</t>
  </si>
  <si>
    <t>P0518618</t>
  </si>
  <si>
    <t>pedro.carmo2@sitel.com</t>
  </si>
  <si>
    <t>campa003</t>
  </si>
  <si>
    <t>vapar002</t>
  </si>
  <si>
    <t>heula001</t>
  </si>
  <si>
    <t>barau004</t>
  </si>
  <si>
    <t>dsouz009</t>
  </si>
  <si>
    <t>dvito002</t>
  </si>
  <si>
    <t>dsous004</t>
  </si>
  <si>
    <t>lapar006</t>
  </si>
  <si>
    <t>mtadi009</t>
  </si>
  <si>
    <t>dsilv094</t>
  </si>
  <si>
    <t>wsilv029</t>
  </si>
  <si>
    <t>P4759646</t>
  </si>
  <si>
    <t>P5946883</t>
  </si>
  <si>
    <t>P6568265</t>
  </si>
  <si>
    <t>P5194384</t>
  </si>
  <si>
    <t>P6526289</t>
  </si>
  <si>
    <t>P5232532</t>
  </si>
  <si>
    <t>P3760576</t>
  </si>
  <si>
    <t>P7950856</t>
  </si>
  <si>
    <t>P2025036</t>
  </si>
  <si>
    <t>P4317193</t>
  </si>
  <si>
    <t>P2637134</t>
  </si>
  <si>
    <t>caroline.anunes@sitel.com</t>
  </si>
  <si>
    <t>vanessa.asantos@sitel.com</t>
  </si>
  <si>
    <t>henrique.esouza@sitel.com</t>
  </si>
  <si>
    <t>bruno.asilva@sitel.com</t>
  </si>
  <si>
    <t>denyse.asantos@sitel.com</t>
  </si>
  <si>
    <t>daniel.vpereira1@sitel.com</t>
  </si>
  <si>
    <t>daniel.spinheiro1@sitel.com</t>
  </si>
  <si>
    <t>lucas.amotta@sitel.com</t>
  </si>
  <si>
    <t>mariana.testevao@sitel.com</t>
  </si>
  <si>
    <t>wellington.soliveira@sitel.com</t>
  </si>
  <si>
    <t>daniel.sbernardes@sitel.com</t>
  </si>
  <si>
    <t>roliv004</t>
  </si>
  <si>
    <t>FUPO SMS</t>
  </si>
  <si>
    <t>Analista Fupo da HPS</t>
  </si>
  <si>
    <t>areis009</t>
  </si>
  <si>
    <t>marcos.batista@sitel.com</t>
  </si>
  <si>
    <t>thiago.peterlini2@sitel.com</t>
  </si>
  <si>
    <t>maria.marques@sitel.com</t>
  </si>
  <si>
    <t>josue.oliveira2@sitel.com</t>
  </si>
  <si>
    <t>Erivelton.Fragoso@sitel.com</t>
  </si>
  <si>
    <t>jefte.silva@sitel.com</t>
  </si>
  <si>
    <t>daniela.andradesilva@sitel.com</t>
  </si>
  <si>
    <t>igor.nunes@sitel.com</t>
  </si>
  <si>
    <t>marcelo.melo@sitel.com</t>
  </si>
  <si>
    <t>1;1;1;1</t>
  </si>
  <si>
    <t>1;1</t>
  </si>
  <si>
    <t>voluntario</t>
  </si>
  <si>
    <t>fpere005</t>
  </si>
  <si>
    <t>Voluntario</t>
  </si>
  <si>
    <t>Involuntario</t>
  </si>
  <si>
    <t>P4824109</t>
  </si>
  <si>
    <t>Bruno Ferreira Sergio</t>
  </si>
  <si>
    <t>Analista de Planejamento Jr.</t>
  </si>
  <si>
    <t>Philips</t>
  </si>
  <si>
    <t>HP</t>
  </si>
  <si>
    <t>bruno.sergio@sitel.com</t>
  </si>
  <si>
    <t>mcava005</t>
  </si>
  <si>
    <t>Métricas e Ferramentas</t>
  </si>
  <si>
    <t>rafael.pereira@sitel.com</t>
  </si>
  <si>
    <t>andrea.magalhaes@sitel.com</t>
  </si>
  <si>
    <t>suellen.brandao@sitel.com</t>
  </si>
  <si>
    <t>rafael.cruz@sitel.com</t>
  </si>
  <si>
    <t>lucas.huamani@sitel.com</t>
  </si>
  <si>
    <t>ana.esteves@sitel.com</t>
  </si>
  <si>
    <t>diego.hernandes@sitel.com</t>
  </si>
  <si>
    <t>bruna.cantero@sitel.com</t>
  </si>
  <si>
    <t>aline.ometto@sitel.com</t>
  </si>
  <si>
    <t>lucas.monteiro@sitel.com</t>
  </si>
  <si>
    <t>260;101;39;375;377;261;144;240;376;270</t>
  </si>
  <si>
    <t>1;1;1;1;1;2;2;2;2;10</t>
  </si>
  <si>
    <t>261;144;240;376;260;101;39;375;377;270</t>
  </si>
  <si>
    <t>1;1;1;1;2;2;2;2;2;10</t>
  </si>
  <si>
    <t>260;101;39;375;377</t>
  </si>
  <si>
    <t>261;144;240;376</t>
  </si>
  <si>
    <t>1;1;1;1;1</t>
  </si>
  <si>
    <t>HPC Unassisted</t>
  </si>
  <si>
    <t>HPC BCD</t>
  </si>
  <si>
    <t>HPC FUPO</t>
  </si>
  <si>
    <t>HPC TCO Josue</t>
  </si>
  <si>
    <t>HPC OM Josue</t>
  </si>
  <si>
    <t>HPC FUPO SMS</t>
  </si>
  <si>
    <t>Logins</t>
  </si>
  <si>
    <t>Grupos</t>
  </si>
  <si>
    <t>HPC ECR</t>
  </si>
  <si>
    <t>HPC FUPOTECH</t>
  </si>
  <si>
    <t>HPC TCO</t>
  </si>
  <si>
    <t>HPC BK Rosa</t>
  </si>
  <si>
    <t>HPC MENTOR</t>
  </si>
  <si>
    <t>HPC Midia Social</t>
  </si>
  <si>
    <t>*BCD RAPHAEL P_Rosa</t>
  </si>
  <si>
    <t>*BCD VANESSA D_Rosa</t>
  </si>
  <si>
    <t>*BCD DANILO SA_Rosa</t>
  </si>
  <si>
    <t>*BCD NICODEMOS_Rosa</t>
  </si>
  <si>
    <t>*ECR RAFAEL FER_Cris</t>
  </si>
  <si>
    <t>*ECR FLAVIA HEL_Cris</t>
  </si>
  <si>
    <t>*ECR JENNIFER C_Cris</t>
  </si>
  <si>
    <t>*ECR MARIANA IR_Cris</t>
  </si>
  <si>
    <t>*ECR ANDREIA AG_Cris</t>
  </si>
  <si>
    <t>*ECR GEISLA DA_Cris</t>
  </si>
  <si>
    <t>*ECR VINICIUS D_Cris</t>
  </si>
  <si>
    <t>*ECR GABRIEL SA_Cris</t>
  </si>
  <si>
    <t>*ECR FERNANDA S_Cris</t>
  </si>
  <si>
    <t>*ECR DIEGO RODR_Cris</t>
  </si>
  <si>
    <t>*ECR MILENA FER_Cris</t>
  </si>
  <si>
    <t>*ECR HUGO MARQU_Cris</t>
  </si>
  <si>
    <t>*ECR RAMON DOS_Cris</t>
  </si>
  <si>
    <t>*FUPO TIAGO GIA_Rosa</t>
  </si>
  <si>
    <t>*FUPO BEATRIZ B_Rosa</t>
  </si>
  <si>
    <t>*FUPO DAVI TEOD_Rosa</t>
  </si>
  <si>
    <t>*FUPO CARLOS AL_Rosa</t>
  </si>
  <si>
    <t>*FUPO VINICIUS_Rosa</t>
  </si>
  <si>
    <t>*SMS CARLOS HE_Rosa</t>
  </si>
  <si>
    <t>*SMS LEANDRO Q_Rosa</t>
  </si>
  <si>
    <t>*MENTOR RENATO_Jeft</t>
  </si>
  <si>
    <t>*MS JESSIKA_Marcos</t>
  </si>
  <si>
    <t>*OM ERICA ARAU_Josue</t>
  </si>
  <si>
    <t>*TCO MAURICIO_Josue</t>
  </si>
  <si>
    <t>*UN ANDREA CAR_Bruna</t>
  </si>
  <si>
    <t>*MENTOR ALAN_Cris</t>
  </si>
  <si>
    <t>*MS ANDRESSA_Marcos</t>
  </si>
  <si>
    <t>*OM KLEBER SAN_Josue</t>
  </si>
  <si>
    <t>*TCO ANDERSON_Josue</t>
  </si>
  <si>
    <t>*FUPO IVANILDO_Jeft</t>
  </si>
  <si>
    <t>*MS MARIVALDO_Marcos</t>
  </si>
  <si>
    <t>*OM SELMA MARI_Josue</t>
  </si>
  <si>
    <t>*TCO WESLEY BE_Josue</t>
  </si>
  <si>
    <t>*UN RAFAEL DA _Bruna</t>
  </si>
  <si>
    <t>*MENTOR SERGIO_Regi</t>
  </si>
  <si>
    <t>*MS VALERIA AMO_Cris</t>
  </si>
  <si>
    <t>*OM FERNANDO D_Josue</t>
  </si>
  <si>
    <t>*UN LUCAS ALON_Bruna</t>
  </si>
  <si>
    <t>*FUPO TAINA ALE_Regi</t>
  </si>
  <si>
    <t>*MENTOR DAYANE_Vini</t>
  </si>
  <si>
    <t>*OM PRISCILA F_Josue</t>
  </si>
  <si>
    <t>*UN ANA CRISTI_Bruna</t>
  </si>
  <si>
    <t>*MENTOR CLAUDIO_Melo</t>
  </si>
  <si>
    <t>*MS RENATO JO_Marcos</t>
  </si>
  <si>
    <t>*OM JULIANE DI_Josue</t>
  </si>
  <si>
    <t>*UN DIEGO FERR_Bruna</t>
  </si>
  <si>
    <t>*MS ROSELI IZ_Marcos</t>
  </si>
  <si>
    <t>*OM JAQUELINE_Josue</t>
  </si>
  <si>
    <t>*TCO FERNANDO_Josue</t>
  </si>
  <si>
    <t>HP SUP BRUNA LIMA</t>
  </si>
  <si>
    <t>*FUPO FERNANDO_Melo</t>
  </si>
  <si>
    <t>*MS ARTUR BER_Marcos</t>
  </si>
  <si>
    <t>*TCO ARIEL DE_Josue</t>
  </si>
  <si>
    <t>*UN ALINE VIEI_Bruna</t>
  </si>
  <si>
    <t>*MS RODOLFO B_Marcos</t>
  </si>
  <si>
    <t>*TCO FABRICIO S_Cris</t>
  </si>
  <si>
    <t>*UN LUCAS BORG_Bruna</t>
  </si>
  <si>
    <t>*TCO OLIVIANA_Josue</t>
  </si>
  <si>
    <t>*TCO TATIANE BA_Cris</t>
  </si>
  <si>
    <t>*TCO JOSE RICA_Josue</t>
  </si>
  <si>
    <t>*TCO PATRIK FE_Josue</t>
  </si>
  <si>
    <t>*FUPO WESLEY_Melo</t>
  </si>
  <si>
    <t>*MS AGATHA VI_Marcos</t>
  </si>
  <si>
    <t>*TCO GILMAR AL_Josue</t>
  </si>
  <si>
    <t>*TCO VIVIANE D_Josue</t>
  </si>
  <si>
    <t>*TCO EMANUELLE_Josue</t>
  </si>
  <si>
    <t>*TCO EMERSON DE_Cris</t>
  </si>
  <si>
    <t>*UN SUELLEN SO_Bruna</t>
  </si>
  <si>
    <t>IPG JOAO PAULO_Regi</t>
  </si>
  <si>
    <t>IPG ROSANGELA C_Vini</t>
  </si>
  <si>
    <t>*IPG PAULO WUEL_Regi</t>
  </si>
  <si>
    <t>IPG ODONILTON F_Vini</t>
  </si>
  <si>
    <t>IPG THIAGO SOUZ_Regi</t>
  </si>
  <si>
    <t>*BCD LILIAN FE_Rosa</t>
  </si>
  <si>
    <t>IPG JANIO VINIC_Vini</t>
  </si>
  <si>
    <t>IPG JEAN CARLOS_Melo</t>
  </si>
  <si>
    <t>*IPG BRUNO ROMU_Vini</t>
  </si>
  <si>
    <t>IPG CAIO EIJI_Vini</t>
  </si>
  <si>
    <t>IPG THIAGO SANT_Vini</t>
  </si>
  <si>
    <t>IPG EDILSON NUN_Jeft</t>
  </si>
  <si>
    <t>PSG LEVI DE SOU_Melo</t>
  </si>
  <si>
    <t>PSG RENATO DA S_Melo</t>
  </si>
  <si>
    <t>IPG VICTOR ARRU_Vini</t>
  </si>
  <si>
    <t>IPG LUIZ FERNAN_Jeft</t>
  </si>
  <si>
    <t>IPG BRUNO HENRI_Vini</t>
  </si>
  <si>
    <t>IPG KAIO VICTOR_Vini</t>
  </si>
  <si>
    <t>IPG VINICIUS MA_Jeft</t>
  </si>
  <si>
    <t>*PSG STEFANY AP_Melo</t>
  </si>
  <si>
    <t>PSG DANIEL SOUZ_Regi</t>
  </si>
  <si>
    <t>IPG REGINALDO D_Vini</t>
  </si>
  <si>
    <t>*PSG LUCAS DA S_Melo</t>
  </si>
  <si>
    <t>*IPG PAUL EVER_Jeft</t>
  </si>
  <si>
    <t>PSG CLARINA PRA_Melo</t>
  </si>
  <si>
    <t>IPG LEANDRO FER_Vini</t>
  </si>
  <si>
    <t>PSG MARIANA TAD_Melo</t>
  </si>
  <si>
    <t>IPG THIAGO MACI_Vini</t>
  </si>
  <si>
    <t>PSG FOI BING GU_Regi</t>
  </si>
  <si>
    <t>*IPG THIAGO DE_Vini</t>
  </si>
  <si>
    <t>IPG ZAELLY SUER_Jeft</t>
  </si>
  <si>
    <t>PSG FILIPE AUGU_Melo</t>
  </si>
  <si>
    <t>*PSG RENAN CAZU_Regi</t>
  </si>
  <si>
    <t>*IPG VINICIUS F_Jeft</t>
  </si>
  <si>
    <t>PSG WELLINGTON_Melo</t>
  </si>
  <si>
    <t>PSG BRUNO HENRI_Regi</t>
  </si>
  <si>
    <t>PSG TONY FERNA_Regi</t>
  </si>
  <si>
    <t>IPG DAVID QUIRI_Vini</t>
  </si>
  <si>
    <t>PSG EDUARDO PAI_Melo</t>
  </si>
  <si>
    <t>IPG DOUGLAS FON_Vini</t>
  </si>
  <si>
    <t>*PSG KAIO FERNA_Melo</t>
  </si>
  <si>
    <t>IPG JOSE DOS SA_Vini</t>
  </si>
  <si>
    <t>IPG MATHEUS CAR_Jeft</t>
  </si>
  <si>
    <t>IPG LAIS SILVA_Jeft</t>
  </si>
  <si>
    <t>IPG LUCIANA SOU_Jeft</t>
  </si>
  <si>
    <t>IPG WENDREY SCH_Jeft</t>
  </si>
  <si>
    <t>*IPG JESSE PRAT_Jeft</t>
  </si>
  <si>
    <t>IPG CAIO PIRES_Jeft</t>
  </si>
  <si>
    <t>IPG JONATAS GOM_Jeft</t>
  </si>
  <si>
    <t>IPG CAROLINE AM_Jeft</t>
  </si>
  <si>
    <t>IPG HENRIQUE EU_Jeft</t>
  </si>
  <si>
    <t>IPG FRANCISCO D_Jeft</t>
  </si>
  <si>
    <t>PSG ANDRE LUIS_Melo</t>
  </si>
  <si>
    <t>IPG DANIEL DANT_Regi</t>
  </si>
  <si>
    <t>PSG FABIO PEREZ_Regi</t>
  </si>
  <si>
    <t>PSG WASHINGTON_Regi</t>
  </si>
  <si>
    <t>*PSG RAFAEL DO _Regi</t>
  </si>
  <si>
    <t>PSG LEONARDO CA_Regi</t>
  </si>
  <si>
    <t>*PSG LUCAS ALME_Regi</t>
  </si>
  <si>
    <t>PSG FELIPE ALVE_Regi</t>
  </si>
  <si>
    <t>PSG ERICO LUAN_Regi</t>
  </si>
  <si>
    <t>PSG ALVANI ELIZ_Regi</t>
  </si>
  <si>
    <t>IPG ALEXANDRE M_Vini</t>
  </si>
  <si>
    <t>IPG THAIS BENEV_Vini</t>
  </si>
  <si>
    <t>Paypal</t>
  </si>
  <si>
    <t xml:space="preserve"> - December</t>
  </si>
  <si>
    <t>*IPG ADELSON M_Vini</t>
  </si>
  <si>
    <t>*FUPO VANDERLEI_Vini</t>
  </si>
  <si>
    <t>*FUPO TIAGO FER_Dani</t>
  </si>
  <si>
    <t>IPG DENYSE SOUZ_Jeft</t>
  </si>
  <si>
    <t>492.401.068-55</t>
  </si>
  <si>
    <t>477.273.828-88</t>
  </si>
  <si>
    <t>98730-1302</t>
  </si>
  <si>
    <t>94909-9110</t>
  </si>
  <si>
    <t>Natasha Julia de Paulo</t>
  </si>
  <si>
    <t>Mateus Daniel Amaral Silva</t>
  </si>
  <si>
    <t>mamar006</t>
  </si>
  <si>
    <t>ndepa001</t>
  </si>
  <si>
    <t>phdocarmo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</si>
</sst>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#,"/>
    <numFmt numFmtId="166" formatCode="_(* #,##0.0_);_(* \(#,##0.00\);_(* &quot;-&quot;??_);_(@_)"/>
    <numFmt numFmtId="167" formatCode="General_)"/>
    <numFmt numFmtId="168" formatCode="0.000"/>
    <numFmt numFmtId="169" formatCode="&quot;fl&quot;#,##0_);\(&quot;fl&quot;#,##0\)"/>
    <numFmt numFmtId="170" formatCode="&quot;fl&quot;#,##0_);[Red]\(&quot;fl&quot;#,##0\)"/>
    <numFmt numFmtId="171" formatCode="&quot;fl&quot;#,##0.00_);\(&quot;fl&quot;#,##0.00\)"/>
    <numFmt numFmtId="172" formatCode="h:mm\ AM/PM_]"/>
    <numFmt numFmtId="173" formatCode="&quot;£&quot;#,##0;\-&quot;£&quot;#,##0"/>
    <numFmt numFmtId="174" formatCode="_-* #,##0\ _F_-;\-* #,##0\ _F_-;_-* &quot;-&quot;\ _F_-;_-@_-"/>
    <numFmt numFmtId="175" formatCode="_-* #,##0.00\ _F_-;\-* #,##0.00\ _F_-;_-* &quot;-&quot;??\ _F_-;_-@_-"/>
    <numFmt numFmtId="176" formatCode="_-* #,##0\ &quot;F&quot;_-;\-* #,##0\ &quot;F&quot;_-;_-* &quot;-&quot;\ &quot;F&quot;_-;_-@_-"/>
    <numFmt numFmtId="177" formatCode="_-* #,##0.00\ &quot;F&quot;_-;\-* #,##0.00\ &quot;F&quot;_-;_-* &quot;-&quot;??\ &quot;F&quot;_-;_-@_-"/>
    <numFmt numFmtId="178" formatCode="0.00_)"/>
    <numFmt numFmtId="179" formatCode="\60\4\7\:"/>
    <numFmt numFmtId="180" formatCode="&quot;fl&quot;#,##0.00_);[Red]\(&quot;fl&quot;#,##0.00\)"/>
    <numFmt numFmtId="181" formatCode="_(&quot;fl&quot;* #,##0_);_(&quot;fl&quot;* \(#,##0\);_(&quot;fl&quot;* &quot;-&quot;_);_(@_)"/>
    <numFmt numFmtId="182" formatCode="&quot;R$ &quot;#,##0.00"/>
    <numFmt numFmtId="183" formatCode="\(00\)\ 0000\-0000"/>
    <numFmt numFmtId="184" formatCode="h:mm;@"/>
    <numFmt numFmtId="185" formatCode="dd/mm/yy;@"/>
    <numFmt numFmtId="186" formatCode="d/m/yy;@"/>
    <numFmt numFmtId="187" formatCode="0.0%"/>
    <numFmt numFmtId="188" formatCode="00000\-000"/>
    <numFmt numFmtId="189" formatCode="[h]:mm:ss;@"/>
    <numFmt numFmtId="190" formatCode="\(00\)\ 000\-000\-000"/>
    <numFmt numFmtId="191" formatCode="\(00\)\ 0\ 0000\-0000"/>
    <numFmt numFmtId="192" formatCode="00,000,000,0\-00"/>
    <numFmt numFmtId="193" formatCode="\(00\)\ 0000\ 0000"/>
    <numFmt numFmtId="194" formatCode="\(00\)\ 0\ 0000\ 0000"/>
    <numFmt numFmtId="195" formatCode="[$-409]d\-mmm\-yyyy;@"/>
    <numFmt numFmtId="196" formatCode="_(* #,##0.00_);_(* \(#,##0.00\);_(* &quot;-&quot;??_);_(@_)"/>
    <numFmt numFmtId="197" formatCode="&quot;Yes&quot;;&quot;Yes&quot;;&quot;No&quot;"/>
    <numFmt numFmtId="198" formatCode="[$-409]dd\-mmm\-yy;@"/>
    <numFmt numFmtId="199" formatCode="_-* #,##0.00\ &quot;€&quot;_-;\-* #,##0.00\ &quot;€&quot;_-;_-* &quot;-&quot;??\ &quot;€&quot;_-;_-@_-"/>
  </numFmts>
  <fonts count="110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MS Sans Serif"/>
      <family val="2"/>
    </font>
    <font>
      <sz val="1"/>
      <color indexed="8"/>
      <name val="Courier"/>
      <family val="3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Times New Roman"/>
      <family val="1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2"/>
      <name val="Times New Roman"/>
      <family val="1"/>
    </font>
    <font>
      <sz val="10"/>
      <name val="CG Times (WN)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0"/>
      <color indexed="9"/>
      <name val="Arial"/>
      <family val="2"/>
    </font>
    <font>
      <sz val="8"/>
      <name val="Tahoma"/>
      <family val="2"/>
    </font>
    <font>
      <sz val="8.5"/>
      <name val="Times New Roman"/>
      <family val="1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0"/>
      <color theme="1"/>
      <name val="Trebuchet MS"/>
      <family val="2"/>
    </font>
    <font>
      <sz val="10"/>
      <name val="Trebuchet MS"/>
      <family val="2"/>
    </font>
    <font>
      <b/>
      <sz val="10"/>
      <color theme="1"/>
      <name val="Trebuchet MS"/>
      <family val="2"/>
    </font>
    <font>
      <b/>
      <sz val="10"/>
      <color rgb="FFC00000"/>
      <name val="Trebuchet MS"/>
      <family val="2"/>
    </font>
    <font>
      <b/>
      <sz val="22"/>
      <color rgb="FFC00000"/>
      <name val="Trebuchet MS"/>
      <family val="2"/>
    </font>
    <font>
      <b/>
      <sz val="10"/>
      <color theme="0"/>
      <name val="Trebuchet MS"/>
      <family val="2"/>
    </font>
    <font>
      <sz val="10"/>
      <color theme="0"/>
      <name val="Trebuchet MS"/>
      <family val="2"/>
    </font>
    <font>
      <sz val="11"/>
      <color theme="1"/>
      <name val="Trebuchet MS"/>
      <family val="2"/>
    </font>
    <font>
      <sz val="9"/>
      <name val="Trebuchet MS"/>
      <family val="2"/>
    </font>
    <font>
      <b/>
      <sz val="11"/>
      <color rgb="FFC00000"/>
      <name val="Trebuchet MS"/>
      <family val="2"/>
    </font>
    <font>
      <sz val="11"/>
      <color theme="1"/>
      <name val="Calibri"/>
      <family val="2"/>
      <scheme val="minor"/>
    </font>
    <font>
      <sz val="10"/>
      <color rgb="FFFF0000"/>
      <name val="Trebuchet MS"/>
      <family val="2"/>
    </font>
    <font>
      <b/>
      <sz val="12"/>
      <name val="Trebuchet MS"/>
      <family val="2"/>
    </font>
    <font>
      <b/>
      <sz val="12"/>
      <color theme="1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2"/>
      <color theme="0"/>
      <name val="Trebuchet MS"/>
      <family val="2"/>
    </font>
    <font>
      <b/>
      <sz val="12"/>
      <color theme="0"/>
      <name val="Trebuchet MS"/>
      <family val="2"/>
    </font>
    <font>
      <b/>
      <sz val="11"/>
      <color theme="1"/>
      <name val="Calibri"/>
      <family val="2"/>
      <scheme val="minor"/>
    </font>
    <font>
      <sz val="10"/>
      <color rgb="FFC00000"/>
      <name val="Trebuchet MS"/>
      <family val="2"/>
    </font>
    <font>
      <sz val="12"/>
      <name val="Times New Roman"/>
      <family val="1"/>
    </font>
    <font>
      <sz val="11"/>
      <color indexed="56"/>
      <name val="Calibri"/>
      <family val="2"/>
    </font>
    <font>
      <b/>
      <sz val="11"/>
      <color indexed="13"/>
      <name val="Calibri"/>
      <family val="2"/>
    </font>
    <font>
      <sz val="11"/>
      <color indexed="13"/>
      <name val="Calibri"/>
      <family val="2"/>
    </font>
    <font>
      <sz val="11"/>
      <color indexed="16"/>
      <name val="Calibri"/>
      <family val="2"/>
    </font>
    <font>
      <sz val="11"/>
      <color indexed="50"/>
      <name val="Calibri"/>
      <family val="2"/>
    </font>
    <font>
      <b/>
      <sz val="15"/>
      <color indexed="21"/>
      <name val="Calibri"/>
      <family val="2"/>
    </font>
    <font>
      <b/>
      <sz val="18"/>
      <color indexed="21"/>
      <name val="Cambria"/>
      <family val="2"/>
    </font>
    <font>
      <b/>
      <sz val="13"/>
      <color indexed="21"/>
      <name val="Calibri"/>
      <family val="2"/>
    </font>
    <font>
      <b/>
      <sz val="11"/>
      <color indexed="21"/>
      <name val="Calibri"/>
      <family val="2"/>
    </font>
    <font>
      <b/>
      <sz val="11"/>
      <color indexed="8"/>
      <name val="Calibri"/>
      <family val="2"/>
    </font>
    <font>
      <sz val="11"/>
      <color indexed="37"/>
      <name val="Calibri"/>
      <family val="2"/>
    </font>
    <font>
      <b/>
      <sz val="11"/>
      <color indexed="53"/>
      <name val="Calibri"/>
      <family val="2"/>
    </font>
    <font>
      <sz val="10"/>
      <name val="Helv"/>
      <charset val="204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3"/>
      <name val="Calibri"/>
      <family val="2"/>
    </font>
    <font>
      <b/>
      <sz val="18"/>
      <color indexed="62"/>
      <name val="Cambri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MS Sans Serif"/>
      <family val="2"/>
    </font>
    <font>
      <sz val="10"/>
      <color indexed="10"/>
      <name val="Arial"/>
      <family val="2"/>
    </font>
    <font>
      <sz val="11"/>
      <color indexed="8"/>
      <name val="Calibri"/>
      <family val="2"/>
      <charset val="1"/>
    </font>
    <font>
      <u/>
      <sz val="10"/>
      <color indexed="12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8.8000000000000007"/>
      <color theme="1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9"/>
      <name val="Trebuchet MS"/>
      <family val="2"/>
    </font>
    <font>
      <b/>
      <sz val="18"/>
      <color rgb="FFC00000"/>
      <name val="Trebuchet MS"/>
      <family val="2"/>
    </font>
    <font>
      <b/>
      <sz val="15"/>
      <color rgb="FFC00000"/>
      <name val="Trebuchet MS"/>
      <family val="2"/>
    </font>
    <font>
      <sz val="9"/>
      <color theme="0"/>
      <name val="Trebuchet MS"/>
      <family val="2"/>
    </font>
    <font>
      <sz val="10"/>
      <color theme="1"/>
      <name val="Times New Roman"/>
      <family val="1"/>
    </font>
    <font>
      <sz val="11"/>
      <color rgb="FFE60031"/>
      <name val="Calibri"/>
      <family val="2"/>
    </font>
  </fonts>
  <fills count="11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rgb="FFC7002B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indexed="40"/>
        <bgColor indexed="57"/>
      </patternFill>
    </fill>
    <fill>
      <patternFill patternType="solid">
        <fgColor indexed="57"/>
        <bgColor indexed="40"/>
      </patternFill>
    </fill>
    <fill>
      <patternFill patternType="solid">
        <fgColor indexed="31"/>
        <bgColor indexed="44"/>
      </patternFill>
    </fill>
    <fill>
      <patternFill patternType="solid">
        <fgColor indexed="26"/>
        <bgColor indexed="40"/>
      </patternFill>
    </fill>
    <fill>
      <patternFill patternType="solid">
        <fgColor indexed="44"/>
        <bgColor indexed="41"/>
      </patternFill>
    </fill>
    <fill>
      <patternFill patternType="solid">
        <fgColor indexed="47"/>
        <bgColor indexed="49"/>
      </patternFill>
    </fill>
    <fill>
      <patternFill patternType="solid">
        <fgColor indexed="53"/>
        <bgColor indexed="42"/>
      </patternFill>
    </fill>
    <fill>
      <patternFill patternType="solid">
        <fgColor indexed="35"/>
        <bgColor indexed="15"/>
      </patternFill>
    </fill>
    <fill>
      <patternFill patternType="solid">
        <fgColor indexed="43"/>
        <bgColor indexed="26"/>
      </patternFill>
    </fill>
    <fill>
      <patternFill patternType="solid">
        <fgColor indexed="22"/>
        <bgColor indexed="46"/>
      </patternFill>
    </fill>
    <fill>
      <patternFill patternType="solid">
        <fgColor indexed="51"/>
        <bgColor indexed="47"/>
      </patternFill>
    </fill>
    <fill>
      <patternFill patternType="solid">
        <fgColor indexed="49"/>
        <bgColor indexed="47"/>
      </patternFill>
    </fill>
    <fill>
      <patternFill patternType="solid">
        <fgColor indexed="46"/>
        <bgColor indexed="22"/>
      </patternFill>
    </fill>
    <fill>
      <patternFill patternType="solid">
        <fgColor indexed="42"/>
        <bgColor indexed="41"/>
      </patternFill>
    </fill>
    <fill>
      <patternFill patternType="solid">
        <fgColor indexed="48"/>
        <bgColor indexed="40"/>
      </patternFill>
    </fill>
    <fill>
      <patternFill patternType="solid">
        <fgColor indexed="23"/>
        <bgColor indexed="54"/>
      </patternFill>
    </fill>
    <fill>
      <patternFill patternType="solid">
        <fgColor indexed="52"/>
        <bgColor indexed="29"/>
      </patternFill>
    </fill>
    <fill>
      <patternFill patternType="solid">
        <fgColor indexed="29"/>
        <bgColor indexed="24"/>
      </patternFill>
    </fill>
    <fill>
      <patternFill patternType="solid">
        <fgColor indexed="54"/>
        <bgColor indexed="23"/>
      </patternFill>
    </fill>
    <fill>
      <patternFill patternType="solid">
        <fgColor indexed="15"/>
        <bgColor indexed="35"/>
      </patternFill>
    </fill>
    <fill>
      <patternFill patternType="solid">
        <fgColor indexed="34"/>
        <bgColor indexed="13"/>
      </patternFill>
    </fill>
    <fill>
      <patternFill patternType="solid">
        <fgColor indexed="45"/>
        <bgColor indexed="51"/>
      </patternFill>
    </fill>
    <fill>
      <patternFill patternType="solid">
        <fgColor indexed="41"/>
        <bgColor indexed="9"/>
      </patternFill>
    </fill>
    <fill>
      <patternFill patternType="solid">
        <fgColor indexed="31"/>
        <bgColor indexed="47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31"/>
      </patternFill>
    </fill>
    <fill>
      <patternFill patternType="solid">
        <fgColor indexed="22"/>
        <bgColor indexed="31"/>
      </patternFill>
    </fill>
    <fill>
      <patternFill patternType="solid">
        <fgColor indexed="44"/>
        <bgColor indexed="22"/>
      </patternFill>
    </fill>
    <fill>
      <patternFill patternType="solid">
        <fgColor indexed="49"/>
        <bgColor indexed="40"/>
      </patternFill>
    </fill>
    <fill>
      <patternFill patternType="solid">
        <fgColor indexed="10"/>
        <bgColor indexed="37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26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</fills>
  <borders count="1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theme="1" tint="0.499984740745262"/>
      </left>
      <right style="medium">
        <color theme="0" tint="-4.9989318521683403E-2"/>
      </right>
      <top style="medium">
        <color theme="1" tint="0.499984740745262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1" tint="0.499984740745262"/>
      </top>
      <bottom/>
      <diagonal/>
    </border>
    <border>
      <left style="medium">
        <color theme="0" tint="-4.9989318521683403E-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hair">
        <color theme="0" tint="-0.499984740745262"/>
      </top>
      <bottom style="medium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/>
      <bottom style="hair">
        <color theme="1" tint="0.499984740745262"/>
      </bottom>
      <diagonal/>
    </border>
    <border>
      <left style="medium">
        <color theme="1" tint="0.499984740745262"/>
      </left>
      <right style="medium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medium">
        <color theme="0" tint="-4.9989318521683403E-2"/>
      </left>
      <right/>
      <top style="medium">
        <color theme="1" tint="0.499984740745262"/>
      </top>
      <bottom/>
      <diagonal/>
    </border>
    <border>
      <left style="thick">
        <color theme="0" tint="-4.9989318521683403E-2"/>
      </left>
      <right/>
      <top style="thick">
        <color theme="0" tint="-4.9989318521683403E-2"/>
      </top>
      <bottom style="medium">
        <color theme="1" tint="0.499984740745262"/>
      </bottom>
      <diagonal/>
    </border>
    <border>
      <left/>
      <right style="thick">
        <color theme="0" tint="-4.9989318521683403E-2"/>
      </right>
      <top style="thick">
        <color theme="0" tint="-4.9989318521683403E-2"/>
      </top>
      <bottom style="medium">
        <color theme="1" tint="0.499984740745262"/>
      </bottom>
      <diagonal/>
    </border>
    <border>
      <left style="medium">
        <color theme="1" tint="0.499984740745262"/>
      </left>
      <right style="medium">
        <color theme="0" tint="-4.9989318521683403E-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 tint="-4.9989318521683403E-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 tint="-4.9989318521683403E-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/>
      <bottom style="double">
        <color indexed="13"/>
      </bottom>
      <diagonal/>
    </border>
    <border>
      <left/>
      <right/>
      <top/>
      <bottom style="thick">
        <color indexed="23"/>
      </bottom>
      <diagonal/>
    </border>
    <border>
      <left/>
      <right/>
      <top/>
      <bottom style="medium">
        <color indexed="22"/>
      </bottom>
      <diagonal/>
    </border>
    <border>
      <left/>
      <right/>
      <top style="thin">
        <color indexed="23"/>
      </top>
      <bottom style="double">
        <color indexed="2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23"/>
      </top>
      <bottom style="double">
        <color indexed="23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medium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/>
      <right style="medium">
        <color theme="0" tint="-4.9989318521683403E-2"/>
      </right>
      <top style="medium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hair">
        <color theme="1" tint="0.499984740745262"/>
      </right>
      <top style="hair">
        <color theme="1" tint="0.499984740745262"/>
      </top>
      <bottom style="medium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medium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medium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medium">
        <color theme="1" tint="0.499984740745262"/>
      </bottom>
      <diagonal/>
    </border>
    <border>
      <left style="hair">
        <color theme="1" tint="0.499984740745262"/>
      </left>
      <right style="medium">
        <color theme="1" tint="0.499984740745262"/>
      </right>
      <top style="hair">
        <color theme="1" tint="0.499984740745262"/>
      </top>
      <bottom style="medium">
        <color theme="1" tint="0.499984740745262"/>
      </bottom>
      <diagonal/>
    </border>
    <border>
      <left style="medium">
        <color theme="0" tint="-0.34998626667073579"/>
      </left>
      <right style="hair">
        <color theme="0" tint="-0.34998626667073579"/>
      </right>
      <top style="medium">
        <color theme="0" tint="-0.34998626667073579"/>
      </top>
      <bottom/>
      <diagonal/>
    </border>
    <border>
      <left/>
      <right style="hair">
        <color theme="0" tint="-0.34998626667073579"/>
      </right>
      <top style="medium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34998626667073579"/>
      </top>
      <bottom/>
      <diagonal/>
    </border>
    <border>
      <left style="hair">
        <color theme="0" tint="-0.34998626667073579"/>
      </left>
      <right/>
      <top style="medium">
        <color theme="0" tint="-0.34998626667073579"/>
      </top>
      <bottom/>
      <diagonal/>
    </border>
    <border>
      <left style="hair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hair">
        <color theme="0" tint="-0.34998626667073579"/>
      </right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/>
      <top/>
      <bottom/>
      <diagonal/>
    </border>
    <border>
      <left style="hair">
        <color theme="0" tint="-0.34998626667073579"/>
      </left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 style="hair">
        <color theme="0" tint="-0.34998626667073579"/>
      </right>
      <top/>
      <bottom style="medium">
        <color theme="0" tint="-0.34998626667073579"/>
      </bottom>
      <diagonal/>
    </border>
    <border>
      <left/>
      <right style="hair">
        <color theme="0" tint="-0.34998626667073579"/>
      </right>
      <top/>
      <bottom style="medium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medium">
        <color theme="0" tint="-0.34998626667073579"/>
      </bottom>
      <diagonal/>
    </border>
    <border>
      <left style="hair">
        <color theme="0" tint="-0.34998626667073579"/>
      </left>
      <right/>
      <top/>
      <bottom style="medium">
        <color theme="0" tint="-0.34998626667073579"/>
      </bottom>
      <diagonal/>
    </border>
    <border>
      <left style="hair">
        <color theme="0" tint="-0.34998626667073579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 style="medium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medium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 style="medium">
        <color theme="1" tint="0.499984740745262"/>
      </left>
      <right style="hair">
        <color theme="1" tint="0.499984740745262"/>
      </right>
      <top style="hair">
        <color theme="1" tint="0.499984740745262"/>
      </top>
      <bottom style="medium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medium">
        <color indexed="64"/>
      </bottom>
      <diagonal/>
    </border>
    <border>
      <left style="hair">
        <color theme="1" tint="0.499984740745262"/>
      </left>
      <right style="medium">
        <color theme="1" tint="0.499984740745262"/>
      </right>
      <top style="hair">
        <color theme="1" tint="0.499984740745262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indexed="64"/>
      </left>
      <right style="medium">
        <color theme="0" tint="-4.9989318521683403E-2"/>
      </right>
      <top style="medium">
        <color indexed="64"/>
      </top>
      <bottom/>
      <diagonal/>
    </border>
    <border>
      <left/>
      <right style="medium">
        <color theme="0" tint="-4.9989318521683403E-2"/>
      </right>
      <top style="medium">
        <color indexed="64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indexed="64"/>
      </top>
      <bottom/>
      <diagonal/>
    </border>
    <border>
      <left style="medium">
        <color theme="0" tint="-4.9989318521683403E-2"/>
      </left>
      <right/>
      <top style="medium">
        <color indexed="64"/>
      </top>
      <bottom/>
      <diagonal/>
    </border>
    <border>
      <left style="medium">
        <color theme="0" tint="-4.9989318521683403E-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medium">
        <color indexed="64"/>
      </right>
      <top style="hair">
        <color theme="1" tint="0.499984740745262"/>
      </top>
      <bottom style="hair">
        <color theme="1" tint="0.499984740745262"/>
      </bottom>
      <diagonal/>
    </border>
    <border>
      <left style="medium">
        <color indexed="64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medium">
        <color indexed="64"/>
      </right>
      <top style="hair">
        <color theme="1" tint="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499984740745262"/>
      </left>
      <right style="thin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hair">
        <color theme="0" tint="-0.499984740745262"/>
      </top>
      <bottom style="thin">
        <color indexed="64"/>
      </bottom>
      <diagonal/>
    </border>
    <border>
      <left style="medium">
        <color theme="0" tint="-0.499984740745262"/>
      </left>
      <right style="thin">
        <color indexed="64"/>
      </right>
      <top style="hair">
        <color theme="0" tint="-0.499984740745262"/>
      </top>
      <bottom style="thin">
        <color indexed="64"/>
      </bottom>
      <diagonal/>
    </border>
    <border>
      <left/>
      <right style="medium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medium">
        <color theme="0" tint="-0.499984740745262"/>
      </right>
      <top style="hair">
        <color theme="0" tint="-0.499984740745262"/>
      </top>
      <bottom style="thin">
        <color indexed="64"/>
      </bottom>
      <diagonal/>
    </border>
    <border>
      <left style="medium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medium">
        <color theme="0" tint="-0.499984740745262"/>
      </left>
      <right/>
      <top style="hair">
        <color theme="0" tint="-0.499984740745262"/>
      </top>
      <bottom style="thin">
        <color indexed="64"/>
      </bottom>
      <diagonal/>
    </border>
    <border>
      <left/>
      <right style="medium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hair">
        <color theme="0" tint="-0.499984740745262"/>
      </bottom>
      <diagonal/>
    </border>
    <border>
      <left style="medium">
        <color theme="0" tint="-0.499984740745262"/>
      </left>
      <right/>
      <top/>
      <bottom style="hair">
        <color theme="0" tint="-0.499984740745262"/>
      </bottom>
      <diagonal/>
    </border>
    <border>
      <left style="medium">
        <color theme="0" tint="-0.499984740745262"/>
      </left>
      <right style="thin">
        <color indexed="64"/>
      </right>
      <top/>
      <bottom style="hair">
        <color theme="0" tint="-0.499984740745262"/>
      </bottom>
      <diagonal/>
    </border>
    <border>
      <left style="medium">
        <color theme="0" tint="-4.9989318521683403E-2"/>
      </left>
      <right/>
      <top style="medium">
        <color theme="1" tint="0.499984740745262"/>
      </top>
      <bottom style="thin">
        <color auto="1"/>
      </bottom>
      <diagonal/>
    </border>
    <border>
      <left/>
      <right style="medium">
        <color theme="0" tint="-4.9989318521683403E-2"/>
      </right>
      <top style="medium">
        <color theme="1" tint="0.499984740745262"/>
      </top>
      <bottom style="thin">
        <color auto="1"/>
      </bottom>
      <diagonal/>
    </border>
  </borders>
  <cellStyleXfs count="12283">
    <xf numFmtId="0" fontId="0" fillId="0" borderId="0"/>
    <xf numFmtId="0" fontId="1" fillId="0" borderId="0"/>
    <xf numFmtId="0" fontId="2" fillId="0" borderId="0"/>
    <xf numFmtId="165" fontId="3" fillId="0" borderId="0">
      <protection locked="0"/>
    </xf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7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21" borderId="0" applyNumberFormat="0" applyBorder="0" applyAlignment="0" applyProtection="0"/>
    <xf numFmtId="0" fontId="6" fillId="5" borderId="0" applyNumberFormat="0" applyBorder="0" applyAlignment="0" applyProtection="0"/>
    <xf numFmtId="40" fontId="7" fillId="0" borderId="0"/>
    <xf numFmtId="166" fontId="8" fillId="0" borderId="0" applyFill="0" applyBorder="0" applyAlignment="0"/>
    <xf numFmtId="167" fontId="8" fillId="0" borderId="0" applyFill="0" applyBorder="0" applyAlignment="0"/>
    <xf numFmtId="168" fontId="8" fillId="0" borderId="0" applyFill="0" applyBorder="0" applyAlignment="0"/>
    <xf numFmtId="169" fontId="8" fillId="0" borderId="0" applyFill="0" applyBorder="0" applyAlignment="0"/>
    <xf numFmtId="170" fontId="8" fillId="0" borderId="0" applyFill="0" applyBorder="0" applyAlignment="0"/>
    <xf numFmtId="166" fontId="8" fillId="0" borderId="0" applyFill="0" applyBorder="0" applyAlignment="0"/>
    <xf numFmtId="171" fontId="8" fillId="0" borderId="0" applyFill="0" applyBorder="0" applyAlignment="0"/>
    <xf numFmtId="167" fontId="8" fillId="0" borderId="0" applyFill="0" applyBorder="0" applyAlignment="0"/>
    <xf numFmtId="0" fontId="9" fillId="22" borderId="1" applyNumberFormat="0" applyAlignment="0" applyProtection="0"/>
    <xf numFmtId="0" fontId="10" fillId="23" borderId="2" applyNumberFormat="0" applyAlignment="0" applyProtection="0"/>
    <xf numFmtId="166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72" fontId="8" fillId="0" borderId="0" applyFont="0" applyBorder="0" applyAlignment="0">
      <alignment horizontal="center"/>
    </xf>
    <xf numFmtId="14" fontId="11" fillId="0" borderId="0" applyFill="0" applyBorder="0" applyAlignment="0"/>
    <xf numFmtId="173" fontId="7" fillId="0" borderId="3">
      <alignment vertical="center"/>
    </xf>
    <xf numFmtId="166" fontId="8" fillId="0" borderId="0" applyFill="0" applyBorder="0" applyAlignment="0"/>
    <xf numFmtId="167" fontId="8" fillId="0" borderId="0" applyFill="0" applyBorder="0" applyAlignment="0"/>
    <xf numFmtId="166" fontId="8" fillId="0" borderId="0" applyFill="0" applyBorder="0" applyAlignment="0"/>
    <xf numFmtId="171" fontId="8" fillId="0" borderId="0" applyFill="0" applyBorder="0" applyAlignment="0"/>
    <xf numFmtId="167" fontId="8" fillId="0" borderId="0" applyFill="0" applyBorder="0" applyAlignment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38" fontId="14" fillId="24" borderId="0" applyNumberFormat="0" applyBorder="0" applyAlignment="0" applyProtection="0"/>
    <xf numFmtId="38" fontId="14" fillId="24" borderId="0" applyNumberFormat="0" applyBorder="0" applyAlignment="0" applyProtection="0"/>
    <xf numFmtId="0" fontId="15" fillId="0" borderId="4" applyNumberFormat="0" applyAlignment="0" applyProtection="0">
      <alignment horizontal="left" vertical="center"/>
    </xf>
    <xf numFmtId="0" fontId="15" fillId="0" borderId="5">
      <alignment horizontal="left" vertical="center"/>
    </xf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9" borderId="1" applyNumberFormat="0" applyAlignment="0" applyProtection="0"/>
    <xf numFmtId="10" fontId="14" fillId="25" borderId="9" applyNumberFormat="0" applyBorder="0" applyAlignment="0" applyProtection="0"/>
    <xf numFmtId="10" fontId="14" fillId="25" borderId="9" applyNumberFormat="0" applyBorder="0" applyAlignment="0" applyProtection="0"/>
    <xf numFmtId="166" fontId="8" fillId="0" borderId="0" applyFill="0" applyBorder="0" applyAlignment="0"/>
    <xf numFmtId="167" fontId="8" fillId="0" borderId="0" applyFill="0" applyBorder="0" applyAlignment="0"/>
    <xf numFmtId="166" fontId="8" fillId="0" borderId="0" applyFill="0" applyBorder="0" applyAlignment="0"/>
    <xf numFmtId="171" fontId="8" fillId="0" borderId="0" applyFill="0" applyBorder="0" applyAlignment="0"/>
    <xf numFmtId="167" fontId="8" fillId="0" borderId="0" applyFill="0" applyBorder="0" applyAlignment="0"/>
    <xf numFmtId="0" fontId="20" fillId="0" borderId="10" applyNumberFormat="0" applyFill="0" applyAlignment="0" applyProtection="0"/>
    <xf numFmtId="174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3" fontId="21" fillId="0" borderId="0"/>
    <xf numFmtId="1" fontId="22" fillId="0" borderId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23" fillId="26" borderId="0" applyNumberFormat="0" applyBorder="0" applyAlignment="0" applyProtection="0"/>
    <xf numFmtId="37" fontId="24" fillId="0" borderId="0"/>
    <xf numFmtId="0" fontId="2" fillId="0" borderId="0"/>
    <xf numFmtId="178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7" borderId="11" applyNumberFormat="0" applyFont="0" applyAlignment="0" applyProtection="0"/>
    <xf numFmtId="0" fontId="26" fillId="22" borderId="12" applyNumberFormat="0" applyAlignment="0" applyProtection="0"/>
    <xf numFmtId="40" fontId="11" fillId="28" borderId="0">
      <alignment horizontal="right"/>
    </xf>
    <xf numFmtId="0" fontId="27" fillId="29" borderId="0">
      <alignment horizontal="center"/>
    </xf>
    <xf numFmtId="0" fontId="28" fillId="30" borderId="0"/>
    <xf numFmtId="170" fontId="8" fillId="0" borderId="0" applyFont="0" applyFill="0" applyBorder="0" applyAlignment="0" applyProtection="0"/>
    <xf numFmtId="179" fontId="8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9" fillId="0" borderId="0" applyFont="0" applyFill="0" applyBorder="0" applyAlignment="0" applyProtection="0"/>
    <xf numFmtId="166" fontId="8" fillId="0" borderId="0" applyFill="0" applyBorder="0" applyAlignment="0"/>
    <xf numFmtId="167" fontId="8" fillId="0" borderId="0" applyFill="0" applyBorder="0" applyAlignment="0"/>
    <xf numFmtId="166" fontId="8" fillId="0" borderId="0" applyFill="0" applyBorder="0" applyAlignment="0"/>
    <xf numFmtId="171" fontId="8" fillId="0" borderId="0" applyFill="0" applyBorder="0" applyAlignment="0"/>
    <xf numFmtId="167" fontId="8" fillId="0" borderId="0" applyFill="0" applyBorder="0" applyAlignment="0"/>
    <xf numFmtId="0" fontId="1" fillId="0" borderId="13" applyFont="0" applyFill="0" applyBorder="0"/>
    <xf numFmtId="43" fontId="14" fillId="0" borderId="0" applyFont="0" applyFill="0" applyBorder="0" applyAlignment="0" applyProtection="0"/>
    <xf numFmtId="49" fontId="11" fillId="0" borderId="0" applyFill="0" applyBorder="0" applyAlignment="0"/>
    <xf numFmtId="180" fontId="8" fillId="0" borderId="0" applyFill="0" applyBorder="0" applyAlignment="0"/>
    <xf numFmtId="181" fontId="8" fillId="0" borderId="0" applyFill="0" applyBorder="0" applyAlignment="0"/>
    <xf numFmtId="38" fontId="7" fillId="0" borderId="0"/>
    <xf numFmtId="38" fontId="30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0" borderId="0"/>
    <xf numFmtId="0" fontId="4" fillId="0" borderId="0"/>
    <xf numFmtId="0" fontId="53" fillId="0" borderId="0" applyNumberFormat="0" applyFill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45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5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5" borderId="0" applyNumberFormat="0" applyBorder="0" applyAlignment="0" applyProtection="0"/>
    <xf numFmtId="0" fontId="5" fillId="50" borderId="0" applyNumberFormat="0" applyBorder="0" applyAlignment="0" applyProtection="0"/>
    <xf numFmtId="0" fontId="5" fillId="48" borderId="0" applyNumberFormat="0" applyBorder="0" applyAlignment="0" applyProtection="0"/>
    <xf numFmtId="0" fontId="54" fillId="56" borderId="0" applyNumberFormat="0" applyBorder="0" applyAlignment="0" applyProtection="0"/>
    <xf numFmtId="0" fontId="55" fillId="57" borderId="1" applyNumberFormat="0" applyAlignment="0" applyProtection="0"/>
    <xf numFmtId="0" fontId="55" fillId="57" borderId="1" applyNumberFormat="0" applyAlignment="0" applyProtection="0"/>
    <xf numFmtId="0" fontId="55" fillId="57" borderId="1" applyNumberFormat="0" applyAlignment="0" applyProtection="0"/>
    <xf numFmtId="0" fontId="10" fillId="52" borderId="2" applyNumberFormat="0" applyAlignment="0" applyProtection="0"/>
    <xf numFmtId="0" fontId="56" fillId="0" borderId="32" applyNumberFormat="0" applyFill="0" applyAlignment="0" applyProtection="0"/>
    <xf numFmtId="0" fontId="5" fillId="58" borderId="0" applyNumberFormat="0" applyBorder="0" applyAlignment="0" applyProtection="0"/>
    <xf numFmtId="0" fontId="5" fillId="59" borderId="0" applyNumberFormat="0" applyBorder="0" applyAlignment="0" applyProtection="0"/>
    <xf numFmtId="0" fontId="5" fillId="60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0" fontId="5" fillId="63" borderId="0" applyNumberFormat="0" applyBorder="0" applyAlignment="0" applyProtection="0"/>
    <xf numFmtId="0" fontId="19" fillId="51" borderId="1" applyNumberFormat="0" applyAlignment="0" applyProtection="0"/>
    <xf numFmtId="0" fontId="19" fillId="51" borderId="1" applyNumberFormat="0" applyAlignment="0" applyProtection="0"/>
    <xf numFmtId="0" fontId="19" fillId="51" borderId="1" applyNumberFormat="0" applyAlignment="0" applyProtection="0"/>
    <xf numFmtId="0" fontId="15" fillId="0" borderId="4" applyNumberFormat="0" applyAlignment="0" applyProtection="0">
      <alignment horizontal="left" vertical="center"/>
    </xf>
    <xf numFmtId="0" fontId="15" fillId="0" borderId="4" applyNumberFormat="0" applyAlignment="0" applyProtection="0">
      <alignment horizontal="left" vertical="center"/>
    </xf>
    <xf numFmtId="0" fontId="15" fillId="0" borderId="5">
      <alignment horizontal="left" vertical="center"/>
    </xf>
    <xf numFmtId="0" fontId="57" fillId="64" borderId="0" applyNumberFormat="0" applyBorder="0" applyAlignment="0" applyProtection="0"/>
    <xf numFmtId="10" fontId="14" fillId="25" borderId="9" applyNumberFormat="0" applyBorder="0" applyAlignment="0" applyProtection="0"/>
    <xf numFmtId="10" fontId="14" fillId="25" borderId="9" applyNumberFormat="0" applyBorder="0" applyAlignment="0" applyProtection="0"/>
    <xf numFmtId="10" fontId="14" fillId="25" borderId="9" applyNumberFormat="0" applyBorder="0" applyAlignment="0" applyProtection="0"/>
    <xf numFmtId="10" fontId="14" fillId="25" borderId="9" applyNumberFormat="0" applyBorder="0" applyAlignment="0" applyProtection="0"/>
    <xf numFmtId="0" fontId="58" fillId="5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11" applyNumberFormat="0" applyAlignment="0" applyProtection="0"/>
    <xf numFmtId="0" fontId="1" fillId="46" borderId="11" applyNumberFormat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13" applyFont="0" applyFill="0" applyBorder="0"/>
    <xf numFmtId="0" fontId="1" fillId="0" borderId="13" applyFont="0" applyFill="0" applyBorder="0"/>
    <xf numFmtId="0" fontId="26" fillId="57" borderId="12" applyNumberFormat="0" applyAlignment="0" applyProtection="0"/>
    <xf numFmtId="0" fontId="26" fillId="57" borderId="12" applyNumberFormat="0" applyAlignment="0" applyProtection="0"/>
    <xf numFmtId="0" fontId="56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9" fillId="0" borderId="33" applyNumberFormat="0" applyFill="0" applyAlignment="0" applyProtection="0"/>
    <xf numFmtId="0" fontId="60" fillId="0" borderId="0" applyNumberFormat="0" applyFill="0" applyBorder="0" applyAlignment="0" applyProtection="0"/>
    <xf numFmtId="0" fontId="61" fillId="0" borderId="7" applyNumberFormat="0" applyFill="0" applyAlignment="0" applyProtection="0"/>
    <xf numFmtId="0" fontId="62" fillId="0" borderId="34" applyNumberFormat="0" applyFill="0" applyAlignment="0" applyProtection="0"/>
    <xf numFmtId="0" fontId="6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3" fillId="0" borderId="35" applyNumberFormat="0" applyFill="0" applyAlignment="0" applyProtection="0"/>
    <xf numFmtId="0" fontId="63" fillId="0" borderId="35" applyNumberFormat="0" applyFill="0" applyAlignment="0" applyProtection="0"/>
    <xf numFmtId="164" fontId="1" fillId="0" borderId="0" applyFont="0" applyFill="0" applyBorder="0" applyAlignment="0" applyProtection="0"/>
    <xf numFmtId="0" fontId="4" fillId="65" borderId="0" applyNumberFormat="0" applyBorder="0" applyAlignment="0" applyProtection="0"/>
    <xf numFmtId="0" fontId="4" fillId="66" borderId="0" applyNumberFormat="0" applyBorder="0" applyAlignment="0" applyProtection="0"/>
    <xf numFmtId="0" fontId="4" fillId="66" borderId="0" applyNumberFormat="0" applyBorder="0" applyAlignment="0" applyProtection="0"/>
    <xf numFmtId="0" fontId="4" fillId="65" borderId="0" applyNumberFormat="0" applyBorder="0" applyAlignment="0" applyProtection="0"/>
    <xf numFmtId="0" fontId="4" fillId="67" borderId="0" applyNumberFormat="0" applyBorder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66" borderId="0" applyNumberFormat="0" applyBorder="0" applyAlignment="0" applyProtection="0"/>
    <xf numFmtId="0" fontId="4" fillId="66" borderId="0" applyNumberFormat="0" applyBorder="0" applyAlignment="0" applyProtection="0"/>
    <xf numFmtId="0" fontId="4" fillId="69" borderId="0" applyNumberFormat="0" applyBorder="0" applyAlignment="0" applyProtection="0"/>
    <xf numFmtId="0" fontId="4" fillId="70" borderId="0" applyNumberFormat="0" applyBorder="0" applyAlignment="0" applyProtection="0"/>
    <xf numFmtId="0" fontId="4" fillId="68" borderId="0" applyNumberFormat="0" applyBorder="0" applyAlignment="0" applyProtection="0"/>
    <xf numFmtId="0" fontId="5" fillId="71" borderId="0" applyNumberFormat="0" applyBorder="0" applyAlignment="0" applyProtection="0"/>
    <xf numFmtId="0" fontId="5" fillId="66" borderId="0" applyNumberFormat="0" applyBorder="0" applyAlignment="0" applyProtection="0"/>
    <xf numFmtId="0" fontId="5" fillId="66" borderId="0" applyNumberFormat="0" applyBorder="0" applyAlignment="0" applyProtection="0"/>
    <xf numFmtId="0" fontId="5" fillId="69" borderId="0" applyNumberFormat="0" applyBorder="0" applyAlignment="0" applyProtection="0"/>
    <xf numFmtId="0" fontId="5" fillId="71" borderId="0" applyNumberFormat="0" applyBorder="0" applyAlignment="0" applyProtection="0"/>
    <xf numFmtId="0" fontId="5" fillId="68" borderId="0" applyNumberFormat="0" applyBorder="0" applyAlignment="0" applyProtection="0"/>
    <xf numFmtId="0" fontId="5" fillId="71" borderId="0" applyNumberFormat="0" applyBorder="0" applyAlignment="0" applyProtection="0"/>
    <xf numFmtId="0" fontId="5" fillId="72" borderId="0" applyNumberFormat="0" applyBorder="0" applyAlignment="0" applyProtection="0"/>
    <xf numFmtId="0" fontId="5" fillId="66" borderId="0" applyNumberFormat="0" applyBorder="0" applyAlignment="0" applyProtection="0"/>
    <xf numFmtId="0" fontId="5" fillId="61" borderId="0" applyNumberFormat="0" applyBorder="0" applyAlignment="0" applyProtection="0"/>
    <xf numFmtId="0" fontId="5" fillId="71" borderId="0" applyNumberFormat="0" applyBorder="0" applyAlignment="0" applyProtection="0"/>
    <xf numFmtId="0" fontId="5" fillId="73" borderId="0" applyNumberFormat="0" applyBorder="0" applyAlignment="0" applyProtection="0"/>
    <xf numFmtId="0" fontId="64" fillId="74" borderId="0" applyNumberFormat="0" applyBorder="0" applyAlignment="0" applyProtection="0"/>
    <xf numFmtId="0" fontId="65" fillId="65" borderId="1" applyNumberFormat="0" applyAlignment="0" applyProtection="0"/>
    <xf numFmtId="0" fontId="10" fillId="75" borderId="2" applyNumberFormat="0" applyAlignment="0" applyProtection="0"/>
    <xf numFmtId="0" fontId="66" fillId="0" borderId="0"/>
    <xf numFmtId="0" fontId="13" fillId="67" borderId="0" applyNumberFormat="0" applyBorder="0" applyAlignment="0" applyProtection="0"/>
    <xf numFmtId="0" fontId="67" fillId="0" borderId="36" applyNumberFormat="0" applyFill="0" applyAlignment="0" applyProtection="0"/>
    <xf numFmtId="0" fontId="68" fillId="0" borderId="7" applyNumberFormat="0" applyFill="0" applyAlignment="0" applyProtection="0"/>
    <xf numFmtId="0" fontId="69" fillId="0" borderId="37" applyNumberFormat="0" applyFill="0" applyAlignment="0" applyProtection="0"/>
    <xf numFmtId="0" fontId="69" fillId="0" borderId="0" applyNumberFormat="0" applyFill="0" applyBorder="0" applyAlignment="0" applyProtection="0"/>
    <xf numFmtId="0" fontId="19" fillId="68" borderId="1" applyNumberFormat="0" applyAlignment="0" applyProtection="0"/>
    <xf numFmtId="0" fontId="70" fillId="0" borderId="38" applyNumberFormat="0" applyFill="0" applyAlignment="0" applyProtection="0"/>
    <xf numFmtId="0" fontId="23" fillId="68" borderId="0" applyNumberFormat="0" applyBorder="0" applyAlignment="0" applyProtection="0"/>
    <xf numFmtId="0" fontId="1" fillId="0" borderId="0"/>
    <xf numFmtId="0" fontId="1" fillId="76" borderId="11" applyNumberFormat="0" applyAlignment="0" applyProtection="0"/>
    <xf numFmtId="0" fontId="26" fillId="65" borderId="12" applyNumberFormat="0" applyAlignment="0" applyProtection="0"/>
    <xf numFmtId="9" fontId="1" fillId="0" borderId="0" applyFill="0" applyBorder="0" applyAlignment="0" applyProtection="0"/>
    <xf numFmtId="0" fontId="1" fillId="0" borderId="0">
      <alignment horizontal="justify" vertical="top" textRotation="127" wrapText="1"/>
      <protection hidden="1"/>
    </xf>
    <xf numFmtId="0" fontId="71" fillId="0" borderId="0" applyNumberFormat="0" applyFill="0" applyBorder="0" applyAlignment="0" applyProtection="0"/>
    <xf numFmtId="0" fontId="43" fillId="0" borderId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7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21" borderId="0" applyNumberFormat="0" applyBorder="0" applyAlignment="0" applyProtection="0"/>
    <xf numFmtId="0" fontId="6" fillId="5" borderId="0" applyNumberFormat="0" applyBorder="0" applyAlignment="0" applyProtection="0"/>
    <xf numFmtId="0" fontId="9" fillId="22" borderId="40" applyNumberFormat="0" applyAlignment="0" applyProtection="0"/>
    <xf numFmtId="0" fontId="10" fillId="23" borderId="2" applyNumberFormat="0" applyAlignment="0" applyProtection="0"/>
    <xf numFmtId="0" fontId="19" fillId="9" borderId="40" applyNumberFormat="0" applyAlignment="0" applyProtection="0"/>
    <xf numFmtId="0" fontId="13" fillId="6" borderId="0" applyNumberFormat="0" applyBorder="0" applyAlignment="0" applyProtection="0"/>
    <xf numFmtId="0" fontId="15" fillId="0" borderId="41">
      <alignment horizontal="left" vertical="center"/>
    </xf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9" borderId="40" applyNumberFormat="0" applyAlignment="0" applyProtection="0"/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0" fontId="20" fillId="0" borderId="10" applyNumberFormat="0" applyFill="0" applyAlignment="0" applyProtection="0"/>
    <xf numFmtId="0" fontId="23" fillId="26" borderId="0" applyNumberFormat="0" applyBorder="0" applyAlignment="0" applyProtection="0"/>
    <xf numFmtId="0" fontId="1" fillId="27" borderId="42" applyNumberFormat="0" applyFont="0" applyAlignment="0" applyProtection="0"/>
    <xf numFmtId="0" fontId="26" fillId="22" borderId="43" applyNumberFormat="0" applyAlignment="0" applyProtection="0"/>
    <xf numFmtId="0" fontId="31" fillId="0" borderId="0" applyNumberFormat="0" applyFill="0" applyBorder="0" applyAlignment="0" applyProtection="0"/>
    <xf numFmtId="0" fontId="43" fillId="0" borderId="0"/>
    <xf numFmtId="9" fontId="43" fillId="0" borderId="0" applyFont="0" applyFill="0" applyBorder="0" applyAlignment="0" applyProtection="0"/>
    <xf numFmtId="0" fontId="1" fillId="0" borderId="0"/>
    <xf numFmtId="0" fontId="55" fillId="57" borderId="40" applyNumberFormat="0" applyAlignment="0" applyProtection="0"/>
    <xf numFmtId="0" fontId="55" fillId="57" borderId="40" applyNumberFormat="0" applyAlignment="0" applyProtection="0"/>
    <xf numFmtId="0" fontId="55" fillId="57" borderId="40" applyNumberFormat="0" applyAlignment="0" applyProtection="0"/>
    <xf numFmtId="0" fontId="19" fillId="51" borderId="40" applyNumberFormat="0" applyAlignment="0" applyProtection="0"/>
    <xf numFmtId="0" fontId="19" fillId="51" borderId="40" applyNumberFormat="0" applyAlignment="0" applyProtection="0"/>
    <xf numFmtId="0" fontId="19" fillId="51" borderId="40" applyNumberFormat="0" applyAlignment="0" applyProtection="0"/>
    <xf numFmtId="0" fontId="15" fillId="0" borderId="41">
      <alignment horizontal="left" vertical="center"/>
    </xf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0" fontId="1" fillId="46" borderId="42" applyNumberFormat="0" applyAlignment="0" applyProtection="0"/>
    <xf numFmtId="0" fontId="1" fillId="46" borderId="42" applyNumberFormat="0" applyAlignment="0" applyProtection="0"/>
    <xf numFmtId="0" fontId="26" fillId="57" borderId="43" applyNumberFormat="0" applyAlignment="0" applyProtection="0"/>
    <xf numFmtId="0" fontId="26" fillId="57" borderId="43" applyNumberFormat="0" applyAlignment="0" applyProtection="0"/>
    <xf numFmtId="0" fontId="63" fillId="0" borderId="44" applyNumberFormat="0" applyFill="0" applyAlignment="0" applyProtection="0"/>
    <xf numFmtId="0" fontId="63" fillId="0" borderId="44" applyNumberFormat="0" applyFill="0" applyAlignment="0" applyProtection="0"/>
    <xf numFmtId="0" fontId="4" fillId="65" borderId="0" applyNumberFormat="0" applyBorder="0" applyAlignment="0" applyProtection="0"/>
    <xf numFmtId="0" fontId="4" fillId="66" borderId="0" applyNumberFormat="0" applyBorder="0" applyAlignment="0" applyProtection="0"/>
    <xf numFmtId="0" fontId="4" fillId="66" borderId="0" applyNumberFormat="0" applyBorder="0" applyAlignment="0" applyProtection="0"/>
    <xf numFmtId="0" fontId="4" fillId="65" borderId="0" applyNumberFormat="0" applyBorder="0" applyAlignment="0" applyProtection="0"/>
    <xf numFmtId="0" fontId="4" fillId="67" borderId="0" applyNumberFormat="0" applyBorder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66" borderId="0" applyNumberFormat="0" applyBorder="0" applyAlignment="0" applyProtection="0"/>
    <xf numFmtId="0" fontId="4" fillId="66" borderId="0" applyNumberFormat="0" applyBorder="0" applyAlignment="0" applyProtection="0"/>
    <xf numFmtId="0" fontId="4" fillId="69" borderId="0" applyNumberFormat="0" applyBorder="0" applyAlignment="0" applyProtection="0"/>
    <xf numFmtId="0" fontId="4" fillId="70" borderId="0" applyNumberFormat="0" applyBorder="0" applyAlignment="0" applyProtection="0"/>
    <xf numFmtId="0" fontId="4" fillId="68" borderId="0" applyNumberFormat="0" applyBorder="0" applyAlignment="0" applyProtection="0"/>
    <xf numFmtId="0" fontId="5" fillId="71" borderId="0" applyNumberFormat="0" applyBorder="0" applyAlignment="0" applyProtection="0"/>
    <xf numFmtId="0" fontId="5" fillId="66" borderId="0" applyNumberFormat="0" applyBorder="0" applyAlignment="0" applyProtection="0"/>
    <xf numFmtId="0" fontId="5" fillId="66" borderId="0" applyNumberFormat="0" applyBorder="0" applyAlignment="0" applyProtection="0"/>
    <xf numFmtId="0" fontId="5" fillId="69" borderId="0" applyNumberFormat="0" applyBorder="0" applyAlignment="0" applyProtection="0"/>
    <xf numFmtId="0" fontId="5" fillId="71" borderId="0" applyNumberFormat="0" applyBorder="0" applyAlignment="0" applyProtection="0"/>
    <xf numFmtId="0" fontId="5" fillId="68" borderId="0" applyNumberFormat="0" applyBorder="0" applyAlignment="0" applyProtection="0"/>
    <xf numFmtId="0" fontId="5" fillId="71" borderId="0" applyNumberFormat="0" applyBorder="0" applyAlignment="0" applyProtection="0"/>
    <xf numFmtId="0" fontId="5" fillId="72" borderId="0" applyNumberFormat="0" applyBorder="0" applyAlignment="0" applyProtection="0"/>
    <xf numFmtId="0" fontId="5" fillId="66" borderId="0" applyNumberFormat="0" applyBorder="0" applyAlignment="0" applyProtection="0"/>
    <xf numFmtId="0" fontId="5" fillId="61" borderId="0" applyNumberFormat="0" applyBorder="0" applyAlignment="0" applyProtection="0"/>
    <xf numFmtId="0" fontId="5" fillId="71" borderId="0" applyNumberFormat="0" applyBorder="0" applyAlignment="0" applyProtection="0"/>
    <xf numFmtId="0" fontId="5" fillId="73" borderId="0" applyNumberFormat="0" applyBorder="0" applyAlignment="0" applyProtection="0"/>
    <xf numFmtId="0" fontId="64" fillId="74" borderId="0" applyNumberFormat="0" applyBorder="0" applyAlignment="0" applyProtection="0"/>
    <xf numFmtId="0" fontId="65" fillId="65" borderId="40" applyNumberFormat="0" applyAlignment="0" applyProtection="0"/>
    <xf numFmtId="0" fontId="10" fillId="75" borderId="2" applyNumberFormat="0" applyAlignment="0" applyProtection="0"/>
    <xf numFmtId="0" fontId="13" fillId="67" borderId="0" applyNumberFormat="0" applyBorder="0" applyAlignment="0" applyProtection="0"/>
    <xf numFmtId="0" fontId="67" fillId="0" borderId="36" applyNumberFormat="0" applyFill="0" applyAlignment="0" applyProtection="0"/>
    <xf numFmtId="0" fontId="68" fillId="0" borderId="7" applyNumberFormat="0" applyFill="0" applyAlignment="0" applyProtection="0"/>
    <xf numFmtId="0" fontId="69" fillId="0" borderId="37" applyNumberFormat="0" applyFill="0" applyAlignment="0" applyProtection="0"/>
    <xf numFmtId="0" fontId="69" fillId="0" borderId="0" applyNumberFormat="0" applyFill="0" applyBorder="0" applyAlignment="0" applyProtection="0"/>
    <xf numFmtId="0" fontId="19" fillId="68" borderId="40" applyNumberFormat="0" applyAlignment="0" applyProtection="0"/>
    <xf numFmtId="0" fontId="70" fillId="0" borderId="38" applyNumberFormat="0" applyFill="0" applyAlignment="0" applyProtection="0"/>
    <xf numFmtId="0" fontId="23" fillId="68" borderId="0" applyNumberFormat="0" applyBorder="0" applyAlignment="0" applyProtection="0"/>
    <xf numFmtId="0" fontId="1" fillId="76" borderId="42" applyNumberFormat="0" applyAlignment="0" applyProtection="0"/>
    <xf numFmtId="0" fontId="26" fillId="65" borderId="43" applyNumberFormat="0" applyAlignment="0" applyProtection="0"/>
    <xf numFmtId="0" fontId="71" fillId="0" borderId="0" applyNumberFormat="0" applyFill="0" applyBorder="0" applyAlignment="0" applyProtection="0"/>
    <xf numFmtId="10" fontId="14" fillId="25" borderId="39" applyNumberFormat="0" applyBorder="0" applyAlignment="0" applyProtection="0"/>
    <xf numFmtId="0" fontId="19" fillId="51" borderId="40" applyNumberFormat="0" applyAlignment="0" applyProtection="0"/>
    <xf numFmtId="0" fontId="63" fillId="0" borderId="44" applyNumberFormat="0" applyFill="0" applyAlignment="0" applyProtection="0"/>
    <xf numFmtId="0" fontId="19" fillId="68" borderId="40" applyNumberFormat="0" applyAlignment="0" applyProtection="0"/>
    <xf numFmtId="10" fontId="14" fillId="25" borderId="39" applyNumberFormat="0" applyBorder="0" applyAlignment="0" applyProtection="0"/>
    <xf numFmtId="0" fontId="63" fillId="0" borderId="44" applyNumberFormat="0" applyFill="0" applyAlignment="0" applyProtection="0"/>
    <xf numFmtId="10" fontId="14" fillId="25" borderId="39" applyNumberFormat="0" applyBorder="0" applyAlignment="0" applyProtection="0"/>
    <xf numFmtId="0" fontId="26" fillId="57" borderId="43" applyNumberFormat="0" applyAlignment="0" applyProtection="0"/>
    <xf numFmtId="0" fontId="26" fillId="57" borderId="43" applyNumberFormat="0" applyAlignment="0" applyProtection="0"/>
    <xf numFmtId="0" fontId="9" fillId="22" borderId="40" applyNumberFormat="0" applyAlignment="0" applyProtection="0"/>
    <xf numFmtId="0" fontId="9" fillId="22" borderId="40" applyNumberFormat="0" applyAlignment="0" applyProtection="0"/>
    <xf numFmtId="0" fontId="9" fillId="22" borderId="40" applyNumberFormat="0" applyAlignment="0" applyProtection="0"/>
    <xf numFmtId="0" fontId="26" fillId="22" borderId="43" applyNumberFormat="0" applyAlignment="0" applyProtection="0"/>
    <xf numFmtId="10" fontId="14" fillId="25" borderId="39" applyNumberFormat="0" applyBorder="0" applyAlignment="0" applyProtection="0"/>
    <xf numFmtId="0" fontId="19" fillId="51" borderId="40" applyNumberFormat="0" applyAlignment="0" applyProtection="0"/>
    <xf numFmtId="0" fontId="15" fillId="0" borderId="41">
      <alignment horizontal="left" vertical="center"/>
    </xf>
    <xf numFmtId="0" fontId="15" fillId="0" borderId="41">
      <alignment horizontal="left" vertical="center"/>
    </xf>
    <xf numFmtId="0" fontId="55" fillId="57" borderId="40" applyNumberFormat="0" applyAlignment="0" applyProtection="0"/>
    <xf numFmtId="0" fontId="19" fillId="9" borderId="40" applyNumberFormat="0" applyAlignment="0" applyProtection="0"/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0" fontId="26" fillId="57" borderId="43" applyNumberFormat="0" applyAlignment="0" applyProtection="0"/>
    <xf numFmtId="0" fontId="55" fillId="57" borderId="40" applyNumberFormat="0" applyAlignment="0" applyProtection="0"/>
    <xf numFmtId="10" fontId="14" fillId="25" borderId="39" applyNumberFormat="0" applyBorder="0" applyAlignment="0" applyProtection="0"/>
    <xf numFmtId="0" fontId="15" fillId="0" borderId="41">
      <alignment horizontal="left" vertical="center"/>
    </xf>
    <xf numFmtId="0" fontId="1" fillId="27" borderId="42" applyNumberFormat="0" applyFont="0" applyAlignment="0" applyProtection="0"/>
    <xf numFmtId="0" fontId="26" fillId="22" borderId="43" applyNumberFormat="0" applyAlignment="0" applyProtection="0"/>
    <xf numFmtId="0" fontId="1" fillId="76" borderId="42" applyNumberFormat="0" applyAlignment="0" applyProtection="0"/>
    <xf numFmtId="0" fontId="1" fillId="46" borderId="42" applyNumberFormat="0" applyAlignment="0" applyProtection="0"/>
    <xf numFmtId="0" fontId="63" fillId="0" borderId="44" applyNumberFormat="0" applyFill="0" applyAlignment="0" applyProtection="0"/>
    <xf numFmtId="0" fontId="65" fillId="65" borderId="40" applyNumberFormat="0" applyAlignment="0" applyProtection="0"/>
    <xf numFmtId="0" fontId="19" fillId="68" borderId="40" applyNumberFormat="0" applyAlignment="0" applyProtection="0"/>
    <xf numFmtId="0" fontId="55" fillId="57" borderId="40" applyNumberFormat="0" applyAlignment="0" applyProtection="0"/>
    <xf numFmtId="10" fontId="14" fillId="25" borderId="39" applyNumberFormat="0" applyBorder="0" applyAlignment="0" applyProtection="0"/>
    <xf numFmtId="0" fontId="1" fillId="27" borderId="42" applyNumberFormat="0" applyFont="0" applyAlignment="0" applyProtection="0"/>
    <xf numFmtId="0" fontId="26" fillId="22" borderId="43" applyNumberFormat="0" applyAlignment="0" applyProtection="0"/>
    <xf numFmtId="0" fontId="1" fillId="27" borderId="42" applyNumberFormat="0" applyFont="0" applyAlignment="0" applyProtection="0"/>
    <xf numFmtId="0" fontId="19" fillId="9" borderId="40" applyNumberFormat="0" applyAlignment="0" applyProtection="0"/>
    <xf numFmtId="0" fontId="19" fillId="51" borderId="40" applyNumberFormat="0" applyAlignment="0" applyProtection="0"/>
    <xf numFmtId="0" fontId="63" fillId="0" borderId="44" applyNumberFormat="0" applyFill="0" applyAlignment="0" applyProtection="0"/>
    <xf numFmtId="0" fontId="65" fillId="65" borderId="40" applyNumberFormat="0" applyAlignment="0" applyProtection="0"/>
    <xf numFmtId="0" fontId="55" fillId="57" borderId="40" applyNumberFormat="0" applyAlignment="0" applyProtection="0"/>
    <xf numFmtId="0" fontId="55" fillId="57" borderId="40" applyNumberFormat="0" applyAlignment="0" applyProtection="0"/>
    <xf numFmtId="0" fontId="55" fillId="57" borderId="40" applyNumberFormat="0" applyAlignment="0" applyProtection="0"/>
    <xf numFmtId="0" fontId="55" fillId="57" borderId="40" applyNumberFormat="0" applyAlignment="0" applyProtection="0"/>
    <xf numFmtId="0" fontId="55" fillId="57" borderId="40" applyNumberFormat="0" applyAlignment="0" applyProtection="0"/>
    <xf numFmtId="0" fontId="15" fillId="0" borderId="41">
      <alignment horizontal="left" vertical="center"/>
    </xf>
    <xf numFmtId="0" fontId="26" fillId="65" borderId="43" applyNumberFormat="0" applyAlignment="0" applyProtection="0"/>
    <xf numFmtId="0" fontId="9" fillId="22" borderId="40" applyNumberFormat="0" applyAlignment="0" applyProtection="0"/>
    <xf numFmtId="0" fontId="19" fillId="51" borderId="40" applyNumberFormat="0" applyAlignment="0" applyProtection="0"/>
    <xf numFmtId="0" fontId="19" fillId="51" borderId="40" applyNumberFormat="0" applyAlignment="0" applyProtection="0"/>
    <xf numFmtId="0" fontId="19" fillId="51" borderId="40" applyNumberFormat="0" applyAlignment="0" applyProtection="0"/>
    <xf numFmtId="0" fontId="19" fillId="51" borderId="40" applyNumberFormat="0" applyAlignment="0" applyProtection="0"/>
    <xf numFmtId="0" fontId="15" fillId="0" borderId="41">
      <alignment horizontal="left" vertical="center"/>
    </xf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0" fontId="26" fillId="22" borderId="43" applyNumberFormat="0" applyAlignment="0" applyProtection="0"/>
    <xf numFmtId="0" fontId="1" fillId="27" borderId="42" applyNumberFormat="0" applyFont="0" applyAlignment="0" applyProtection="0"/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0" fontId="19" fillId="9" borderId="40" applyNumberFormat="0" applyAlignment="0" applyProtection="0"/>
    <xf numFmtId="0" fontId="15" fillId="0" borderId="41">
      <alignment horizontal="left" vertical="center"/>
    </xf>
    <xf numFmtId="0" fontId="1" fillId="46" borderId="42" applyNumberFormat="0" applyAlignment="0" applyProtection="0"/>
    <xf numFmtId="0" fontId="1" fillId="46" borderId="42" applyNumberFormat="0" applyAlignment="0" applyProtection="0"/>
    <xf numFmtId="0" fontId="9" fillId="22" borderId="40" applyNumberFormat="0" applyAlignment="0" applyProtection="0"/>
    <xf numFmtId="0" fontId="1" fillId="76" borderId="42" applyNumberFormat="0" applyAlignment="0" applyProtection="0"/>
    <xf numFmtId="0" fontId="26" fillId="57" borderId="43" applyNumberFormat="0" applyAlignment="0" applyProtection="0"/>
    <xf numFmtId="0" fontId="26" fillId="57" borderId="43" applyNumberFormat="0" applyAlignment="0" applyProtection="0"/>
    <xf numFmtId="0" fontId="19" fillId="68" borderId="40" applyNumberFormat="0" applyAlignment="0" applyProtection="0"/>
    <xf numFmtId="0" fontId="26" fillId="57" borderId="43" applyNumberFormat="0" applyAlignment="0" applyProtection="0"/>
    <xf numFmtId="0" fontId="19" fillId="51" borderId="40" applyNumberFormat="0" applyAlignment="0" applyProtection="0"/>
    <xf numFmtId="0" fontId="63" fillId="0" borderId="44" applyNumberFormat="0" applyFill="0" applyAlignment="0" applyProtection="0"/>
    <xf numFmtId="0" fontId="63" fillId="0" borderId="44" applyNumberFormat="0" applyFill="0" applyAlignment="0" applyProtection="0"/>
    <xf numFmtId="0" fontId="26" fillId="57" borderId="43" applyNumberFormat="0" applyAlignment="0" applyProtection="0"/>
    <xf numFmtId="0" fontId="26" fillId="65" borderId="43" applyNumberFormat="0" applyAlignment="0" applyProtection="0"/>
    <xf numFmtId="0" fontId="65" fillId="65" borderId="40" applyNumberFormat="0" applyAlignment="0" applyProtection="0"/>
    <xf numFmtId="10" fontId="14" fillId="25" borderId="39" applyNumberFormat="0" applyBorder="0" applyAlignment="0" applyProtection="0"/>
    <xf numFmtId="0" fontId="55" fillId="57" borderId="40" applyNumberFormat="0" applyAlignment="0" applyProtection="0"/>
    <xf numFmtId="0" fontId="19" fillId="68" borderId="40" applyNumberFormat="0" applyAlignment="0" applyProtection="0"/>
    <xf numFmtId="0" fontId="1" fillId="76" borderId="42" applyNumberFormat="0" applyAlignment="0" applyProtection="0"/>
    <xf numFmtId="0" fontId="26" fillId="65" borderId="43" applyNumberFormat="0" applyAlignment="0" applyProtection="0"/>
    <xf numFmtId="0" fontId="65" fillId="65" borderId="40" applyNumberFormat="0" applyAlignment="0" applyProtection="0"/>
    <xf numFmtId="10" fontId="14" fillId="25" borderId="39" applyNumberFormat="0" applyBorder="0" applyAlignment="0" applyProtection="0"/>
    <xf numFmtId="0" fontId="1" fillId="76" borderId="42" applyNumberFormat="0" applyAlignment="0" applyProtection="0"/>
    <xf numFmtId="0" fontId="19" fillId="68" borderId="40" applyNumberFormat="0" applyAlignment="0" applyProtection="0"/>
    <xf numFmtId="0" fontId="26" fillId="57" borderId="43" applyNumberFormat="0" applyAlignment="0" applyProtection="0"/>
    <xf numFmtId="10" fontId="14" fillId="25" borderId="39" applyNumberFormat="0" applyBorder="0" applyAlignment="0" applyProtection="0"/>
    <xf numFmtId="0" fontId="19" fillId="51" borderId="40" applyNumberFormat="0" applyAlignment="0" applyProtection="0"/>
    <xf numFmtId="0" fontId="26" fillId="57" borderId="43" applyNumberFormat="0" applyAlignment="0" applyProtection="0"/>
    <xf numFmtId="0" fontId="55" fillId="57" borderId="40" applyNumberFormat="0" applyAlignment="0" applyProtection="0"/>
    <xf numFmtId="0" fontId="19" fillId="9" borderId="40" applyNumberFormat="0" applyAlignment="0" applyProtection="0"/>
    <xf numFmtId="10" fontId="14" fillId="25" borderId="39" applyNumberFormat="0" applyBorder="0" applyAlignment="0" applyProtection="0"/>
    <xf numFmtId="0" fontId="1" fillId="46" borderId="42" applyNumberFormat="0" applyAlignment="0" applyProtection="0"/>
    <xf numFmtId="0" fontId="1" fillId="46" borderId="42" applyNumberFormat="0" applyAlignment="0" applyProtection="0"/>
    <xf numFmtId="0" fontId="1" fillId="27" borderId="42" applyNumberFormat="0" applyFont="0" applyAlignment="0" applyProtection="0"/>
    <xf numFmtId="0" fontId="15" fillId="0" borderId="41">
      <alignment horizontal="left" vertical="center"/>
    </xf>
    <xf numFmtId="0" fontId="19" fillId="51" borderId="40" applyNumberFormat="0" applyAlignment="0" applyProtection="0"/>
    <xf numFmtId="10" fontId="14" fillId="25" borderId="39" applyNumberFormat="0" applyBorder="0" applyAlignment="0" applyProtection="0"/>
    <xf numFmtId="0" fontId="63" fillId="0" borderId="44" applyNumberFormat="0" applyFill="0" applyAlignment="0" applyProtection="0"/>
    <xf numFmtId="10" fontId="14" fillId="25" borderId="39" applyNumberFormat="0" applyBorder="0" applyAlignment="0" applyProtection="0"/>
    <xf numFmtId="0" fontId="1" fillId="46" borderId="42" applyNumberFormat="0" applyAlignment="0" applyProtection="0"/>
    <xf numFmtId="0" fontId="55" fillId="57" borderId="40" applyNumberFormat="0" applyAlignment="0" applyProtection="0"/>
    <xf numFmtId="10" fontId="14" fillId="25" borderId="39" applyNumberFormat="0" applyBorder="0" applyAlignment="0" applyProtection="0"/>
    <xf numFmtId="0" fontId="63" fillId="0" borderId="44" applyNumberFormat="0" applyFill="0" applyAlignment="0" applyProtection="0"/>
    <xf numFmtId="10" fontId="14" fillId="25" borderId="39" applyNumberFormat="0" applyBorder="0" applyAlignment="0" applyProtection="0"/>
    <xf numFmtId="0" fontId="26" fillId="57" borderId="43" applyNumberFormat="0" applyAlignment="0" applyProtection="0"/>
    <xf numFmtId="0" fontId="1" fillId="46" borderId="42" applyNumberFormat="0" applyAlignment="0" applyProtection="0"/>
    <xf numFmtId="0" fontId="1" fillId="46" borderId="42" applyNumberFormat="0" applyAlignment="0" applyProtection="0"/>
    <xf numFmtId="0" fontId="26" fillId="65" borderId="43" applyNumberFormat="0" applyAlignment="0" applyProtection="0"/>
    <xf numFmtId="0" fontId="26" fillId="22" borderId="43" applyNumberFormat="0" applyAlignment="0" applyProtection="0"/>
    <xf numFmtId="10" fontId="14" fillId="25" borderId="39" applyNumberFormat="0" applyBorder="0" applyAlignment="0" applyProtection="0"/>
    <xf numFmtId="0" fontId="19" fillId="51" borderId="40" applyNumberFormat="0" applyAlignment="0" applyProtection="0"/>
    <xf numFmtId="0" fontId="55" fillId="57" borderId="40" applyNumberFormat="0" applyAlignment="0" applyProtection="0"/>
    <xf numFmtId="0" fontId="1" fillId="46" borderId="42" applyNumberFormat="0" applyAlignment="0" applyProtection="0"/>
    <xf numFmtId="0" fontId="55" fillId="57" borderId="40" applyNumberFormat="0" applyAlignment="0" applyProtection="0"/>
    <xf numFmtId="10" fontId="14" fillId="25" borderId="39" applyNumberFormat="0" applyBorder="0" applyAlignment="0" applyProtection="0"/>
    <xf numFmtId="0" fontId="15" fillId="0" borderId="41">
      <alignment horizontal="left" vertical="center"/>
    </xf>
    <xf numFmtId="0" fontId="19" fillId="51" borderId="40" applyNumberFormat="0" applyAlignment="0" applyProtection="0"/>
    <xf numFmtId="0" fontId="19" fillId="51" borderId="40" applyNumberFormat="0" applyAlignment="0" applyProtection="0"/>
    <xf numFmtId="0" fontId="63" fillId="0" borderId="44" applyNumberFormat="0" applyFill="0" applyAlignment="0" applyProtection="0"/>
    <xf numFmtId="10" fontId="14" fillId="25" borderId="39" applyNumberFormat="0" applyBorder="0" applyAlignment="0" applyProtection="0"/>
    <xf numFmtId="0" fontId="15" fillId="0" borderId="41">
      <alignment horizontal="left" vertical="center"/>
    </xf>
    <xf numFmtId="0" fontId="55" fillId="57" borderId="40" applyNumberFormat="0" applyAlignment="0" applyProtection="0"/>
    <xf numFmtId="0" fontId="26" fillId="65" borderId="43" applyNumberFormat="0" applyAlignment="0" applyProtection="0"/>
    <xf numFmtId="10" fontId="14" fillId="25" borderId="39" applyNumberFormat="0" applyBorder="0" applyAlignment="0" applyProtection="0"/>
    <xf numFmtId="0" fontId="1" fillId="46" borderId="42" applyNumberFormat="0" applyAlignment="0" applyProtection="0"/>
    <xf numFmtId="0" fontId="1" fillId="76" borderId="42" applyNumberFormat="0" applyAlignment="0" applyProtection="0"/>
    <xf numFmtId="0" fontId="63" fillId="0" borderId="44" applyNumberFormat="0" applyFill="0" applyAlignment="0" applyProtection="0"/>
    <xf numFmtId="10" fontId="14" fillId="25" borderId="39" applyNumberFormat="0" applyBorder="0" applyAlignment="0" applyProtection="0"/>
    <xf numFmtId="0" fontId="19" fillId="51" borderId="40" applyNumberFormat="0" applyAlignment="0" applyProtection="0"/>
    <xf numFmtId="0" fontId="19" fillId="9" borderId="40" applyNumberFormat="0" applyAlignment="0" applyProtection="0"/>
    <xf numFmtId="10" fontId="14" fillId="25" borderId="39" applyNumberFormat="0" applyBorder="0" applyAlignment="0" applyProtection="0"/>
    <xf numFmtId="0" fontId="19" fillId="51" borderId="40" applyNumberFormat="0" applyAlignment="0" applyProtection="0"/>
    <xf numFmtId="0" fontId="65" fillId="65" borderId="40" applyNumberFormat="0" applyAlignment="0" applyProtection="0"/>
    <xf numFmtId="0" fontId="55" fillId="57" borderId="40" applyNumberFormat="0" applyAlignment="0" applyProtection="0"/>
    <xf numFmtId="10" fontId="14" fillId="25" borderId="39" applyNumberFormat="0" applyBorder="0" applyAlignment="0" applyProtection="0"/>
    <xf numFmtId="0" fontId="15" fillId="0" borderId="41">
      <alignment horizontal="left" vertical="center"/>
    </xf>
    <xf numFmtId="10" fontId="14" fillId="25" borderId="39" applyNumberFormat="0" applyBorder="0" applyAlignment="0" applyProtection="0"/>
    <xf numFmtId="0" fontId="4" fillId="0" borderId="0"/>
    <xf numFmtId="43" fontId="43" fillId="0" borderId="0" applyFont="0" applyFill="0" applyBorder="0" applyAlignment="0" applyProtection="0"/>
    <xf numFmtId="0" fontId="2" fillId="0" borderId="0"/>
    <xf numFmtId="195" fontId="2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2" fillId="0" borderId="0"/>
    <xf numFmtId="195" fontId="2" fillId="0" borderId="0"/>
    <xf numFmtId="0" fontId="4" fillId="0" borderId="0"/>
    <xf numFmtId="195" fontId="4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1" fillId="0" borderId="0"/>
    <xf numFmtId="195" fontId="1" fillId="0" borderId="0"/>
    <xf numFmtId="195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1" fillId="0" borderId="0"/>
    <xf numFmtId="0" fontId="1" fillId="0" borderId="0"/>
    <xf numFmtId="0" fontId="2" fillId="0" borderId="0"/>
    <xf numFmtId="195" fontId="2" fillId="0" borderId="0"/>
    <xf numFmtId="195" fontId="1" fillId="0" borderId="0"/>
    <xf numFmtId="0" fontId="2" fillId="0" borderId="0"/>
    <xf numFmtId="0" fontId="2" fillId="0" borderId="0"/>
    <xf numFmtId="195" fontId="2" fillId="0" borderId="0"/>
    <xf numFmtId="0" fontId="1" fillId="0" borderId="0"/>
    <xf numFmtId="195" fontId="1" fillId="0" borderId="0"/>
    <xf numFmtId="195" fontId="2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2" fillId="0" borderId="0"/>
    <xf numFmtId="195" fontId="2" fillId="0" borderId="0"/>
    <xf numFmtId="0" fontId="1" fillId="0" borderId="0"/>
    <xf numFmtId="195" fontId="1" fillId="0" borderId="0"/>
    <xf numFmtId="195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1" fillId="0" borderId="0"/>
    <xf numFmtId="195" fontId="1" fillId="0" borderId="0"/>
    <xf numFmtId="195" fontId="1" fillId="0" borderId="0" applyNumberFormat="0" applyFill="0" applyBorder="0" applyAlignment="0" applyProtection="0"/>
    <xf numFmtId="0" fontId="1" fillId="0" borderId="0"/>
    <xf numFmtId="195" fontId="1" fillId="0" borderId="0"/>
    <xf numFmtId="0" fontId="4" fillId="0" borderId="0"/>
    <xf numFmtId="195" fontId="4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0" fontId="2" fillId="0" borderId="0"/>
    <xf numFmtId="0" fontId="2" fillId="0" borderId="0"/>
    <xf numFmtId="195" fontId="2" fillId="0" borderId="0"/>
    <xf numFmtId="195" fontId="2" fillId="0" borderId="0"/>
    <xf numFmtId="0" fontId="87" fillId="0" borderId="0"/>
    <xf numFmtId="195" fontId="87" fillId="0" borderId="0"/>
    <xf numFmtId="0" fontId="53" fillId="0" borderId="0" applyNumberFormat="0" applyFill="0" applyBorder="0" applyAlignment="0" applyProtection="0"/>
    <xf numFmtId="195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195" fontId="5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2" fillId="0" borderId="0"/>
    <xf numFmtId="195" fontId="2" fillId="0" borderId="0"/>
    <xf numFmtId="0" fontId="2" fillId="0" borderId="0"/>
    <xf numFmtId="0" fontId="2" fillId="0" borderId="0"/>
    <xf numFmtId="0" fontId="2" fillId="0" borderId="0"/>
    <xf numFmtId="195" fontId="2" fillId="0" borderId="0"/>
    <xf numFmtId="195" fontId="2" fillId="0" borderId="0"/>
    <xf numFmtId="195" fontId="2" fillId="0" borderId="0"/>
    <xf numFmtId="0" fontId="53" fillId="0" borderId="0" applyNumberFormat="0" applyFill="0" applyBorder="0" applyAlignment="0" applyProtection="0"/>
    <xf numFmtId="195" fontId="53" fillId="0" borderId="0" applyNumberFormat="0" applyFill="0" applyBorder="0" applyAlignment="0" applyProtection="0"/>
    <xf numFmtId="0" fontId="2" fillId="0" borderId="0"/>
    <xf numFmtId="195" fontId="2" fillId="0" borderId="0"/>
    <xf numFmtId="0" fontId="2" fillId="0" borderId="0"/>
    <xf numFmtId="195" fontId="2" fillId="0" borderId="0"/>
    <xf numFmtId="0" fontId="88" fillId="0" borderId="0">
      <alignment vertical="top"/>
    </xf>
    <xf numFmtId="195" fontId="88" fillId="0" borderId="0">
      <alignment vertical="top"/>
    </xf>
    <xf numFmtId="0" fontId="88" fillId="0" borderId="0">
      <alignment vertical="top"/>
    </xf>
    <xf numFmtId="195" fontId="88" fillId="0" borderId="0">
      <alignment vertical="top"/>
    </xf>
    <xf numFmtId="0" fontId="88" fillId="0" borderId="0">
      <alignment vertical="top"/>
    </xf>
    <xf numFmtId="195" fontId="88" fillId="0" borderId="0">
      <alignment vertical="top"/>
    </xf>
    <xf numFmtId="0" fontId="88" fillId="0" borderId="0">
      <alignment vertical="top"/>
    </xf>
    <xf numFmtId="195" fontId="88" fillId="0" borderId="0">
      <alignment vertical="top"/>
    </xf>
    <xf numFmtId="0" fontId="1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2" fillId="0" borderId="0"/>
    <xf numFmtId="0" fontId="2" fillId="0" borderId="0"/>
    <xf numFmtId="0" fontId="2" fillId="0" borderId="0"/>
    <xf numFmtId="195" fontId="2" fillId="0" borderId="0"/>
    <xf numFmtId="195" fontId="2" fillId="0" borderId="0"/>
    <xf numFmtId="195" fontId="2" fillId="0" borderId="0"/>
    <xf numFmtId="0" fontId="2" fillId="0" borderId="0"/>
    <xf numFmtId="195" fontId="2" fillId="0" borderId="0"/>
    <xf numFmtId="0" fontId="1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2" fillId="0" borderId="0"/>
    <xf numFmtId="195" fontId="2" fillId="0" borderId="0"/>
    <xf numFmtId="0" fontId="2" fillId="0" borderId="0"/>
    <xf numFmtId="195" fontId="2" fillId="0" borderId="0"/>
    <xf numFmtId="195" fontId="2" fillId="0" borderId="0"/>
    <xf numFmtId="0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3" fillId="85" borderId="0" applyNumberFormat="0" applyBorder="0" applyAlignment="0" applyProtection="0"/>
    <xf numFmtId="0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" fillId="4" borderId="0" applyNumberFormat="0" applyBorder="0" applyAlignment="0" applyProtection="0"/>
    <xf numFmtId="195" fontId="4" fillId="4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" fillId="4" borderId="0" applyNumberFormat="0" applyBorder="0" applyAlignment="0" applyProtection="0"/>
    <xf numFmtId="195" fontId="4" fillId="4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" fillId="4" borderId="0" applyNumberFormat="0" applyBorder="0" applyAlignment="0" applyProtection="0"/>
    <xf numFmtId="195" fontId="4" fillId="4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" fillId="4" borderId="0" applyNumberFormat="0" applyBorder="0" applyAlignment="0" applyProtection="0"/>
    <xf numFmtId="195" fontId="4" fillId="4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3" fillId="85" borderId="0" applyNumberFormat="0" applyBorder="0" applyAlignment="0" applyProtection="0"/>
    <xf numFmtId="0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3" fillId="85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195" fontId="4" fillId="4" borderId="0" applyNumberFormat="0" applyBorder="0" applyAlignment="0" applyProtection="0"/>
    <xf numFmtId="0" fontId="43" fillId="85" borderId="0" applyNumberFormat="0" applyBorder="0" applyAlignment="0" applyProtection="0"/>
    <xf numFmtId="195" fontId="43" fillId="85" borderId="0" applyNumberFormat="0" applyBorder="0" applyAlignment="0" applyProtection="0"/>
    <xf numFmtId="0" fontId="43" fillId="85" borderId="0" applyNumberFormat="0" applyBorder="0" applyAlignment="0" applyProtection="0"/>
    <xf numFmtId="195" fontId="4" fillId="4" borderId="0" applyNumberFormat="0" applyBorder="0" applyAlignment="0" applyProtection="0"/>
    <xf numFmtId="0" fontId="43" fillId="4" borderId="0" applyNumberFormat="0" applyBorder="0" applyAlignment="0" applyProtection="0"/>
    <xf numFmtId="195" fontId="43" fillId="4" borderId="0" applyNumberFormat="0" applyBorder="0" applyAlignment="0" applyProtection="0"/>
    <xf numFmtId="0" fontId="43" fillId="4" borderId="0" applyNumberFormat="0" applyBorder="0" applyAlignment="0" applyProtection="0"/>
    <xf numFmtId="0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" fillId="5" borderId="0" applyNumberFormat="0" applyBorder="0" applyAlignment="0" applyProtection="0"/>
    <xf numFmtId="195" fontId="4" fillId="5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" fillId="5" borderId="0" applyNumberFormat="0" applyBorder="0" applyAlignment="0" applyProtection="0"/>
    <xf numFmtId="195" fontId="4" fillId="5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" fillId="5" borderId="0" applyNumberFormat="0" applyBorder="0" applyAlignment="0" applyProtection="0"/>
    <xf numFmtId="195" fontId="4" fillId="5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" fillId="5" borderId="0" applyNumberFormat="0" applyBorder="0" applyAlignment="0" applyProtection="0"/>
    <xf numFmtId="195" fontId="4" fillId="5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3" fillId="89" borderId="0" applyNumberFormat="0" applyBorder="0" applyAlignment="0" applyProtection="0"/>
    <xf numFmtId="0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3" fillId="89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195" fontId="4" fillId="5" borderId="0" applyNumberFormat="0" applyBorder="0" applyAlignment="0" applyProtection="0"/>
    <xf numFmtId="0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3" fillId="89" borderId="0" applyNumberFormat="0" applyBorder="0" applyAlignment="0" applyProtection="0"/>
    <xf numFmtId="195" fontId="4" fillId="5" borderId="0" applyNumberFormat="0" applyBorder="0" applyAlignment="0" applyProtection="0"/>
    <xf numFmtId="0" fontId="43" fillId="89" borderId="0" applyNumberFormat="0" applyBorder="0" applyAlignment="0" applyProtection="0"/>
    <xf numFmtId="195" fontId="43" fillId="89" borderId="0" applyNumberFormat="0" applyBorder="0" applyAlignment="0" applyProtection="0"/>
    <xf numFmtId="0" fontId="43" fillId="89" borderId="0" applyNumberFormat="0" applyBorder="0" applyAlignment="0" applyProtection="0"/>
    <xf numFmtId="0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" fillId="6" borderId="0" applyNumberFormat="0" applyBorder="0" applyAlignment="0" applyProtection="0"/>
    <xf numFmtId="195" fontId="4" fillId="6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" fillId="6" borderId="0" applyNumberFormat="0" applyBorder="0" applyAlignment="0" applyProtection="0"/>
    <xf numFmtId="195" fontId="4" fillId="6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" fillId="6" borderId="0" applyNumberFormat="0" applyBorder="0" applyAlignment="0" applyProtection="0"/>
    <xf numFmtId="195" fontId="4" fillId="6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" fillId="6" borderId="0" applyNumberFormat="0" applyBorder="0" applyAlignment="0" applyProtection="0"/>
    <xf numFmtId="195" fontId="4" fillId="6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3" fillId="93" borderId="0" applyNumberFormat="0" applyBorder="0" applyAlignment="0" applyProtection="0"/>
    <xf numFmtId="0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3" fillId="9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195" fontId="4" fillId="6" borderId="0" applyNumberFormat="0" applyBorder="0" applyAlignment="0" applyProtection="0"/>
    <xf numFmtId="0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3" fillId="93" borderId="0" applyNumberFormat="0" applyBorder="0" applyAlignment="0" applyProtection="0"/>
    <xf numFmtId="195" fontId="4" fillId="6" borderId="0" applyNumberFormat="0" applyBorder="0" applyAlignment="0" applyProtection="0"/>
    <xf numFmtId="0" fontId="43" fillId="93" borderId="0" applyNumberFormat="0" applyBorder="0" applyAlignment="0" applyProtection="0"/>
    <xf numFmtId="195" fontId="43" fillId="93" borderId="0" applyNumberFormat="0" applyBorder="0" applyAlignment="0" applyProtection="0"/>
    <xf numFmtId="0" fontId="43" fillId="93" borderId="0" applyNumberFormat="0" applyBorder="0" applyAlignment="0" applyProtection="0"/>
    <xf numFmtId="0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" fillId="7" borderId="0" applyNumberFormat="0" applyBorder="0" applyAlignment="0" applyProtection="0"/>
    <xf numFmtId="195" fontId="4" fillId="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" fillId="7" borderId="0" applyNumberFormat="0" applyBorder="0" applyAlignment="0" applyProtection="0"/>
    <xf numFmtId="195" fontId="4" fillId="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" fillId="7" borderId="0" applyNumberFormat="0" applyBorder="0" applyAlignment="0" applyProtection="0"/>
    <xf numFmtId="195" fontId="4" fillId="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" fillId="7" borderId="0" applyNumberFormat="0" applyBorder="0" applyAlignment="0" applyProtection="0"/>
    <xf numFmtId="195" fontId="4" fillId="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3" fillId="97" borderId="0" applyNumberFormat="0" applyBorder="0" applyAlignment="0" applyProtection="0"/>
    <xf numFmtId="0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3" fillId="9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195" fontId="4" fillId="7" borderId="0" applyNumberFormat="0" applyBorder="0" applyAlignment="0" applyProtection="0"/>
    <xf numFmtId="0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3" fillId="97" borderId="0" applyNumberFormat="0" applyBorder="0" applyAlignment="0" applyProtection="0"/>
    <xf numFmtId="195" fontId="4" fillId="7" borderId="0" applyNumberFormat="0" applyBorder="0" applyAlignment="0" applyProtection="0"/>
    <xf numFmtId="0" fontId="43" fillId="97" borderId="0" applyNumberFormat="0" applyBorder="0" applyAlignment="0" applyProtection="0"/>
    <xf numFmtId="195" fontId="43" fillId="97" borderId="0" applyNumberFormat="0" applyBorder="0" applyAlignment="0" applyProtection="0"/>
    <xf numFmtId="0" fontId="43" fillId="97" borderId="0" applyNumberFormat="0" applyBorder="0" applyAlignment="0" applyProtection="0"/>
    <xf numFmtId="0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" fillId="8" borderId="0" applyNumberFormat="0" applyBorder="0" applyAlignment="0" applyProtection="0"/>
    <xf numFmtId="195" fontId="4" fillId="8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" fillId="8" borderId="0" applyNumberFormat="0" applyBorder="0" applyAlignment="0" applyProtection="0"/>
    <xf numFmtId="195" fontId="4" fillId="8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" fillId="8" borderId="0" applyNumberFormat="0" applyBorder="0" applyAlignment="0" applyProtection="0"/>
    <xf numFmtId="195" fontId="4" fillId="8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" fillId="8" borderId="0" applyNumberFormat="0" applyBorder="0" applyAlignment="0" applyProtection="0"/>
    <xf numFmtId="195" fontId="4" fillId="8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3" fillId="101" borderId="0" applyNumberFormat="0" applyBorder="0" applyAlignment="0" applyProtection="0"/>
    <xf numFmtId="0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3" fillId="101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195" fontId="4" fillId="8" borderId="0" applyNumberFormat="0" applyBorder="0" applyAlignment="0" applyProtection="0"/>
    <xf numFmtId="0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3" fillId="101" borderId="0" applyNumberFormat="0" applyBorder="0" applyAlignment="0" applyProtection="0"/>
    <xf numFmtId="195" fontId="4" fillId="8" borderId="0" applyNumberFormat="0" applyBorder="0" applyAlignment="0" applyProtection="0"/>
    <xf numFmtId="0" fontId="43" fillId="101" borderId="0" applyNumberFormat="0" applyBorder="0" applyAlignment="0" applyProtection="0"/>
    <xf numFmtId="195" fontId="43" fillId="101" borderId="0" applyNumberFormat="0" applyBorder="0" applyAlignment="0" applyProtection="0"/>
    <xf numFmtId="0" fontId="43" fillId="101" borderId="0" applyNumberFormat="0" applyBorder="0" applyAlignment="0" applyProtection="0"/>
    <xf numFmtId="0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" fillId="9" borderId="0" applyNumberFormat="0" applyBorder="0" applyAlignment="0" applyProtection="0"/>
    <xf numFmtId="195" fontId="4" fillId="9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" fillId="9" borderId="0" applyNumberFormat="0" applyBorder="0" applyAlignment="0" applyProtection="0"/>
    <xf numFmtId="195" fontId="4" fillId="9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" fillId="9" borderId="0" applyNumberFormat="0" applyBorder="0" applyAlignment="0" applyProtection="0"/>
    <xf numFmtId="195" fontId="4" fillId="9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" fillId="9" borderId="0" applyNumberFormat="0" applyBorder="0" applyAlignment="0" applyProtection="0"/>
    <xf numFmtId="195" fontId="4" fillId="9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3" fillId="105" borderId="0" applyNumberFormat="0" applyBorder="0" applyAlignment="0" applyProtection="0"/>
    <xf numFmtId="0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3" fillId="10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195" fontId="4" fillId="9" borderId="0" applyNumberFormat="0" applyBorder="0" applyAlignment="0" applyProtection="0"/>
    <xf numFmtId="0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3" fillId="105" borderId="0" applyNumberFormat="0" applyBorder="0" applyAlignment="0" applyProtection="0"/>
    <xf numFmtId="195" fontId="4" fillId="9" borderId="0" applyNumberFormat="0" applyBorder="0" applyAlignment="0" applyProtection="0"/>
    <xf numFmtId="0" fontId="43" fillId="105" borderId="0" applyNumberFormat="0" applyBorder="0" applyAlignment="0" applyProtection="0"/>
    <xf numFmtId="195" fontId="43" fillId="105" borderId="0" applyNumberFormat="0" applyBorder="0" applyAlignment="0" applyProtection="0"/>
    <xf numFmtId="0" fontId="43" fillId="105" borderId="0" applyNumberFormat="0" applyBorder="0" applyAlignment="0" applyProtection="0"/>
    <xf numFmtId="0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" fillId="10" borderId="0" applyNumberFormat="0" applyBorder="0" applyAlignment="0" applyProtection="0"/>
    <xf numFmtId="195" fontId="4" fillId="10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" fillId="10" borderId="0" applyNumberFormat="0" applyBorder="0" applyAlignment="0" applyProtection="0"/>
    <xf numFmtId="195" fontId="4" fillId="10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" fillId="10" borderId="0" applyNumberFormat="0" applyBorder="0" applyAlignment="0" applyProtection="0"/>
    <xf numFmtId="195" fontId="4" fillId="10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" fillId="10" borderId="0" applyNumberFormat="0" applyBorder="0" applyAlignment="0" applyProtection="0"/>
    <xf numFmtId="195" fontId="4" fillId="10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195" fontId="4" fillId="10" borderId="0" applyNumberFormat="0" applyBorder="0" applyAlignment="0" applyProtection="0"/>
    <xf numFmtId="0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3" fillId="86" borderId="0" applyNumberFormat="0" applyBorder="0" applyAlignment="0" applyProtection="0"/>
    <xf numFmtId="195" fontId="4" fillId="10" borderId="0" applyNumberFormat="0" applyBorder="0" applyAlignment="0" applyProtection="0"/>
    <xf numFmtId="0" fontId="43" fillId="86" borderId="0" applyNumberFormat="0" applyBorder="0" applyAlignment="0" applyProtection="0"/>
    <xf numFmtId="195" fontId="43" fillId="86" borderId="0" applyNumberFormat="0" applyBorder="0" applyAlignment="0" applyProtection="0"/>
    <xf numFmtId="0" fontId="43" fillId="86" borderId="0" applyNumberFormat="0" applyBorder="0" applyAlignment="0" applyProtection="0"/>
    <xf numFmtId="0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" fillId="11" borderId="0" applyNumberFormat="0" applyBorder="0" applyAlignment="0" applyProtection="0"/>
    <xf numFmtId="195" fontId="4" fillId="11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" fillId="11" borderId="0" applyNumberFormat="0" applyBorder="0" applyAlignment="0" applyProtection="0"/>
    <xf numFmtId="195" fontId="4" fillId="11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" fillId="11" borderId="0" applyNumberFormat="0" applyBorder="0" applyAlignment="0" applyProtection="0"/>
    <xf numFmtId="195" fontId="4" fillId="11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" fillId="11" borderId="0" applyNumberFormat="0" applyBorder="0" applyAlignment="0" applyProtection="0"/>
    <xf numFmtId="195" fontId="4" fillId="11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3" fillId="90" borderId="0" applyNumberFormat="0" applyBorder="0" applyAlignment="0" applyProtection="0"/>
    <xf numFmtId="0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3" fillId="9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195" fontId="4" fillId="11" borderId="0" applyNumberFormat="0" applyBorder="0" applyAlignment="0" applyProtection="0"/>
    <xf numFmtId="0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3" fillId="90" borderId="0" applyNumberFormat="0" applyBorder="0" applyAlignment="0" applyProtection="0"/>
    <xf numFmtId="195" fontId="4" fillId="11" borderId="0" applyNumberFormat="0" applyBorder="0" applyAlignment="0" applyProtection="0"/>
    <xf numFmtId="0" fontId="43" fillId="90" borderId="0" applyNumberFormat="0" applyBorder="0" applyAlignment="0" applyProtection="0"/>
    <xf numFmtId="195" fontId="43" fillId="90" borderId="0" applyNumberFormat="0" applyBorder="0" applyAlignment="0" applyProtection="0"/>
    <xf numFmtId="0" fontId="43" fillId="90" borderId="0" applyNumberFormat="0" applyBorder="0" applyAlignment="0" applyProtection="0"/>
    <xf numFmtId="0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" fillId="12" borderId="0" applyNumberFormat="0" applyBorder="0" applyAlignment="0" applyProtection="0"/>
    <xf numFmtId="195" fontId="4" fillId="12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" fillId="12" borderId="0" applyNumberFormat="0" applyBorder="0" applyAlignment="0" applyProtection="0"/>
    <xf numFmtId="195" fontId="4" fillId="12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" fillId="12" borderId="0" applyNumberFormat="0" applyBorder="0" applyAlignment="0" applyProtection="0"/>
    <xf numFmtId="195" fontId="4" fillId="12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" fillId="12" borderId="0" applyNumberFormat="0" applyBorder="0" applyAlignment="0" applyProtection="0"/>
    <xf numFmtId="195" fontId="4" fillId="12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3" fillId="94" borderId="0" applyNumberFormat="0" applyBorder="0" applyAlignment="0" applyProtection="0"/>
    <xf numFmtId="0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3" fillId="94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195" fontId="4" fillId="12" borderId="0" applyNumberFormat="0" applyBorder="0" applyAlignment="0" applyProtection="0"/>
    <xf numFmtId="0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3" fillId="94" borderId="0" applyNumberFormat="0" applyBorder="0" applyAlignment="0" applyProtection="0"/>
    <xf numFmtId="195" fontId="4" fillId="12" borderId="0" applyNumberFormat="0" applyBorder="0" applyAlignment="0" applyProtection="0"/>
    <xf numFmtId="0" fontId="43" fillId="94" borderId="0" applyNumberFormat="0" applyBorder="0" applyAlignment="0" applyProtection="0"/>
    <xf numFmtId="195" fontId="43" fillId="94" borderId="0" applyNumberFormat="0" applyBorder="0" applyAlignment="0" applyProtection="0"/>
    <xf numFmtId="0" fontId="43" fillId="94" borderId="0" applyNumberFormat="0" applyBorder="0" applyAlignment="0" applyProtection="0"/>
    <xf numFmtId="0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" fillId="7" borderId="0" applyNumberFormat="0" applyBorder="0" applyAlignment="0" applyProtection="0"/>
    <xf numFmtId="195" fontId="4" fillId="7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" fillId="7" borderId="0" applyNumberFormat="0" applyBorder="0" applyAlignment="0" applyProtection="0"/>
    <xf numFmtId="195" fontId="4" fillId="7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" fillId="7" borderId="0" applyNumberFormat="0" applyBorder="0" applyAlignment="0" applyProtection="0"/>
    <xf numFmtId="195" fontId="4" fillId="7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" fillId="7" borderId="0" applyNumberFormat="0" applyBorder="0" applyAlignment="0" applyProtection="0"/>
    <xf numFmtId="195" fontId="4" fillId="7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3" fillId="98" borderId="0" applyNumberFormat="0" applyBorder="0" applyAlignment="0" applyProtection="0"/>
    <xf numFmtId="0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3" fillId="98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195" fontId="4" fillId="7" borderId="0" applyNumberFormat="0" applyBorder="0" applyAlignment="0" applyProtection="0"/>
    <xf numFmtId="0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3" fillId="98" borderId="0" applyNumberFormat="0" applyBorder="0" applyAlignment="0" applyProtection="0"/>
    <xf numFmtId="195" fontId="4" fillId="7" borderId="0" applyNumberFormat="0" applyBorder="0" applyAlignment="0" applyProtection="0"/>
    <xf numFmtId="0" fontId="43" fillId="98" borderId="0" applyNumberFormat="0" applyBorder="0" applyAlignment="0" applyProtection="0"/>
    <xf numFmtId="195" fontId="43" fillId="98" borderId="0" applyNumberFormat="0" applyBorder="0" applyAlignment="0" applyProtection="0"/>
    <xf numFmtId="0" fontId="43" fillId="98" borderId="0" applyNumberFormat="0" applyBorder="0" applyAlignment="0" applyProtection="0"/>
    <xf numFmtId="0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" fillId="10" borderId="0" applyNumberFormat="0" applyBorder="0" applyAlignment="0" applyProtection="0"/>
    <xf numFmtId="195" fontId="4" fillId="10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" fillId="10" borderId="0" applyNumberFormat="0" applyBorder="0" applyAlignment="0" applyProtection="0"/>
    <xf numFmtId="195" fontId="4" fillId="10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" fillId="10" borderId="0" applyNumberFormat="0" applyBorder="0" applyAlignment="0" applyProtection="0"/>
    <xf numFmtId="195" fontId="4" fillId="10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" fillId="10" borderId="0" applyNumberFormat="0" applyBorder="0" applyAlignment="0" applyProtection="0"/>
    <xf numFmtId="195" fontId="4" fillId="10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3" fillId="102" borderId="0" applyNumberFormat="0" applyBorder="0" applyAlignment="0" applyProtection="0"/>
    <xf numFmtId="0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3" fillId="102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195" fontId="4" fillId="10" borderId="0" applyNumberFormat="0" applyBorder="0" applyAlignment="0" applyProtection="0"/>
    <xf numFmtId="0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3" fillId="102" borderId="0" applyNumberFormat="0" applyBorder="0" applyAlignment="0" applyProtection="0"/>
    <xf numFmtId="195" fontId="4" fillId="10" borderId="0" applyNumberFormat="0" applyBorder="0" applyAlignment="0" applyProtection="0"/>
    <xf numFmtId="0" fontId="43" fillId="102" borderId="0" applyNumberFormat="0" applyBorder="0" applyAlignment="0" applyProtection="0"/>
    <xf numFmtId="195" fontId="43" fillId="102" borderId="0" applyNumberFormat="0" applyBorder="0" applyAlignment="0" applyProtection="0"/>
    <xf numFmtId="0" fontId="43" fillId="102" borderId="0" applyNumberFormat="0" applyBorder="0" applyAlignment="0" applyProtection="0"/>
    <xf numFmtId="0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" fillId="13" borderId="0" applyNumberFormat="0" applyBorder="0" applyAlignment="0" applyProtection="0"/>
    <xf numFmtId="195" fontId="4" fillId="13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" fillId="13" borderId="0" applyNumberFormat="0" applyBorder="0" applyAlignment="0" applyProtection="0"/>
    <xf numFmtId="195" fontId="4" fillId="13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" fillId="13" borderId="0" applyNumberFormat="0" applyBorder="0" applyAlignment="0" applyProtection="0"/>
    <xf numFmtId="195" fontId="4" fillId="13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" fillId="13" borderId="0" applyNumberFormat="0" applyBorder="0" applyAlignment="0" applyProtection="0"/>
    <xf numFmtId="195" fontId="4" fillId="13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3" fillId="106" borderId="0" applyNumberFormat="0" applyBorder="0" applyAlignment="0" applyProtection="0"/>
    <xf numFmtId="0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3" fillId="106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195" fontId="4" fillId="13" borderId="0" applyNumberFormat="0" applyBorder="0" applyAlignment="0" applyProtection="0"/>
    <xf numFmtId="0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3" fillId="106" borderId="0" applyNumberFormat="0" applyBorder="0" applyAlignment="0" applyProtection="0"/>
    <xf numFmtId="195" fontId="4" fillId="13" borderId="0" applyNumberFormat="0" applyBorder="0" applyAlignment="0" applyProtection="0"/>
    <xf numFmtId="0" fontId="43" fillId="106" borderId="0" applyNumberFormat="0" applyBorder="0" applyAlignment="0" applyProtection="0"/>
    <xf numFmtId="195" fontId="43" fillId="106" borderId="0" applyNumberFormat="0" applyBorder="0" applyAlignment="0" applyProtection="0"/>
    <xf numFmtId="0" fontId="43" fillId="106" borderId="0" applyNumberFormat="0" applyBorder="0" applyAlignment="0" applyProtection="0"/>
    <xf numFmtId="195" fontId="86" fillId="87" borderId="0" applyNumberFormat="0" applyBorder="0" applyAlignment="0" applyProtection="0"/>
    <xf numFmtId="0" fontId="5" fillId="14" borderId="0" applyNumberFormat="0" applyBorder="0" applyAlignment="0" applyProtection="0"/>
    <xf numFmtId="195" fontId="5" fillId="14" borderId="0" applyNumberFormat="0" applyBorder="0" applyAlignment="0" applyProtection="0"/>
    <xf numFmtId="195" fontId="86" fillId="87" borderId="0" applyNumberFormat="0" applyBorder="0" applyAlignment="0" applyProtection="0"/>
    <xf numFmtId="195" fontId="86" fillId="87" borderId="0" applyNumberFormat="0" applyBorder="0" applyAlignment="0" applyProtection="0"/>
    <xf numFmtId="0" fontId="5" fillId="14" borderId="0" applyNumberFormat="0" applyBorder="0" applyAlignment="0" applyProtection="0"/>
    <xf numFmtId="195" fontId="5" fillId="14" borderId="0" applyNumberFormat="0" applyBorder="0" applyAlignment="0" applyProtection="0"/>
    <xf numFmtId="195" fontId="86" fillId="87" borderId="0" applyNumberFormat="0" applyBorder="0" applyAlignment="0" applyProtection="0"/>
    <xf numFmtId="0" fontId="5" fillId="14" borderId="0" applyNumberFormat="0" applyBorder="0" applyAlignment="0" applyProtection="0"/>
    <xf numFmtId="195" fontId="5" fillId="14" borderId="0" applyNumberFormat="0" applyBorder="0" applyAlignment="0" applyProtection="0"/>
    <xf numFmtId="195" fontId="86" fillId="87" borderId="0" applyNumberFormat="0" applyBorder="0" applyAlignment="0" applyProtection="0"/>
    <xf numFmtId="0" fontId="5" fillId="14" borderId="0" applyNumberFormat="0" applyBorder="0" applyAlignment="0" applyProtection="0"/>
    <xf numFmtId="195" fontId="5" fillId="14" borderId="0" applyNumberFormat="0" applyBorder="0" applyAlignment="0" applyProtection="0"/>
    <xf numFmtId="195" fontId="86" fillId="87" borderId="0" applyNumberFormat="0" applyBorder="0" applyAlignment="0" applyProtection="0"/>
    <xf numFmtId="195" fontId="86" fillId="87" borderId="0" applyNumberFormat="0" applyBorder="0" applyAlignment="0" applyProtection="0"/>
    <xf numFmtId="0" fontId="86" fillId="87" borderId="0" applyNumberFormat="0" applyBorder="0" applyAlignment="0" applyProtection="0"/>
    <xf numFmtId="195" fontId="86" fillId="87" borderId="0" applyNumberFormat="0" applyBorder="0" applyAlignment="0" applyProtection="0"/>
    <xf numFmtId="195" fontId="86" fillId="87" borderId="0" applyNumberFormat="0" applyBorder="0" applyAlignment="0" applyProtection="0"/>
    <xf numFmtId="195" fontId="86" fillId="87" borderId="0" applyNumberFormat="0" applyBorder="0" applyAlignment="0" applyProtection="0"/>
    <xf numFmtId="0" fontId="86" fillId="87" borderId="0" applyNumberFormat="0" applyBorder="0" applyAlignment="0" applyProtection="0"/>
    <xf numFmtId="195" fontId="86" fillId="87" borderId="0" applyNumberFormat="0" applyBorder="0" applyAlignment="0" applyProtection="0"/>
    <xf numFmtId="0" fontId="5" fillId="14" borderId="0" applyNumberFormat="0" applyBorder="0" applyAlignment="0" applyProtection="0"/>
    <xf numFmtId="195" fontId="5" fillId="14" borderId="0" applyNumberFormat="0" applyBorder="0" applyAlignment="0" applyProtection="0"/>
    <xf numFmtId="195" fontId="86" fillId="91" borderId="0" applyNumberFormat="0" applyBorder="0" applyAlignment="0" applyProtection="0"/>
    <xf numFmtId="0" fontId="5" fillId="11" borderId="0" applyNumberFormat="0" applyBorder="0" applyAlignment="0" applyProtection="0"/>
    <xf numFmtId="195" fontId="5" fillId="11" borderId="0" applyNumberFormat="0" applyBorder="0" applyAlignment="0" applyProtection="0"/>
    <xf numFmtId="195" fontId="86" fillId="91" borderId="0" applyNumberFormat="0" applyBorder="0" applyAlignment="0" applyProtection="0"/>
    <xf numFmtId="195" fontId="86" fillId="91" borderId="0" applyNumberFormat="0" applyBorder="0" applyAlignment="0" applyProtection="0"/>
    <xf numFmtId="0" fontId="5" fillId="11" borderId="0" applyNumberFormat="0" applyBorder="0" applyAlignment="0" applyProtection="0"/>
    <xf numFmtId="195" fontId="5" fillId="11" borderId="0" applyNumberFormat="0" applyBorder="0" applyAlignment="0" applyProtection="0"/>
    <xf numFmtId="195" fontId="86" fillId="91" borderId="0" applyNumberFormat="0" applyBorder="0" applyAlignment="0" applyProtection="0"/>
    <xf numFmtId="0" fontId="5" fillId="11" borderId="0" applyNumberFormat="0" applyBorder="0" applyAlignment="0" applyProtection="0"/>
    <xf numFmtId="195" fontId="5" fillId="11" borderId="0" applyNumberFormat="0" applyBorder="0" applyAlignment="0" applyProtection="0"/>
    <xf numFmtId="195" fontId="86" fillId="91" borderId="0" applyNumberFormat="0" applyBorder="0" applyAlignment="0" applyProtection="0"/>
    <xf numFmtId="0" fontId="5" fillId="11" borderId="0" applyNumberFormat="0" applyBorder="0" applyAlignment="0" applyProtection="0"/>
    <xf numFmtId="195" fontId="5" fillId="11" borderId="0" applyNumberFormat="0" applyBorder="0" applyAlignment="0" applyProtection="0"/>
    <xf numFmtId="195" fontId="86" fillId="91" borderId="0" applyNumberFormat="0" applyBorder="0" applyAlignment="0" applyProtection="0"/>
    <xf numFmtId="195" fontId="86" fillId="91" borderId="0" applyNumberFormat="0" applyBorder="0" applyAlignment="0" applyProtection="0"/>
    <xf numFmtId="0" fontId="86" fillId="91" borderId="0" applyNumberFormat="0" applyBorder="0" applyAlignment="0" applyProtection="0"/>
    <xf numFmtId="195" fontId="86" fillId="91" borderId="0" applyNumberFormat="0" applyBorder="0" applyAlignment="0" applyProtection="0"/>
    <xf numFmtId="195" fontId="86" fillId="91" borderId="0" applyNumberFormat="0" applyBorder="0" applyAlignment="0" applyProtection="0"/>
    <xf numFmtId="195" fontId="86" fillId="91" borderId="0" applyNumberFormat="0" applyBorder="0" applyAlignment="0" applyProtection="0"/>
    <xf numFmtId="0" fontId="86" fillId="91" borderId="0" applyNumberFormat="0" applyBorder="0" applyAlignment="0" applyProtection="0"/>
    <xf numFmtId="195" fontId="86" fillId="91" borderId="0" applyNumberFormat="0" applyBorder="0" applyAlignment="0" applyProtection="0"/>
    <xf numFmtId="0" fontId="5" fillId="11" borderId="0" applyNumberFormat="0" applyBorder="0" applyAlignment="0" applyProtection="0"/>
    <xf numFmtId="195" fontId="5" fillId="11" borderId="0" applyNumberFormat="0" applyBorder="0" applyAlignment="0" applyProtection="0"/>
    <xf numFmtId="195" fontId="86" fillId="95" borderId="0" applyNumberFormat="0" applyBorder="0" applyAlignment="0" applyProtection="0"/>
    <xf numFmtId="0" fontId="5" fillId="12" borderId="0" applyNumberFormat="0" applyBorder="0" applyAlignment="0" applyProtection="0"/>
    <xf numFmtId="195" fontId="5" fillId="12" borderId="0" applyNumberFormat="0" applyBorder="0" applyAlignment="0" applyProtection="0"/>
    <xf numFmtId="195" fontId="86" fillId="95" borderId="0" applyNumberFormat="0" applyBorder="0" applyAlignment="0" applyProtection="0"/>
    <xf numFmtId="195" fontId="86" fillId="95" borderId="0" applyNumberFormat="0" applyBorder="0" applyAlignment="0" applyProtection="0"/>
    <xf numFmtId="0" fontId="5" fillId="12" borderId="0" applyNumberFormat="0" applyBorder="0" applyAlignment="0" applyProtection="0"/>
    <xf numFmtId="195" fontId="5" fillId="12" borderId="0" applyNumberFormat="0" applyBorder="0" applyAlignment="0" applyProtection="0"/>
    <xf numFmtId="195" fontId="86" fillId="95" borderId="0" applyNumberFormat="0" applyBorder="0" applyAlignment="0" applyProtection="0"/>
    <xf numFmtId="0" fontId="5" fillId="12" borderId="0" applyNumberFormat="0" applyBorder="0" applyAlignment="0" applyProtection="0"/>
    <xf numFmtId="195" fontId="5" fillId="12" borderId="0" applyNumberFormat="0" applyBorder="0" applyAlignment="0" applyProtection="0"/>
    <xf numFmtId="195" fontId="86" fillId="95" borderId="0" applyNumberFormat="0" applyBorder="0" applyAlignment="0" applyProtection="0"/>
    <xf numFmtId="0" fontId="5" fillId="12" borderId="0" applyNumberFormat="0" applyBorder="0" applyAlignment="0" applyProtection="0"/>
    <xf numFmtId="195" fontId="5" fillId="12" borderId="0" applyNumberFormat="0" applyBorder="0" applyAlignment="0" applyProtection="0"/>
    <xf numFmtId="195" fontId="86" fillId="95" borderId="0" applyNumberFormat="0" applyBorder="0" applyAlignment="0" applyProtection="0"/>
    <xf numFmtId="195" fontId="86" fillId="95" borderId="0" applyNumberFormat="0" applyBorder="0" applyAlignment="0" applyProtection="0"/>
    <xf numFmtId="0" fontId="86" fillId="95" borderId="0" applyNumberFormat="0" applyBorder="0" applyAlignment="0" applyProtection="0"/>
    <xf numFmtId="195" fontId="86" fillId="95" borderId="0" applyNumberFormat="0" applyBorder="0" applyAlignment="0" applyProtection="0"/>
    <xf numFmtId="195" fontId="86" fillId="95" borderId="0" applyNumberFormat="0" applyBorder="0" applyAlignment="0" applyProtection="0"/>
    <xf numFmtId="195" fontId="86" fillId="95" borderId="0" applyNumberFormat="0" applyBorder="0" applyAlignment="0" applyProtection="0"/>
    <xf numFmtId="0" fontId="86" fillId="95" borderId="0" applyNumberFormat="0" applyBorder="0" applyAlignment="0" applyProtection="0"/>
    <xf numFmtId="195" fontId="86" fillId="95" borderId="0" applyNumberFormat="0" applyBorder="0" applyAlignment="0" applyProtection="0"/>
    <xf numFmtId="0" fontId="5" fillId="12" borderId="0" applyNumberFormat="0" applyBorder="0" applyAlignment="0" applyProtection="0"/>
    <xf numFmtId="195" fontId="5" fillId="12" borderId="0" applyNumberFormat="0" applyBorder="0" applyAlignment="0" applyProtection="0"/>
    <xf numFmtId="195" fontId="86" fillId="99" borderId="0" applyNumberFormat="0" applyBorder="0" applyAlignment="0" applyProtection="0"/>
    <xf numFmtId="0" fontId="5" fillId="15" borderId="0" applyNumberFormat="0" applyBorder="0" applyAlignment="0" applyProtection="0"/>
    <xf numFmtId="195" fontId="5" fillId="15" borderId="0" applyNumberFormat="0" applyBorder="0" applyAlignment="0" applyProtection="0"/>
    <xf numFmtId="195" fontId="86" fillId="99" borderId="0" applyNumberFormat="0" applyBorder="0" applyAlignment="0" applyProtection="0"/>
    <xf numFmtId="195" fontId="86" fillId="99" borderId="0" applyNumberFormat="0" applyBorder="0" applyAlignment="0" applyProtection="0"/>
    <xf numFmtId="0" fontId="5" fillId="15" borderId="0" applyNumberFormat="0" applyBorder="0" applyAlignment="0" applyProtection="0"/>
    <xf numFmtId="195" fontId="5" fillId="15" borderId="0" applyNumberFormat="0" applyBorder="0" applyAlignment="0" applyProtection="0"/>
    <xf numFmtId="195" fontId="86" fillId="99" borderId="0" applyNumberFormat="0" applyBorder="0" applyAlignment="0" applyProtection="0"/>
    <xf numFmtId="0" fontId="5" fillId="15" borderId="0" applyNumberFormat="0" applyBorder="0" applyAlignment="0" applyProtection="0"/>
    <xf numFmtId="195" fontId="5" fillId="15" borderId="0" applyNumberFormat="0" applyBorder="0" applyAlignment="0" applyProtection="0"/>
    <xf numFmtId="195" fontId="86" fillId="99" borderId="0" applyNumberFormat="0" applyBorder="0" applyAlignment="0" applyProtection="0"/>
    <xf numFmtId="0" fontId="5" fillId="15" borderId="0" applyNumberFormat="0" applyBorder="0" applyAlignment="0" applyProtection="0"/>
    <xf numFmtId="195" fontId="5" fillId="15" borderId="0" applyNumberFormat="0" applyBorder="0" applyAlignment="0" applyProtection="0"/>
    <xf numFmtId="195" fontId="86" fillId="99" borderId="0" applyNumberFormat="0" applyBorder="0" applyAlignment="0" applyProtection="0"/>
    <xf numFmtId="195" fontId="86" fillId="99" borderId="0" applyNumberFormat="0" applyBorder="0" applyAlignment="0" applyProtection="0"/>
    <xf numFmtId="0" fontId="86" fillId="99" borderId="0" applyNumberFormat="0" applyBorder="0" applyAlignment="0" applyProtection="0"/>
    <xf numFmtId="195" fontId="86" fillId="99" borderId="0" applyNumberFormat="0" applyBorder="0" applyAlignment="0" applyProtection="0"/>
    <xf numFmtId="195" fontId="86" fillId="99" borderId="0" applyNumberFormat="0" applyBorder="0" applyAlignment="0" applyProtection="0"/>
    <xf numFmtId="195" fontId="86" fillId="99" borderId="0" applyNumberFormat="0" applyBorder="0" applyAlignment="0" applyProtection="0"/>
    <xf numFmtId="0" fontId="86" fillId="99" borderId="0" applyNumberFormat="0" applyBorder="0" applyAlignment="0" applyProtection="0"/>
    <xf numFmtId="195" fontId="86" fillId="99" borderId="0" applyNumberFormat="0" applyBorder="0" applyAlignment="0" applyProtection="0"/>
    <xf numFmtId="0" fontId="5" fillId="15" borderId="0" applyNumberFormat="0" applyBorder="0" applyAlignment="0" applyProtection="0"/>
    <xf numFmtId="195" fontId="5" fillId="15" borderId="0" applyNumberFormat="0" applyBorder="0" applyAlignment="0" applyProtection="0"/>
    <xf numFmtId="195" fontId="86" fillId="103" borderId="0" applyNumberFormat="0" applyBorder="0" applyAlignment="0" applyProtection="0"/>
    <xf numFmtId="0" fontId="5" fillId="16" borderId="0" applyNumberFormat="0" applyBorder="0" applyAlignment="0" applyProtection="0"/>
    <xf numFmtId="195" fontId="5" fillId="16" borderId="0" applyNumberFormat="0" applyBorder="0" applyAlignment="0" applyProtection="0"/>
    <xf numFmtId="195" fontId="86" fillId="103" borderId="0" applyNumberFormat="0" applyBorder="0" applyAlignment="0" applyProtection="0"/>
    <xf numFmtId="195" fontId="86" fillId="103" borderId="0" applyNumberFormat="0" applyBorder="0" applyAlignment="0" applyProtection="0"/>
    <xf numFmtId="0" fontId="5" fillId="16" borderId="0" applyNumberFormat="0" applyBorder="0" applyAlignment="0" applyProtection="0"/>
    <xf numFmtId="195" fontId="5" fillId="16" borderId="0" applyNumberFormat="0" applyBorder="0" applyAlignment="0" applyProtection="0"/>
    <xf numFmtId="195" fontId="86" fillId="103" borderId="0" applyNumberFormat="0" applyBorder="0" applyAlignment="0" applyProtection="0"/>
    <xf numFmtId="0" fontId="5" fillId="16" borderId="0" applyNumberFormat="0" applyBorder="0" applyAlignment="0" applyProtection="0"/>
    <xf numFmtId="195" fontId="5" fillId="16" borderId="0" applyNumberFormat="0" applyBorder="0" applyAlignment="0" applyProtection="0"/>
    <xf numFmtId="195" fontId="86" fillId="103" borderId="0" applyNumberFormat="0" applyBorder="0" applyAlignment="0" applyProtection="0"/>
    <xf numFmtId="0" fontId="5" fillId="16" borderId="0" applyNumberFormat="0" applyBorder="0" applyAlignment="0" applyProtection="0"/>
    <xf numFmtId="195" fontId="5" fillId="16" borderId="0" applyNumberFormat="0" applyBorder="0" applyAlignment="0" applyProtection="0"/>
    <xf numFmtId="195" fontId="86" fillId="103" borderId="0" applyNumberFormat="0" applyBorder="0" applyAlignment="0" applyProtection="0"/>
    <xf numFmtId="195" fontId="86" fillId="103" borderId="0" applyNumberFormat="0" applyBorder="0" applyAlignment="0" applyProtection="0"/>
    <xf numFmtId="0" fontId="86" fillId="103" borderId="0" applyNumberFormat="0" applyBorder="0" applyAlignment="0" applyProtection="0"/>
    <xf numFmtId="195" fontId="86" fillId="103" borderId="0" applyNumberFormat="0" applyBorder="0" applyAlignment="0" applyProtection="0"/>
    <xf numFmtId="195" fontId="86" fillId="103" borderId="0" applyNumberFormat="0" applyBorder="0" applyAlignment="0" applyProtection="0"/>
    <xf numFmtId="195" fontId="86" fillId="103" borderId="0" applyNumberFormat="0" applyBorder="0" applyAlignment="0" applyProtection="0"/>
    <xf numFmtId="0" fontId="86" fillId="103" borderId="0" applyNumberFormat="0" applyBorder="0" applyAlignment="0" applyProtection="0"/>
    <xf numFmtId="195" fontId="86" fillId="103" borderId="0" applyNumberFormat="0" applyBorder="0" applyAlignment="0" applyProtection="0"/>
    <xf numFmtId="0" fontId="5" fillId="16" borderId="0" applyNumberFormat="0" applyBorder="0" applyAlignment="0" applyProtection="0"/>
    <xf numFmtId="195" fontId="5" fillId="16" borderId="0" applyNumberFormat="0" applyBorder="0" applyAlignment="0" applyProtection="0"/>
    <xf numFmtId="195" fontId="86" fillId="107" borderId="0" applyNumberFormat="0" applyBorder="0" applyAlignment="0" applyProtection="0"/>
    <xf numFmtId="0" fontId="5" fillId="17" borderId="0" applyNumberFormat="0" applyBorder="0" applyAlignment="0" applyProtection="0"/>
    <xf numFmtId="195" fontId="5" fillId="17" borderId="0" applyNumberFormat="0" applyBorder="0" applyAlignment="0" applyProtection="0"/>
    <xf numFmtId="195" fontId="86" fillId="107" borderId="0" applyNumberFormat="0" applyBorder="0" applyAlignment="0" applyProtection="0"/>
    <xf numFmtId="195" fontId="86" fillId="107" borderId="0" applyNumberFormat="0" applyBorder="0" applyAlignment="0" applyProtection="0"/>
    <xf numFmtId="0" fontId="5" fillId="17" borderId="0" applyNumberFormat="0" applyBorder="0" applyAlignment="0" applyProtection="0"/>
    <xf numFmtId="195" fontId="5" fillId="17" borderId="0" applyNumberFormat="0" applyBorder="0" applyAlignment="0" applyProtection="0"/>
    <xf numFmtId="195" fontId="86" fillId="107" borderId="0" applyNumberFormat="0" applyBorder="0" applyAlignment="0" applyProtection="0"/>
    <xf numFmtId="0" fontId="5" fillId="17" borderId="0" applyNumberFormat="0" applyBorder="0" applyAlignment="0" applyProtection="0"/>
    <xf numFmtId="195" fontId="5" fillId="17" borderId="0" applyNumberFormat="0" applyBorder="0" applyAlignment="0" applyProtection="0"/>
    <xf numFmtId="195" fontId="86" fillId="107" borderId="0" applyNumberFormat="0" applyBorder="0" applyAlignment="0" applyProtection="0"/>
    <xf numFmtId="0" fontId="5" fillId="17" borderId="0" applyNumberFormat="0" applyBorder="0" applyAlignment="0" applyProtection="0"/>
    <xf numFmtId="195" fontId="5" fillId="17" borderId="0" applyNumberFormat="0" applyBorder="0" applyAlignment="0" applyProtection="0"/>
    <xf numFmtId="195" fontId="86" fillId="107" borderId="0" applyNumberFormat="0" applyBorder="0" applyAlignment="0" applyProtection="0"/>
    <xf numFmtId="195" fontId="86" fillId="107" borderId="0" applyNumberFormat="0" applyBorder="0" applyAlignment="0" applyProtection="0"/>
    <xf numFmtId="0" fontId="86" fillId="107" borderId="0" applyNumberFormat="0" applyBorder="0" applyAlignment="0" applyProtection="0"/>
    <xf numFmtId="195" fontId="86" fillId="107" borderId="0" applyNumberFormat="0" applyBorder="0" applyAlignment="0" applyProtection="0"/>
    <xf numFmtId="195" fontId="86" fillId="107" borderId="0" applyNumberFormat="0" applyBorder="0" applyAlignment="0" applyProtection="0"/>
    <xf numFmtId="195" fontId="86" fillId="107" borderId="0" applyNumberFormat="0" applyBorder="0" applyAlignment="0" applyProtection="0"/>
    <xf numFmtId="0" fontId="86" fillId="107" borderId="0" applyNumberFormat="0" applyBorder="0" applyAlignment="0" applyProtection="0"/>
    <xf numFmtId="195" fontId="86" fillId="107" borderId="0" applyNumberFormat="0" applyBorder="0" applyAlignment="0" applyProtection="0"/>
    <xf numFmtId="0" fontId="5" fillId="17" borderId="0" applyNumberFormat="0" applyBorder="0" applyAlignment="0" applyProtection="0"/>
    <xf numFmtId="195" fontId="5" fillId="17" borderId="0" applyNumberFormat="0" applyBorder="0" applyAlignment="0" applyProtection="0"/>
    <xf numFmtId="195" fontId="86" fillId="84" borderId="0" applyNumberFormat="0" applyBorder="0" applyAlignment="0" applyProtection="0"/>
    <xf numFmtId="0" fontId="5" fillId="18" borderId="0" applyNumberFormat="0" applyBorder="0" applyAlignment="0" applyProtection="0"/>
    <xf numFmtId="195" fontId="5" fillId="18" borderId="0" applyNumberFormat="0" applyBorder="0" applyAlignment="0" applyProtection="0"/>
    <xf numFmtId="195" fontId="86" fillId="84" borderId="0" applyNumberFormat="0" applyBorder="0" applyAlignment="0" applyProtection="0"/>
    <xf numFmtId="195" fontId="86" fillId="84" borderId="0" applyNumberFormat="0" applyBorder="0" applyAlignment="0" applyProtection="0"/>
    <xf numFmtId="0" fontId="5" fillId="18" borderId="0" applyNumberFormat="0" applyBorder="0" applyAlignment="0" applyProtection="0"/>
    <xf numFmtId="195" fontId="5" fillId="18" borderId="0" applyNumberFormat="0" applyBorder="0" applyAlignment="0" applyProtection="0"/>
    <xf numFmtId="195" fontId="86" fillId="84" borderId="0" applyNumberFormat="0" applyBorder="0" applyAlignment="0" applyProtection="0"/>
    <xf numFmtId="0" fontId="5" fillId="18" borderId="0" applyNumberFormat="0" applyBorder="0" applyAlignment="0" applyProtection="0"/>
    <xf numFmtId="195" fontId="5" fillId="18" borderId="0" applyNumberFormat="0" applyBorder="0" applyAlignment="0" applyProtection="0"/>
    <xf numFmtId="195" fontId="86" fillId="84" borderId="0" applyNumberFormat="0" applyBorder="0" applyAlignment="0" applyProtection="0"/>
    <xf numFmtId="0" fontId="5" fillId="18" borderId="0" applyNumberFormat="0" applyBorder="0" applyAlignment="0" applyProtection="0"/>
    <xf numFmtId="195" fontId="5" fillId="18" borderId="0" applyNumberFormat="0" applyBorder="0" applyAlignment="0" applyProtection="0"/>
    <xf numFmtId="195" fontId="86" fillId="84" borderId="0" applyNumberFormat="0" applyBorder="0" applyAlignment="0" applyProtection="0"/>
    <xf numFmtId="195" fontId="86" fillId="84" borderId="0" applyNumberFormat="0" applyBorder="0" applyAlignment="0" applyProtection="0"/>
    <xf numFmtId="0" fontId="86" fillId="84" borderId="0" applyNumberFormat="0" applyBorder="0" applyAlignment="0" applyProtection="0"/>
    <xf numFmtId="195" fontId="86" fillId="84" borderId="0" applyNumberFormat="0" applyBorder="0" applyAlignment="0" applyProtection="0"/>
    <xf numFmtId="195" fontId="86" fillId="84" borderId="0" applyNumberFormat="0" applyBorder="0" applyAlignment="0" applyProtection="0"/>
    <xf numFmtId="195" fontId="86" fillId="84" borderId="0" applyNumberFormat="0" applyBorder="0" applyAlignment="0" applyProtection="0"/>
    <xf numFmtId="0" fontId="86" fillId="84" borderId="0" applyNumberFormat="0" applyBorder="0" applyAlignment="0" applyProtection="0"/>
    <xf numFmtId="195" fontId="86" fillId="84" borderId="0" applyNumberFormat="0" applyBorder="0" applyAlignment="0" applyProtection="0"/>
    <xf numFmtId="0" fontId="5" fillId="18" borderId="0" applyNumberFormat="0" applyBorder="0" applyAlignment="0" applyProtection="0"/>
    <xf numFmtId="195" fontId="5" fillId="18" borderId="0" applyNumberFormat="0" applyBorder="0" applyAlignment="0" applyProtection="0"/>
    <xf numFmtId="195" fontId="86" fillId="88" borderId="0" applyNumberFormat="0" applyBorder="0" applyAlignment="0" applyProtection="0"/>
    <xf numFmtId="0" fontId="5" fillId="19" borderId="0" applyNumberFormat="0" applyBorder="0" applyAlignment="0" applyProtection="0"/>
    <xf numFmtId="195" fontId="5" fillId="19" borderId="0" applyNumberFormat="0" applyBorder="0" applyAlignment="0" applyProtection="0"/>
    <xf numFmtId="195" fontId="86" fillId="88" borderId="0" applyNumberFormat="0" applyBorder="0" applyAlignment="0" applyProtection="0"/>
    <xf numFmtId="195" fontId="86" fillId="88" borderId="0" applyNumberFormat="0" applyBorder="0" applyAlignment="0" applyProtection="0"/>
    <xf numFmtId="0" fontId="5" fillId="19" borderId="0" applyNumberFormat="0" applyBorder="0" applyAlignment="0" applyProtection="0"/>
    <xf numFmtId="195" fontId="5" fillId="19" borderId="0" applyNumberFormat="0" applyBorder="0" applyAlignment="0" applyProtection="0"/>
    <xf numFmtId="195" fontId="86" fillId="88" borderId="0" applyNumberFormat="0" applyBorder="0" applyAlignment="0" applyProtection="0"/>
    <xf numFmtId="0" fontId="5" fillId="19" borderId="0" applyNumberFormat="0" applyBorder="0" applyAlignment="0" applyProtection="0"/>
    <xf numFmtId="195" fontId="5" fillId="19" borderId="0" applyNumberFormat="0" applyBorder="0" applyAlignment="0" applyProtection="0"/>
    <xf numFmtId="195" fontId="86" fillId="88" borderId="0" applyNumberFormat="0" applyBorder="0" applyAlignment="0" applyProtection="0"/>
    <xf numFmtId="0" fontId="5" fillId="19" borderId="0" applyNumberFormat="0" applyBorder="0" applyAlignment="0" applyProtection="0"/>
    <xf numFmtId="195" fontId="5" fillId="19" borderId="0" applyNumberFormat="0" applyBorder="0" applyAlignment="0" applyProtection="0"/>
    <xf numFmtId="195" fontId="86" fillId="88" borderId="0" applyNumberFormat="0" applyBorder="0" applyAlignment="0" applyProtection="0"/>
    <xf numFmtId="195" fontId="86" fillId="88" borderId="0" applyNumberFormat="0" applyBorder="0" applyAlignment="0" applyProtection="0"/>
    <xf numFmtId="0" fontId="86" fillId="88" borderId="0" applyNumberFormat="0" applyBorder="0" applyAlignment="0" applyProtection="0"/>
    <xf numFmtId="195" fontId="86" fillId="88" borderId="0" applyNumberFormat="0" applyBorder="0" applyAlignment="0" applyProtection="0"/>
    <xf numFmtId="195" fontId="86" fillId="88" borderId="0" applyNumberFormat="0" applyBorder="0" applyAlignment="0" applyProtection="0"/>
    <xf numFmtId="195" fontId="86" fillId="88" borderId="0" applyNumberFormat="0" applyBorder="0" applyAlignment="0" applyProtection="0"/>
    <xf numFmtId="0" fontId="86" fillId="88" borderId="0" applyNumberFormat="0" applyBorder="0" applyAlignment="0" applyProtection="0"/>
    <xf numFmtId="195" fontId="86" fillId="88" borderId="0" applyNumberFormat="0" applyBorder="0" applyAlignment="0" applyProtection="0"/>
    <xf numFmtId="0" fontId="5" fillId="19" borderId="0" applyNumberFormat="0" applyBorder="0" applyAlignment="0" applyProtection="0"/>
    <xf numFmtId="195" fontId="5" fillId="19" borderId="0" applyNumberFormat="0" applyBorder="0" applyAlignment="0" applyProtection="0"/>
    <xf numFmtId="195" fontId="86" fillId="92" borderId="0" applyNumberFormat="0" applyBorder="0" applyAlignment="0" applyProtection="0"/>
    <xf numFmtId="0" fontId="5" fillId="20" borderId="0" applyNumberFormat="0" applyBorder="0" applyAlignment="0" applyProtection="0"/>
    <xf numFmtId="195" fontId="5" fillId="20" borderId="0" applyNumberFormat="0" applyBorder="0" applyAlignment="0" applyProtection="0"/>
    <xf numFmtId="195" fontId="86" fillId="92" borderId="0" applyNumberFormat="0" applyBorder="0" applyAlignment="0" applyProtection="0"/>
    <xf numFmtId="195" fontId="86" fillId="92" borderId="0" applyNumberFormat="0" applyBorder="0" applyAlignment="0" applyProtection="0"/>
    <xf numFmtId="0" fontId="5" fillId="20" borderId="0" applyNumberFormat="0" applyBorder="0" applyAlignment="0" applyProtection="0"/>
    <xf numFmtId="195" fontId="5" fillId="20" borderId="0" applyNumberFormat="0" applyBorder="0" applyAlignment="0" applyProtection="0"/>
    <xf numFmtId="195" fontId="86" fillId="92" borderId="0" applyNumberFormat="0" applyBorder="0" applyAlignment="0" applyProtection="0"/>
    <xf numFmtId="0" fontId="5" fillId="20" borderId="0" applyNumberFormat="0" applyBorder="0" applyAlignment="0" applyProtection="0"/>
    <xf numFmtId="195" fontId="5" fillId="20" borderId="0" applyNumberFormat="0" applyBorder="0" applyAlignment="0" applyProtection="0"/>
    <xf numFmtId="195" fontId="86" fillId="92" borderId="0" applyNumberFormat="0" applyBorder="0" applyAlignment="0" applyProtection="0"/>
    <xf numFmtId="0" fontId="5" fillId="20" borderId="0" applyNumberFormat="0" applyBorder="0" applyAlignment="0" applyProtection="0"/>
    <xf numFmtId="195" fontId="5" fillId="20" borderId="0" applyNumberFormat="0" applyBorder="0" applyAlignment="0" applyProtection="0"/>
    <xf numFmtId="195" fontId="86" fillId="92" borderId="0" applyNumberFormat="0" applyBorder="0" applyAlignment="0" applyProtection="0"/>
    <xf numFmtId="195" fontId="86" fillId="92" borderId="0" applyNumberFormat="0" applyBorder="0" applyAlignment="0" applyProtection="0"/>
    <xf numFmtId="0" fontId="86" fillId="92" borderId="0" applyNumberFormat="0" applyBorder="0" applyAlignment="0" applyProtection="0"/>
    <xf numFmtId="195" fontId="86" fillId="92" borderId="0" applyNumberFormat="0" applyBorder="0" applyAlignment="0" applyProtection="0"/>
    <xf numFmtId="195" fontId="86" fillId="92" borderId="0" applyNumberFormat="0" applyBorder="0" applyAlignment="0" applyProtection="0"/>
    <xf numFmtId="195" fontId="86" fillId="92" borderId="0" applyNumberFormat="0" applyBorder="0" applyAlignment="0" applyProtection="0"/>
    <xf numFmtId="0" fontId="86" fillId="92" borderId="0" applyNumberFormat="0" applyBorder="0" applyAlignment="0" applyProtection="0"/>
    <xf numFmtId="195" fontId="86" fillId="92" borderId="0" applyNumberFormat="0" applyBorder="0" applyAlignment="0" applyProtection="0"/>
    <xf numFmtId="0" fontId="5" fillId="20" borderId="0" applyNumberFormat="0" applyBorder="0" applyAlignment="0" applyProtection="0"/>
    <xf numFmtId="195" fontId="5" fillId="20" borderId="0" applyNumberFormat="0" applyBorder="0" applyAlignment="0" applyProtection="0"/>
    <xf numFmtId="195" fontId="86" fillId="96" borderId="0" applyNumberFormat="0" applyBorder="0" applyAlignment="0" applyProtection="0"/>
    <xf numFmtId="0" fontId="5" fillId="15" borderId="0" applyNumberFormat="0" applyBorder="0" applyAlignment="0" applyProtection="0"/>
    <xf numFmtId="195" fontId="5" fillId="15" borderId="0" applyNumberFormat="0" applyBorder="0" applyAlignment="0" applyProtection="0"/>
    <xf numFmtId="195" fontId="86" fillId="96" borderId="0" applyNumberFormat="0" applyBorder="0" applyAlignment="0" applyProtection="0"/>
    <xf numFmtId="195" fontId="86" fillId="96" borderId="0" applyNumberFormat="0" applyBorder="0" applyAlignment="0" applyProtection="0"/>
    <xf numFmtId="0" fontId="5" fillId="15" borderId="0" applyNumberFormat="0" applyBorder="0" applyAlignment="0" applyProtection="0"/>
    <xf numFmtId="195" fontId="5" fillId="15" borderId="0" applyNumberFormat="0" applyBorder="0" applyAlignment="0" applyProtection="0"/>
    <xf numFmtId="195" fontId="86" fillId="96" borderId="0" applyNumberFormat="0" applyBorder="0" applyAlignment="0" applyProtection="0"/>
    <xf numFmtId="0" fontId="5" fillId="15" borderId="0" applyNumberFormat="0" applyBorder="0" applyAlignment="0" applyProtection="0"/>
    <xf numFmtId="195" fontId="5" fillId="15" borderId="0" applyNumberFormat="0" applyBorder="0" applyAlignment="0" applyProtection="0"/>
    <xf numFmtId="195" fontId="86" fillId="96" borderId="0" applyNumberFormat="0" applyBorder="0" applyAlignment="0" applyProtection="0"/>
    <xf numFmtId="0" fontId="5" fillId="15" borderId="0" applyNumberFormat="0" applyBorder="0" applyAlignment="0" applyProtection="0"/>
    <xf numFmtId="195" fontId="5" fillId="15" borderId="0" applyNumberFormat="0" applyBorder="0" applyAlignment="0" applyProtection="0"/>
    <xf numFmtId="195" fontId="86" fillId="96" borderId="0" applyNumberFormat="0" applyBorder="0" applyAlignment="0" applyProtection="0"/>
    <xf numFmtId="195" fontId="86" fillId="96" borderId="0" applyNumberFormat="0" applyBorder="0" applyAlignment="0" applyProtection="0"/>
    <xf numFmtId="0" fontId="86" fillId="96" borderId="0" applyNumberFormat="0" applyBorder="0" applyAlignment="0" applyProtection="0"/>
    <xf numFmtId="195" fontId="86" fillId="96" borderId="0" applyNumberFormat="0" applyBorder="0" applyAlignment="0" applyProtection="0"/>
    <xf numFmtId="195" fontId="86" fillId="96" borderId="0" applyNumberFormat="0" applyBorder="0" applyAlignment="0" applyProtection="0"/>
    <xf numFmtId="195" fontId="86" fillId="96" borderId="0" applyNumberFormat="0" applyBorder="0" applyAlignment="0" applyProtection="0"/>
    <xf numFmtId="0" fontId="86" fillId="96" borderId="0" applyNumberFormat="0" applyBorder="0" applyAlignment="0" applyProtection="0"/>
    <xf numFmtId="195" fontId="86" fillId="96" borderId="0" applyNumberFormat="0" applyBorder="0" applyAlignment="0" applyProtection="0"/>
    <xf numFmtId="0" fontId="5" fillId="15" borderId="0" applyNumberFormat="0" applyBorder="0" applyAlignment="0" applyProtection="0"/>
    <xf numFmtId="195" fontId="5" fillId="15" borderId="0" applyNumberFormat="0" applyBorder="0" applyAlignment="0" applyProtection="0"/>
    <xf numFmtId="195" fontId="86" fillId="100" borderId="0" applyNumberFormat="0" applyBorder="0" applyAlignment="0" applyProtection="0"/>
    <xf numFmtId="0" fontId="5" fillId="16" borderId="0" applyNumberFormat="0" applyBorder="0" applyAlignment="0" applyProtection="0"/>
    <xf numFmtId="195" fontId="5" fillId="16" borderId="0" applyNumberFormat="0" applyBorder="0" applyAlignment="0" applyProtection="0"/>
    <xf numFmtId="195" fontId="86" fillId="100" borderId="0" applyNumberFormat="0" applyBorder="0" applyAlignment="0" applyProtection="0"/>
    <xf numFmtId="195" fontId="86" fillId="100" borderId="0" applyNumberFormat="0" applyBorder="0" applyAlignment="0" applyProtection="0"/>
    <xf numFmtId="0" fontId="5" fillId="16" borderId="0" applyNumberFormat="0" applyBorder="0" applyAlignment="0" applyProtection="0"/>
    <xf numFmtId="195" fontId="5" fillId="16" borderId="0" applyNumberFormat="0" applyBorder="0" applyAlignment="0" applyProtection="0"/>
    <xf numFmtId="195" fontId="86" fillId="100" borderId="0" applyNumberFormat="0" applyBorder="0" applyAlignment="0" applyProtection="0"/>
    <xf numFmtId="0" fontId="5" fillId="16" borderId="0" applyNumberFormat="0" applyBorder="0" applyAlignment="0" applyProtection="0"/>
    <xf numFmtId="195" fontId="5" fillId="16" borderId="0" applyNumberFormat="0" applyBorder="0" applyAlignment="0" applyProtection="0"/>
    <xf numFmtId="195" fontId="86" fillId="100" borderId="0" applyNumberFormat="0" applyBorder="0" applyAlignment="0" applyProtection="0"/>
    <xf numFmtId="0" fontId="5" fillId="16" borderId="0" applyNumberFormat="0" applyBorder="0" applyAlignment="0" applyProtection="0"/>
    <xf numFmtId="195" fontId="5" fillId="16" borderId="0" applyNumberFormat="0" applyBorder="0" applyAlignment="0" applyProtection="0"/>
    <xf numFmtId="195" fontId="86" fillId="100" borderId="0" applyNumberFormat="0" applyBorder="0" applyAlignment="0" applyProtection="0"/>
    <xf numFmtId="195" fontId="86" fillId="100" borderId="0" applyNumberFormat="0" applyBorder="0" applyAlignment="0" applyProtection="0"/>
    <xf numFmtId="0" fontId="86" fillId="100" borderId="0" applyNumberFormat="0" applyBorder="0" applyAlignment="0" applyProtection="0"/>
    <xf numFmtId="195" fontId="86" fillId="100" borderId="0" applyNumberFormat="0" applyBorder="0" applyAlignment="0" applyProtection="0"/>
    <xf numFmtId="195" fontId="86" fillId="100" borderId="0" applyNumberFormat="0" applyBorder="0" applyAlignment="0" applyProtection="0"/>
    <xf numFmtId="195" fontId="86" fillId="100" borderId="0" applyNumberFormat="0" applyBorder="0" applyAlignment="0" applyProtection="0"/>
    <xf numFmtId="0" fontId="86" fillId="100" borderId="0" applyNumberFormat="0" applyBorder="0" applyAlignment="0" applyProtection="0"/>
    <xf numFmtId="195" fontId="86" fillId="100" borderId="0" applyNumberFormat="0" applyBorder="0" applyAlignment="0" applyProtection="0"/>
    <xf numFmtId="0" fontId="5" fillId="16" borderId="0" applyNumberFormat="0" applyBorder="0" applyAlignment="0" applyProtection="0"/>
    <xf numFmtId="195" fontId="5" fillId="16" borderId="0" applyNumberFormat="0" applyBorder="0" applyAlignment="0" applyProtection="0"/>
    <xf numFmtId="195" fontId="86" fillId="104" borderId="0" applyNumberFormat="0" applyBorder="0" applyAlignment="0" applyProtection="0"/>
    <xf numFmtId="0" fontId="5" fillId="21" borderId="0" applyNumberFormat="0" applyBorder="0" applyAlignment="0" applyProtection="0"/>
    <xf numFmtId="195" fontId="5" fillId="21" borderId="0" applyNumberFormat="0" applyBorder="0" applyAlignment="0" applyProtection="0"/>
    <xf numFmtId="195" fontId="86" fillId="104" borderId="0" applyNumberFormat="0" applyBorder="0" applyAlignment="0" applyProtection="0"/>
    <xf numFmtId="195" fontId="86" fillId="104" borderId="0" applyNumberFormat="0" applyBorder="0" applyAlignment="0" applyProtection="0"/>
    <xf numFmtId="0" fontId="5" fillId="21" borderId="0" applyNumberFormat="0" applyBorder="0" applyAlignment="0" applyProtection="0"/>
    <xf numFmtId="195" fontId="5" fillId="21" borderId="0" applyNumberFormat="0" applyBorder="0" applyAlignment="0" applyProtection="0"/>
    <xf numFmtId="195" fontId="86" fillId="104" borderId="0" applyNumberFormat="0" applyBorder="0" applyAlignment="0" applyProtection="0"/>
    <xf numFmtId="0" fontId="5" fillId="21" borderId="0" applyNumberFormat="0" applyBorder="0" applyAlignment="0" applyProtection="0"/>
    <xf numFmtId="195" fontId="5" fillId="21" borderId="0" applyNumberFormat="0" applyBorder="0" applyAlignment="0" applyProtection="0"/>
    <xf numFmtId="195" fontId="86" fillId="104" borderId="0" applyNumberFormat="0" applyBorder="0" applyAlignment="0" applyProtection="0"/>
    <xf numFmtId="0" fontId="5" fillId="21" borderId="0" applyNumberFormat="0" applyBorder="0" applyAlignment="0" applyProtection="0"/>
    <xf numFmtId="195" fontId="5" fillId="21" borderId="0" applyNumberFormat="0" applyBorder="0" applyAlignment="0" applyProtection="0"/>
    <xf numFmtId="195" fontId="86" fillId="104" borderId="0" applyNumberFormat="0" applyBorder="0" applyAlignment="0" applyProtection="0"/>
    <xf numFmtId="195" fontId="86" fillId="104" borderId="0" applyNumberFormat="0" applyBorder="0" applyAlignment="0" applyProtection="0"/>
    <xf numFmtId="0" fontId="86" fillId="104" borderId="0" applyNumberFormat="0" applyBorder="0" applyAlignment="0" applyProtection="0"/>
    <xf numFmtId="195" fontId="86" fillId="104" borderId="0" applyNumberFormat="0" applyBorder="0" applyAlignment="0" applyProtection="0"/>
    <xf numFmtId="195" fontId="86" fillId="104" borderId="0" applyNumberFormat="0" applyBorder="0" applyAlignment="0" applyProtection="0"/>
    <xf numFmtId="195" fontId="86" fillId="104" borderId="0" applyNumberFormat="0" applyBorder="0" applyAlignment="0" applyProtection="0"/>
    <xf numFmtId="0" fontId="86" fillId="104" borderId="0" applyNumberFormat="0" applyBorder="0" applyAlignment="0" applyProtection="0"/>
    <xf numFmtId="195" fontId="86" fillId="104" borderId="0" applyNumberFormat="0" applyBorder="0" applyAlignment="0" applyProtection="0"/>
    <xf numFmtId="0" fontId="5" fillId="21" borderId="0" applyNumberFormat="0" applyBorder="0" applyAlignment="0" applyProtection="0"/>
    <xf numFmtId="195" fontId="5" fillId="21" borderId="0" applyNumberFormat="0" applyBorder="0" applyAlignment="0" applyProtection="0"/>
    <xf numFmtId="195" fontId="77" fillId="78" borderId="0" applyNumberFormat="0" applyBorder="0" applyAlignment="0" applyProtection="0"/>
    <xf numFmtId="0" fontId="6" fillId="5" borderId="0" applyNumberFormat="0" applyBorder="0" applyAlignment="0" applyProtection="0"/>
    <xf numFmtId="195" fontId="6" fillId="5" borderId="0" applyNumberFormat="0" applyBorder="0" applyAlignment="0" applyProtection="0"/>
    <xf numFmtId="195" fontId="77" fillId="78" borderId="0" applyNumberFormat="0" applyBorder="0" applyAlignment="0" applyProtection="0"/>
    <xf numFmtId="195" fontId="77" fillId="78" borderId="0" applyNumberFormat="0" applyBorder="0" applyAlignment="0" applyProtection="0"/>
    <xf numFmtId="0" fontId="6" fillId="5" borderId="0" applyNumberFormat="0" applyBorder="0" applyAlignment="0" applyProtection="0"/>
    <xf numFmtId="195" fontId="6" fillId="5" borderId="0" applyNumberFormat="0" applyBorder="0" applyAlignment="0" applyProtection="0"/>
    <xf numFmtId="195" fontId="77" fillId="78" borderId="0" applyNumberFormat="0" applyBorder="0" applyAlignment="0" applyProtection="0"/>
    <xf numFmtId="0" fontId="6" fillId="5" borderId="0" applyNumberFormat="0" applyBorder="0" applyAlignment="0" applyProtection="0"/>
    <xf numFmtId="195" fontId="6" fillId="5" borderId="0" applyNumberFormat="0" applyBorder="0" applyAlignment="0" applyProtection="0"/>
    <xf numFmtId="195" fontId="77" fillId="78" borderId="0" applyNumberFormat="0" applyBorder="0" applyAlignment="0" applyProtection="0"/>
    <xf numFmtId="0" fontId="6" fillId="5" borderId="0" applyNumberFormat="0" applyBorder="0" applyAlignment="0" applyProtection="0"/>
    <xf numFmtId="195" fontId="6" fillId="5" borderId="0" applyNumberFormat="0" applyBorder="0" applyAlignment="0" applyProtection="0"/>
    <xf numFmtId="195" fontId="77" fillId="78" borderId="0" applyNumberFormat="0" applyBorder="0" applyAlignment="0" applyProtection="0"/>
    <xf numFmtId="195" fontId="77" fillId="78" borderId="0" applyNumberFormat="0" applyBorder="0" applyAlignment="0" applyProtection="0"/>
    <xf numFmtId="0" fontId="77" fillId="78" borderId="0" applyNumberFormat="0" applyBorder="0" applyAlignment="0" applyProtection="0"/>
    <xf numFmtId="195" fontId="77" fillId="78" borderId="0" applyNumberFormat="0" applyBorder="0" applyAlignment="0" applyProtection="0"/>
    <xf numFmtId="195" fontId="77" fillId="78" borderId="0" applyNumberFormat="0" applyBorder="0" applyAlignment="0" applyProtection="0"/>
    <xf numFmtId="195" fontId="77" fillId="78" borderId="0" applyNumberFormat="0" applyBorder="0" applyAlignment="0" applyProtection="0"/>
    <xf numFmtId="0" fontId="77" fillId="78" borderId="0" applyNumberFormat="0" applyBorder="0" applyAlignment="0" applyProtection="0"/>
    <xf numFmtId="195" fontId="77" fillId="78" borderId="0" applyNumberFormat="0" applyBorder="0" applyAlignment="0" applyProtection="0"/>
    <xf numFmtId="0" fontId="6" fillId="5" borderId="0" applyNumberFormat="0" applyBorder="0" applyAlignment="0" applyProtection="0"/>
    <xf numFmtId="195" fontId="6" fillId="5" borderId="0" applyNumberFormat="0" applyBorder="0" applyAlignment="0" applyProtection="0"/>
    <xf numFmtId="195" fontId="81" fillId="81" borderId="62" applyNumberFormat="0" applyAlignment="0" applyProtection="0"/>
    <xf numFmtId="0" fontId="9" fillId="22" borderId="40" applyNumberFormat="0" applyAlignment="0" applyProtection="0"/>
    <xf numFmtId="195" fontId="9" fillId="22" borderId="40" applyNumberFormat="0" applyAlignment="0" applyProtection="0"/>
    <xf numFmtId="195" fontId="9" fillId="22" borderId="40" applyNumberFormat="0" applyAlignment="0" applyProtection="0"/>
    <xf numFmtId="0" fontId="9" fillId="22" borderId="40" applyNumberFormat="0" applyAlignment="0" applyProtection="0"/>
    <xf numFmtId="195" fontId="9" fillId="22" borderId="40" applyNumberFormat="0" applyAlignment="0" applyProtection="0"/>
    <xf numFmtId="195" fontId="81" fillId="81" borderId="62" applyNumberFormat="0" applyAlignment="0" applyProtection="0"/>
    <xf numFmtId="0" fontId="9" fillId="22" borderId="40" applyNumberFormat="0" applyAlignment="0" applyProtection="0"/>
    <xf numFmtId="195" fontId="9" fillId="22" borderId="40" applyNumberFormat="0" applyAlignment="0" applyProtection="0"/>
    <xf numFmtId="195" fontId="81" fillId="81" borderId="62" applyNumberFormat="0" applyAlignment="0" applyProtection="0"/>
    <xf numFmtId="0" fontId="81" fillId="81" borderId="62" applyNumberFormat="0" applyAlignment="0" applyProtection="0"/>
    <xf numFmtId="195" fontId="81" fillId="81" borderId="62" applyNumberFormat="0" applyAlignment="0" applyProtection="0"/>
    <xf numFmtId="195" fontId="81" fillId="81" borderId="62" applyNumberFormat="0" applyAlignment="0" applyProtection="0"/>
    <xf numFmtId="195" fontId="9" fillId="22" borderId="40" applyNumberFormat="0" applyAlignment="0" applyProtection="0"/>
    <xf numFmtId="195" fontId="83" fillId="82" borderId="65" applyNumberFormat="0" applyAlignment="0" applyProtection="0"/>
    <xf numFmtId="0" fontId="10" fillId="23" borderId="2" applyNumberFormat="0" applyAlignment="0" applyProtection="0"/>
    <xf numFmtId="195" fontId="10" fillId="23" borderId="2" applyNumberFormat="0" applyAlignment="0" applyProtection="0"/>
    <xf numFmtId="195" fontId="83" fillId="82" borderId="65" applyNumberFormat="0" applyAlignment="0" applyProtection="0"/>
    <xf numFmtId="195" fontId="83" fillId="82" borderId="65" applyNumberFormat="0" applyAlignment="0" applyProtection="0"/>
    <xf numFmtId="0" fontId="10" fillId="23" borderId="2" applyNumberFormat="0" applyAlignment="0" applyProtection="0"/>
    <xf numFmtId="195" fontId="10" fillId="23" borderId="2" applyNumberFormat="0" applyAlignment="0" applyProtection="0"/>
    <xf numFmtId="195" fontId="83" fillId="82" borderId="65" applyNumberFormat="0" applyAlignment="0" applyProtection="0"/>
    <xf numFmtId="0" fontId="10" fillId="23" borderId="2" applyNumberFormat="0" applyAlignment="0" applyProtection="0"/>
    <xf numFmtId="195" fontId="10" fillId="23" borderId="2" applyNumberFormat="0" applyAlignment="0" applyProtection="0"/>
    <xf numFmtId="195" fontId="83" fillId="82" borderId="65" applyNumberFormat="0" applyAlignment="0" applyProtection="0"/>
    <xf numFmtId="0" fontId="10" fillId="23" borderId="2" applyNumberFormat="0" applyAlignment="0" applyProtection="0"/>
    <xf numFmtId="195" fontId="10" fillId="23" borderId="2" applyNumberFormat="0" applyAlignment="0" applyProtection="0"/>
    <xf numFmtId="195" fontId="83" fillId="82" borderId="65" applyNumberFormat="0" applyAlignment="0" applyProtection="0"/>
    <xf numFmtId="195" fontId="83" fillId="82" borderId="65" applyNumberFormat="0" applyAlignment="0" applyProtection="0"/>
    <xf numFmtId="0" fontId="83" fillId="82" borderId="65" applyNumberFormat="0" applyAlignment="0" applyProtection="0"/>
    <xf numFmtId="195" fontId="83" fillId="82" borderId="65" applyNumberFormat="0" applyAlignment="0" applyProtection="0"/>
    <xf numFmtId="195" fontId="83" fillId="82" borderId="65" applyNumberFormat="0" applyAlignment="0" applyProtection="0"/>
    <xf numFmtId="195" fontId="83" fillId="82" borderId="65" applyNumberFormat="0" applyAlignment="0" applyProtection="0"/>
    <xf numFmtId="0" fontId="83" fillId="82" borderId="65" applyNumberFormat="0" applyAlignment="0" applyProtection="0"/>
    <xf numFmtId="195" fontId="83" fillId="82" borderId="65" applyNumberFormat="0" applyAlignment="0" applyProtection="0"/>
    <xf numFmtId="0" fontId="10" fillId="23" borderId="2" applyNumberFormat="0" applyAlignment="0" applyProtection="0"/>
    <xf numFmtId="195" fontId="10" fillId="23" borderId="2" applyNumberFormat="0" applyAlignment="0" applyProtection="0"/>
    <xf numFmtId="196" fontId="1" fillId="0" borderId="0" applyFont="0" applyFill="0" applyBorder="0" applyAlignment="0" applyProtection="0"/>
    <xf numFmtId="196" fontId="1" fillId="0" borderId="0" applyFont="0" applyFill="0" applyBorder="0" applyAlignment="0" applyProtection="0"/>
    <xf numFmtId="0" fontId="1" fillId="0" borderId="0"/>
    <xf numFmtId="0" fontId="4" fillId="0" borderId="0"/>
    <xf numFmtId="195" fontId="4" fillId="0" borderId="0"/>
    <xf numFmtId="0" fontId="89" fillId="0" borderId="0"/>
    <xf numFmtId="195" fontId="89" fillId="0" borderId="0"/>
    <xf numFmtId="195" fontId="1" fillId="0" borderId="0"/>
    <xf numFmtId="195" fontId="85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95" fontId="12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95" fontId="12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95" fontId="12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95" fontId="12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195" fontId="85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95" fontId="12" fillId="0" borderId="0" applyNumberFormat="0" applyFill="0" applyBorder="0" applyAlignment="0" applyProtection="0"/>
    <xf numFmtId="195" fontId="76" fillId="77" borderId="0" applyNumberFormat="0" applyBorder="0" applyAlignment="0" applyProtection="0"/>
    <xf numFmtId="0" fontId="13" fillId="6" borderId="0" applyNumberFormat="0" applyBorder="0" applyAlignment="0" applyProtection="0"/>
    <xf numFmtId="195" fontId="13" fillId="6" borderId="0" applyNumberFormat="0" applyBorder="0" applyAlignment="0" applyProtection="0"/>
    <xf numFmtId="195" fontId="76" fillId="77" borderId="0" applyNumberFormat="0" applyBorder="0" applyAlignment="0" applyProtection="0"/>
    <xf numFmtId="195" fontId="76" fillId="77" borderId="0" applyNumberFormat="0" applyBorder="0" applyAlignment="0" applyProtection="0"/>
    <xf numFmtId="0" fontId="13" fillId="6" borderId="0" applyNumberFormat="0" applyBorder="0" applyAlignment="0" applyProtection="0"/>
    <xf numFmtId="195" fontId="13" fillId="6" borderId="0" applyNumberFormat="0" applyBorder="0" applyAlignment="0" applyProtection="0"/>
    <xf numFmtId="195" fontId="76" fillId="77" borderId="0" applyNumberFormat="0" applyBorder="0" applyAlignment="0" applyProtection="0"/>
    <xf numFmtId="0" fontId="13" fillId="6" borderId="0" applyNumberFormat="0" applyBorder="0" applyAlignment="0" applyProtection="0"/>
    <xf numFmtId="195" fontId="13" fillId="6" borderId="0" applyNumberFormat="0" applyBorder="0" applyAlignment="0" applyProtection="0"/>
    <xf numFmtId="195" fontId="76" fillId="77" borderId="0" applyNumberFormat="0" applyBorder="0" applyAlignment="0" applyProtection="0"/>
    <xf numFmtId="0" fontId="13" fillId="6" borderId="0" applyNumberFormat="0" applyBorder="0" applyAlignment="0" applyProtection="0"/>
    <xf numFmtId="195" fontId="13" fillId="6" borderId="0" applyNumberFormat="0" applyBorder="0" applyAlignment="0" applyProtection="0"/>
    <xf numFmtId="195" fontId="76" fillId="77" borderId="0" applyNumberFormat="0" applyBorder="0" applyAlignment="0" applyProtection="0"/>
    <xf numFmtId="195" fontId="76" fillId="77" borderId="0" applyNumberFormat="0" applyBorder="0" applyAlignment="0" applyProtection="0"/>
    <xf numFmtId="0" fontId="76" fillId="77" borderId="0" applyNumberFormat="0" applyBorder="0" applyAlignment="0" applyProtection="0"/>
    <xf numFmtId="195" fontId="76" fillId="77" borderId="0" applyNumberFormat="0" applyBorder="0" applyAlignment="0" applyProtection="0"/>
    <xf numFmtId="195" fontId="76" fillId="77" borderId="0" applyNumberFormat="0" applyBorder="0" applyAlignment="0" applyProtection="0"/>
    <xf numFmtId="195" fontId="76" fillId="77" borderId="0" applyNumberFormat="0" applyBorder="0" applyAlignment="0" applyProtection="0"/>
    <xf numFmtId="0" fontId="76" fillId="77" borderId="0" applyNumberFormat="0" applyBorder="0" applyAlignment="0" applyProtection="0"/>
    <xf numFmtId="195" fontId="76" fillId="77" borderId="0" applyNumberFormat="0" applyBorder="0" applyAlignment="0" applyProtection="0"/>
    <xf numFmtId="0" fontId="13" fillId="6" borderId="0" applyNumberFormat="0" applyBorder="0" applyAlignment="0" applyProtection="0"/>
    <xf numFmtId="195" fontId="13" fillId="6" borderId="0" applyNumberFormat="0" applyBorder="0" applyAlignment="0" applyProtection="0"/>
    <xf numFmtId="195" fontId="73" fillId="0" borderId="59" applyNumberFormat="0" applyFill="0" applyAlignment="0" applyProtection="0"/>
    <xf numFmtId="0" fontId="16" fillId="0" borderId="6" applyNumberFormat="0" applyFill="0" applyAlignment="0" applyProtection="0"/>
    <xf numFmtId="195" fontId="16" fillId="0" borderId="6" applyNumberFormat="0" applyFill="0" applyAlignment="0" applyProtection="0"/>
    <xf numFmtId="195" fontId="73" fillId="0" borderId="59" applyNumberFormat="0" applyFill="0" applyAlignment="0" applyProtection="0"/>
    <xf numFmtId="195" fontId="73" fillId="0" borderId="59" applyNumberFormat="0" applyFill="0" applyAlignment="0" applyProtection="0"/>
    <xf numFmtId="0" fontId="16" fillId="0" borderId="6" applyNumberFormat="0" applyFill="0" applyAlignment="0" applyProtection="0"/>
    <xf numFmtId="195" fontId="16" fillId="0" borderId="6" applyNumberFormat="0" applyFill="0" applyAlignment="0" applyProtection="0"/>
    <xf numFmtId="195" fontId="73" fillId="0" borderId="59" applyNumberFormat="0" applyFill="0" applyAlignment="0" applyProtection="0"/>
    <xf numFmtId="0" fontId="16" fillId="0" borderId="6" applyNumberFormat="0" applyFill="0" applyAlignment="0" applyProtection="0"/>
    <xf numFmtId="195" fontId="16" fillId="0" borderId="6" applyNumberFormat="0" applyFill="0" applyAlignment="0" applyProtection="0"/>
    <xf numFmtId="195" fontId="73" fillId="0" borderId="59" applyNumberFormat="0" applyFill="0" applyAlignment="0" applyProtection="0"/>
    <xf numFmtId="0" fontId="16" fillId="0" borderId="6" applyNumberFormat="0" applyFill="0" applyAlignment="0" applyProtection="0"/>
    <xf numFmtId="195" fontId="16" fillId="0" borderId="6" applyNumberFormat="0" applyFill="0" applyAlignment="0" applyProtection="0"/>
    <xf numFmtId="195" fontId="73" fillId="0" borderId="59" applyNumberFormat="0" applyFill="0" applyAlignment="0" applyProtection="0"/>
    <xf numFmtId="195" fontId="73" fillId="0" borderId="59" applyNumberFormat="0" applyFill="0" applyAlignment="0" applyProtection="0"/>
    <xf numFmtId="0" fontId="73" fillId="0" borderId="59" applyNumberFormat="0" applyFill="0" applyAlignment="0" applyProtection="0"/>
    <xf numFmtId="195" fontId="73" fillId="0" borderId="59" applyNumberFormat="0" applyFill="0" applyAlignment="0" applyProtection="0"/>
    <xf numFmtId="195" fontId="73" fillId="0" borderId="59" applyNumberFormat="0" applyFill="0" applyAlignment="0" applyProtection="0"/>
    <xf numFmtId="195" fontId="73" fillId="0" borderId="59" applyNumberFormat="0" applyFill="0" applyAlignment="0" applyProtection="0"/>
    <xf numFmtId="0" fontId="73" fillId="0" borderId="59" applyNumberFormat="0" applyFill="0" applyAlignment="0" applyProtection="0"/>
    <xf numFmtId="195" fontId="73" fillId="0" borderId="59" applyNumberFormat="0" applyFill="0" applyAlignment="0" applyProtection="0"/>
    <xf numFmtId="0" fontId="16" fillId="0" borderId="6" applyNumberFormat="0" applyFill="0" applyAlignment="0" applyProtection="0"/>
    <xf numFmtId="195" fontId="16" fillId="0" borderId="6" applyNumberFormat="0" applyFill="0" applyAlignment="0" applyProtection="0"/>
    <xf numFmtId="195" fontId="74" fillId="0" borderId="60" applyNumberFormat="0" applyFill="0" applyAlignment="0" applyProtection="0"/>
    <xf numFmtId="0" fontId="17" fillId="0" borderId="7" applyNumberFormat="0" applyFill="0" applyAlignment="0" applyProtection="0"/>
    <xf numFmtId="195" fontId="17" fillId="0" borderId="7" applyNumberFormat="0" applyFill="0" applyAlignment="0" applyProtection="0"/>
    <xf numFmtId="195" fontId="74" fillId="0" borderId="60" applyNumberFormat="0" applyFill="0" applyAlignment="0" applyProtection="0"/>
    <xf numFmtId="195" fontId="74" fillId="0" borderId="60" applyNumberFormat="0" applyFill="0" applyAlignment="0" applyProtection="0"/>
    <xf numFmtId="0" fontId="17" fillId="0" borderId="7" applyNumberFormat="0" applyFill="0" applyAlignment="0" applyProtection="0"/>
    <xf numFmtId="195" fontId="17" fillId="0" borderId="7" applyNumberFormat="0" applyFill="0" applyAlignment="0" applyProtection="0"/>
    <xf numFmtId="195" fontId="74" fillId="0" borderId="60" applyNumberFormat="0" applyFill="0" applyAlignment="0" applyProtection="0"/>
    <xf numFmtId="0" fontId="17" fillId="0" borderId="7" applyNumberFormat="0" applyFill="0" applyAlignment="0" applyProtection="0"/>
    <xf numFmtId="195" fontId="17" fillId="0" borderId="7" applyNumberFormat="0" applyFill="0" applyAlignment="0" applyProtection="0"/>
    <xf numFmtId="195" fontId="74" fillId="0" borderId="60" applyNumberFormat="0" applyFill="0" applyAlignment="0" applyProtection="0"/>
    <xf numFmtId="0" fontId="17" fillId="0" borderId="7" applyNumberFormat="0" applyFill="0" applyAlignment="0" applyProtection="0"/>
    <xf numFmtId="195" fontId="17" fillId="0" borderId="7" applyNumberFormat="0" applyFill="0" applyAlignment="0" applyProtection="0"/>
    <xf numFmtId="195" fontId="74" fillId="0" borderId="60" applyNumberFormat="0" applyFill="0" applyAlignment="0" applyProtection="0"/>
    <xf numFmtId="195" fontId="74" fillId="0" borderId="60" applyNumberFormat="0" applyFill="0" applyAlignment="0" applyProtection="0"/>
    <xf numFmtId="0" fontId="74" fillId="0" borderId="60" applyNumberFormat="0" applyFill="0" applyAlignment="0" applyProtection="0"/>
    <xf numFmtId="195" fontId="74" fillId="0" borderId="60" applyNumberFormat="0" applyFill="0" applyAlignment="0" applyProtection="0"/>
    <xf numFmtId="195" fontId="74" fillId="0" borderId="60" applyNumberFormat="0" applyFill="0" applyAlignment="0" applyProtection="0"/>
    <xf numFmtId="195" fontId="74" fillId="0" borderId="60" applyNumberFormat="0" applyFill="0" applyAlignment="0" applyProtection="0"/>
    <xf numFmtId="0" fontId="74" fillId="0" borderId="60" applyNumberFormat="0" applyFill="0" applyAlignment="0" applyProtection="0"/>
    <xf numFmtId="195" fontId="74" fillId="0" borderId="60" applyNumberFormat="0" applyFill="0" applyAlignment="0" applyProtection="0"/>
    <xf numFmtId="0" fontId="17" fillId="0" borderId="7" applyNumberFormat="0" applyFill="0" applyAlignment="0" applyProtection="0"/>
    <xf numFmtId="195" fontId="17" fillId="0" borderId="7" applyNumberFormat="0" applyFill="0" applyAlignment="0" applyProtection="0"/>
    <xf numFmtId="195" fontId="75" fillId="0" borderId="61" applyNumberFormat="0" applyFill="0" applyAlignment="0" applyProtection="0"/>
    <xf numFmtId="0" fontId="18" fillId="0" borderId="8" applyNumberFormat="0" applyFill="0" applyAlignment="0" applyProtection="0"/>
    <xf numFmtId="195" fontId="18" fillId="0" borderId="8" applyNumberFormat="0" applyFill="0" applyAlignment="0" applyProtection="0"/>
    <xf numFmtId="195" fontId="75" fillId="0" borderId="61" applyNumberFormat="0" applyFill="0" applyAlignment="0" applyProtection="0"/>
    <xf numFmtId="195" fontId="75" fillId="0" borderId="61" applyNumberFormat="0" applyFill="0" applyAlignment="0" applyProtection="0"/>
    <xf numFmtId="0" fontId="18" fillId="0" borderId="8" applyNumberFormat="0" applyFill="0" applyAlignment="0" applyProtection="0"/>
    <xf numFmtId="195" fontId="18" fillId="0" borderId="8" applyNumberFormat="0" applyFill="0" applyAlignment="0" applyProtection="0"/>
    <xf numFmtId="195" fontId="75" fillId="0" borderId="61" applyNumberFormat="0" applyFill="0" applyAlignment="0" applyProtection="0"/>
    <xf numFmtId="0" fontId="18" fillId="0" borderId="8" applyNumberFormat="0" applyFill="0" applyAlignment="0" applyProtection="0"/>
    <xf numFmtId="195" fontId="18" fillId="0" borderId="8" applyNumberFormat="0" applyFill="0" applyAlignment="0" applyProtection="0"/>
    <xf numFmtId="195" fontId="75" fillId="0" borderId="61" applyNumberFormat="0" applyFill="0" applyAlignment="0" applyProtection="0"/>
    <xf numFmtId="0" fontId="18" fillId="0" borderId="8" applyNumberFormat="0" applyFill="0" applyAlignment="0" applyProtection="0"/>
    <xf numFmtId="195" fontId="18" fillId="0" borderId="8" applyNumberFormat="0" applyFill="0" applyAlignment="0" applyProtection="0"/>
    <xf numFmtId="195" fontId="75" fillId="0" borderId="61" applyNumberFormat="0" applyFill="0" applyAlignment="0" applyProtection="0"/>
    <xf numFmtId="195" fontId="75" fillId="0" borderId="61" applyNumberFormat="0" applyFill="0" applyAlignment="0" applyProtection="0"/>
    <xf numFmtId="0" fontId="75" fillId="0" borderId="61" applyNumberFormat="0" applyFill="0" applyAlignment="0" applyProtection="0"/>
    <xf numFmtId="195" fontId="75" fillId="0" borderId="61" applyNumberFormat="0" applyFill="0" applyAlignment="0" applyProtection="0"/>
    <xf numFmtId="195" fontId="75" fillId="0" borderId="61" applyNumberFormat="0" applyFill="0" applyAlignment="0" applyProtection="0"/>
    <xf numFmtId="195" fontId="75" fillId="0" borderId="61" applyNumberFormat="0" applyFill="0" applyAlignment="0" applyProtection="0"/>
    <xf numFmtId="0" fontId="75" fillId="0" borderId="61" applyNumberFormat="0" applyFill="0" applyAlignment="0" applyProtection="0"/>
    <xf numFmtId="195" fontId="75" fillId="0" borderId="61" applyNumberFormat="0" applyFill="0" applyAlignment="0" applyProtection="0"/>
    <xf numFmtId="0" fontId="18" fillId="0" borderId="8" applyNumberFormat="0" applyFill="0" applyAlignment="0" applyProtection="0"/>
    <xf numFmtId="195" fontId="18" fillId="0" borderId="8" applyNumberFormat="0" applyFill="0" applyAlignment="0" applyProtection="0"/>
    <xf numFmtId="195" fontId="75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95" fontId="18" fillId="0" borderId="0" applyNumberFormat="0" applyFill="0" applyBorder="0" applyAlignment="0" applyProtection="0"/>
    <xf numFmtId="195" fontId="75" fillId="0" borderId="0" applyNumberFormat="0" applyFill="0" applyBorder="0" applyAlignment="0" applyProtection="0"/>
    <xf numFmtId="195" fontId="75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95" fontId="18" fillId="0" borderId="0" applyNumberFormat="0" applyFill="0" applyBorder="0" applyAlignment="0" applyProtection="0"/>
    <xf numFmtId="195" fontId="75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95" fontId="18" fillId="0" borderId="0" applyNumberFormat="0" applyFill="0" applyBorder="0" applyAlignment="0" applyProtection="0"/>
    <xf numFmtId="195" fontId="75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95" fontId="18" fillId="0" borderId="0" applyNumberFormat="0" applyFill="0" applyBorder="0" applyAlignment="0" applyProtection="0"/>
    <xf numFmtId="195" fontId="75" fillId="0" borderId="0" applyNumberFormat="0" applyFill="0" applyBorder="0" applyAlignment="0" applyProtection="0"/>
    <xf numFmtId="195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195" fontId="75" fillId="0" borderId="0" applyNumberFormat="0" applyFill="0" applyBorder="0" applyAlignment="0" applyProtection="0"/>
    <xf numFmtId="195" fontId="75" fillId="0" borderId="0" applyNumberFormat="0" applyFill="0" applyBorder="0" applyAlignment="0" applyProtection="0"/>
    <xf numFmtId="195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195" fontId="75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95" fontId="18" fillId="0" borderId="0" applyNumberFormat="0" applyFill="0" applyBorder="0" applyAlignment="0" applyProtection="0"/>
    <xf numFmtId="0" fontId="90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195" fontId="90" fillId="0" borderId="0" applyNumberFormat="0" applyFill="0" applyBorder="0" applyAlignment="0" applyProtection="0">
      <alignment vertical="top"/>
      <protection locked="0"/>
    </xf>
    <xf numFmtId="195" fontId="90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/>
    <xf numFmtId="195" fontId="91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195" fontId="92" fillId="0" borderId="0" applyNumberFormat="0" applyFill="0" applyBorder="0" applyAlignment="0" applyProtection="0"/>
    <xf numFmtId="195" fontId="79" fillId="80" borderId="62" applyNumberFormat="0" applyAlignment="0" applyProtection="0"/>
    <xf numFmtId="0" fontId="19" fillId="9" borderId="40" applyNumberFormat="0" applyAlignment="0" applyProtection="0"/>
    <xf numFmtId="195" fontId="19" fillId="9" borderId="40" applyNumberFormat="0" applyAlignment="0" applyProtection="0"/>
    <xf numFmtId="195" fontId="19" fillId="9" borderId="40" applyNumberFormat="0" applyAlignment="0" applyProtection="0"/>
    <xf numFmtId="0" fontId="19" fillId="9" borderId="40" applyNumberFormat="0" applyAlignment="0" applyProtection="0"/>
    <xf numFmtId="195" fontId="19" fillId="9" borderId="40" applyNumberFormat="0" applyAlignment="0" applyProtection="0"/>
    <xf numFmtId="195" fontId="79" fillId="80" borderId="62" applyNumberFormat="0" applyAlignment="0" applyProtection="0"/>
    <xf numFmtId="0" fontId="19" fillId="9" borderId="40" applyNumberFormat="0" applyAlignment="0" applyProtection="0"/>
    <xf numFmtId="195" fontId="19" fillId="9" borderId="40" applyNumberFormat="0" applyAlignment="0" applyProtection="0"/>
    <xf numFmtId="195" fontId="79" fillId="80" borderId="62" applyNumberFormat="0" applyAlignment="0" applyProtection="0"/>
    <xf numFmtId="0" fontId="79" fillId="80" borderId="62" applyNumberFormat="0" applyAlignment="0" applyProtection="0"/>
    <xf numFmtId="195" fontId="79" fillId="80" borderId="62" applyNumberFormat="0" applyAlignment="0" applyProtection="0"/>
    <xf numFmtId="195" fontId="79" fillId="80" borderId="62" applyNumberFormat="0" applyAlignment="0" applyProtection="0"/>
    <xf numFmtId="195" fontId="19" fillId="9" borderId="40" applyNumberFormat="0" applyAlignment="0" applyProtection="0"/>
    <xf numFmtId="195" fontId="82" fillId="0" borderId="64" applyNumberFormat="0" applyFill="0" applyAlignment="0" applyProtection="0"/>
    <xf numFmtId="0" fontId="20" fillId="0" borderId="10" applyNumberFormat="0" applyFill="0" applyAlignment="0" applyProtection="0"/>
    <xf numFmtId="195" fontId="20" fillId="0" borderId="10" applyNumberFormat="0" applyFill="0" applyAlignment="0" applyProtection="0"/>
    <xf numFmtId="195" fontId="82" fillId="0" borderId="64" applyNumberFormat="0" applyFill="0" applyAlignment="0" applyProtection="0"/>
    <xf numFmtId="195" fontId="82" fillId="0" borderId="64" applyNumberFormat="0" applyFill="0" applyAlignment="0" applyProtection="0"/>
    <xf numFmtId="0" fontId="20" fillId="0" borderId="10" applyNumberFormat="0" applyFill="0" applyAlignment="0" applyProtection="0"/>
    <xf numFmtId="195" fontId="20" fillId="0" borderId="10" applyNumberFormat="0" applyFill="0" applyAlignment="0" applyProtection="0"/>
    <xf numFmtId="195" fontId="82" fillId="0" borderId="64" applyNumberFormat="0" applyFill="0" applyAlignment="0" applyProtection="0"/>
    <xf numFmtId="0" fontId="20" fillId="0" borderId="10" applyNumberFormat="0" applyFill="0" applyAlignment="0" applyProtection="0"/>
    <xf numFmtId="195" fontId="20" fillId="0" borderId="10" applyNumberFormat="0" applyFill="0" applyAlignment="0" applyProtection="0"/>
    <xf numFmtId="195" fontId="82" fillId="0" borderId="64" applyNumberFormat="0" applyFill="0" applyAlignment="0" applyProtection="0"/>
    <xf numFmtId="0" fontId="20" fillId="0" borderId="10" applyNumberFormat="0" applyFill="0" applyAlignment="0" applyProtection="0"/>
    <xf numFmtId="195" fontId="20" fillId="0" borderId="10" applyNumberFormat="0" applyFill="0" applyAlignment="0" applyProtection="0"/>
    <xf numFmtId="195" fontId="82" fillId="0" borderId="64" applyNumberFormat="0" applyFill="0" applyAlignment="0" applyProtection="0"/>
    <xf numFmtId="195" fontId="82" fillId="0" borderId="64" applyNumberFormat="0" applyFill="0" applyAlignment="0" applyProtection="0"/>
    <xf numFmtId="0" fontId="82" fillId="0" borderId="64" applyNumberFormat="0" applyFill="0" applyAlignment="0" applyProtection="0"/>
    <xf numFmtId="195" fontId="82" fillId="0" borderId="64" applyNumberFormat="0" applyFill="0" applyAlignment="0" applyProtection="0"/>
    <xf numFmtId="195" fontId="82" fillId="0" borderId="64" applyNumberFormat="0" applyFill="0" applyAlignment="0" applyProtection="0"/>
    <xf numFmtId="195" fontId="82" fillId="0" borderId="64" applyNumberFormat="0" applyFill="0" applyAlignment="0" applyProtection="0"/>
    <xf numFmtId="0" fontId="82" fillId="0" borderId="64" applyNumberFormat="0" applyFill="0" applyAlignment="0" applyProtection="0"/>
    <xf numFmtId="195" fontId="82" fillId="0" borderId="64" applyNumberFormat="0" applyFill="0" applyAlignment="0" applyProtection="0"/>
    <xf numFmtId="0" fontId="20" fillId="0" borderId="10" applyNumberFormat="0" applyFill="0" applyAlignment="0" applyProtection="0"/>
    <xf numFmtId="195" fontId="20" fillId="0" borderId="10" applyNumberFormat="0" applyFill="0" applyAlignment="0" applyProtection="0"/>
    <xf numFmtId="195" fontId="78" fillId="79" borderId="0" applyNumberFormat="0" applyBorder="0" applyAlignment="0" applyProtection="0"/>
    <xf numFmtId="0" fontId="23" fillId="26" borderId="0" applyNumberFormat="0" applyBorder="0" applyAlignment="0" applyProtection="0"/>
    <xf numFmtId="195" fontId="23" fillId="26" borderId="0" applyNumberFormat="0" applyBorder="0" applyAlignment="0" applyProtection="0"/>
    <xf numFmtId="195" fontId="78" fillId="79" borderId="0" applyNumberFormat="0" applyBorder="0" applyAlignment="0" applyProtection="0"/>
    <xf numFmtId="195" fontId="78" fillId="79" borderId="0" applyNumberFormat="0" applyBorder="0" applyAlignment="0" applyProtection="0"/>
    <xf numFmtId="0" fontId="23" fillId="26" borderId="0" applyNumberFormat="0" applyBorder="0" applyAlignment="0" applyProtection="0"/>
    <xf numFmtId="195" fontId="23" fillId="26" borderId="0" applyNumberFormat="0" applyBorder="0" applyAlignment="0" applyProtection="0"/>
    <xf numFmtId="195" fontId="78" fillId="79" borderId="0" applyNumberFormat="0" applyBorder="0" applyAlignment="0" applyProtection="0"/>
    <xf numFmtId="0" fontId="23" fillId="26" borderId="0" applyNumberFormat="0" applyBorder="0" applyAlignment="0" applyProtection="0"/>
    <xf numFmtId="195" fontId="23" fillId="26" borderId="0" applyNumberFormat="0" applyBorder="0" applyAlignment="0" applyProtection="0"/>
    <xf numFmtId="195" fontId="78" fillId="79" borderId="0" applyNumberFormat="0" applyBorder="0" applyAlignment="0" applyProtection="0"/>
    <xf numFmtId="0" fontId="23" fillId="26" borderId="0" applyNumberFormat="0" applyBorder="0" applyAlignment="0" applyProtection="0"/>
    <xf numFmtId="195" fontId="23" fillId="26" borderId="0" applyNumberFormat="0" applyBorder="0" applyAlignment="0" applyProtection="0"/>
    <xf numFmtId="195" fontId="78" fillId="79" borderId="0" applyNumberFormat="0" applyBorder="0" applyAlignment="0" applyProtection="0"/>
    <xf numFmtId="195" fontId="78" fillId="79" borderId="0" applyNumberFormat="0" applyBorder="0" applyAlignment="0" applyProtection="0"/>
    <xf numFmtId="0" fontId="78" fillId="79" borderId="0" applyNumberFormat="0" applyBorder="0" applyAlignment="0" applyProtection="0"/>
    <xf numFmtId="195" fontId="78" fillId="79" borderId="0" applyNumberFormat="0" applyBorder="0" applyAlignment="0" applyProtection="0"/>
    <xf numFmtId="195" fontId="78" fillId="79" borderId="0" applyNumberFormat="0" applyBorder="0" applyAlignment="0" applyProtection="0"/>
    <xf numFmtId="195" fontId="78" fillId="79" borderId="0" applyNumberFormat="0" applyBorder="0" applyAlignment="0" applyProtection="0"/>
    <xf numFmtId="0" fontId="78" fillId="79" borderId="0" applyNumberFormat="0" applyBorder="0" applyAlignment="0" applyProtection="0"/>
    <xf numFmtId="195" fontId="78" fillId="79" borderId="0" applyNumberFormat="0" applyBorder="0" applyAlignment="0" applyProtection="0"/>
    <xf numFmtId="0" fontId="23" fillId="26" borderId="0" applyNumberFormat="0" applyBorder="0" applyAlignment="0" applyProtection="0"/>
    <xf numFmtId="195" fontId="23" fillId="2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195" fontId="1" fillId="0" borderId="0"/>
    <xf numFmtId="0" fontId="2" fillId="0" borderId="0"/>
    <xf numFmtId="195" fontId="2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2" fillId="0" borderId="0"/>
    <xf numFmtId="0" fontId="2" fillId="0" borderId="0"/>
    <xf numFmtId="195" fontId="2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2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2" fillId="0" borderId="0"/>
    <xf numFmtId="195" fontId="2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0" fontId="2" fillId="0" borderId="0"/>
    <xf numFmtId="195" fontId="2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14" fillId="0" borderId="0"/>
    <xf numFmtId="0" fontId="14" fillId="0" borderId="0"/>
    <xf numFmtId="195" fontId="14" fillId="0" borderId="0"/>
    <xf numFmtId="0" fontId="43" fillId="0" borderId="0"/>
    <xf numFmtId="195" fontId="43" fillId="0" borderId="0"/>
    <xf numFmtId="0" fontId="43" fillId="0" borderId="0"/>
    <xf numFmtId="195" fontId="14" fillId="0" borderId="0"/>
    <xf numFmtId="195" fontId="43" fillId="0" borderId="0"/>
    <xf numFmtId="195" fontId="43" fillId="0" borderId="0"/>
    <xf numFmtId="195" fontId="43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" fillId="0" borderId="0"/>
    <xf numFmtId="195" fontId="1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14" fillId="0" borderId="0"/>
    <xf numFmtId="0" fontId="14" fillId="0" borderId="0"/>
    <xf numFmtId="195" fontId="14" fillId="0" borderId="0"/>
    <xf numFmtId="0" fontId="43" fillId="0" borderId="0"/>
    <xf numFmtId="195" fontId="43" fillId="0" borderId="0"/>
    <xf numFmtId="0" fontId="43" fillId="0" borderId="0"/>
    <xf numFmtId="195" fontId="14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0" fontId="1" fillId="0" borderId="0"/>
    <xf numFmtId="195" fontId="1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1" fillId="0" borderId="0"/>
    <xf numFmtId="195" fontId="1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1" fillId="0" borderId="0"/>
    <xf numFmtId="195" fontId="1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1" fillId="0" borderId="0"/>
    <xf numFmtId="195" fontId="1" fillId="0" borderId="0"/>
    <xf numFmtId="195" fontId="43" fillId="0" borderId="0"/>
    <xf numFmtId="195" fontId="43" fillId="0" borderId="0"/>
    <xf numFmtId="195" fontId="43" fillId="0" borderId="0"/>
    <xf numFmtId="0" fontId="1" fillId="0" borderId="0"/>
    <xf numFmtId="195" fontId="1" fillId="0" borderId="0"/>
    <xf numFmtId="195" fontId="43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195" fontId="43" fillId="0" borderId="0"/>
    <xf numFmtId="195" fontId="43" fillId="0" borderId="0"/>
    <xf numFmtId="195" fontId="43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195" fontId="43" fillId="0" borderId="0"/>
    <xf numFmtId="195" fontId="43" fillId="0" borderId="0"/>
    <xf numFmtId="0" fontId="1" fillId="0" borderId="0"/>
    <xf numFmtId="195" fontId="1" fillId="0" borderId="0"/>
    <xf numFmtId="0" fontId="14" fillId="0" borderId="0"/>
    <xf numFmtId="195" fontId="14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1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7" fontId="43" fillId="0" borderId="0"/>
    <xf numFmtId="195" fontId="43" fillId="0" borderId="0"/>
    <xf numFmtId="0" fontId="43" fillId="0" borderId="0"/>
    <xf numFmtId="0" fontId="43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1" fillId="0" borderId="0"/>
    <xf numFmtId="195" fontId="1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0" fontId="4" fillId="0" borderId="0"/>
    <xf numFmtId="195" fontId="4" fillId="0" borderId="0"/>
    <xf numFmtId="195" fontId="43" fillId="0" borderId="0"/>
    <xf numFmtId="0" fontId="4" fillId="0" borderId="0"/>
    <xf numFmtId="195" fontId="4" fillId="0" borderId="0"/>
    <xf numFmtId="0" fontId="4" fillId="0" borderId="0"/>
    <xf numFmtId="195" fontId="4" fillId="0" borderId="0"/>
    <xf numFmtId="0" fontId="4" fillId="0" borderId="0"/>
    <xf numFmtId="195" fontId="4" fillId="0" borderId="0"/>
    <xf numFmtId="0" fontId="4" fillId="0" borderId="0"/>
    <xf numFmtId="195" fontId="4" fillId="0" borderId="0"/>
    <xf numFmtId="0" fontId="1" fillId="0" borderId="0"/>
    <xf numFmtId="195" fontId="1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0" fontId="1" fillId="0" borderId="0"/>
    <xf numFmtId="0" fontId="1" fillId="0" borderId="0"/>
    <xf numFmtId="195" fontId="1" fillId="0" borderId="0"/>
    <xf numFmtId="0" fontId="4" fillId="0" borderId="0"/>
    <xf numFmtId="195" fontId="4" fillId="0" borderId="0"/>
    <xf numFmtId="195" fontId="1" fillId="0" borderId="0"/>
    <xf numFmtId="195" fontId="43" fillId="0" borderId="0"/>
    <xf numFmtId="195" fontId="43" fillId="0" borderId="0"/>
    <xf numFmtId="195" fontId="43" fillId="0" borderId="0"/>
    <xf numFmtId="0" fontId="1" fillId="0" borderId="0"/>
    <xf numFmtId="195" fontId="1" fillId="0" borderId="0"/>
    <xf numFmtId="195" fontId="43" fillId="0" borderId="0"/>
    <xf numFmtId="0" fontId="4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" fillId="0" borderId="0"/>
    <xf numFmtId="195" fontId="4" fillId="0" borderId="0"/>
    <xf numFmtId="0" fontId="43" fillId="0" borderId="0"/>
    <xf numFmtId="195" fontId="43" fillId="0" borderId="0"/>
    <xf numFmtId="0" fontId="43" fillId="0" borderId="0"/>
    <xf numFmtId="195" fontId="4" fillId="0" borderId="0"/>
    <xf numFmtId="0" fontId="1" fillId="0" borderId="0">
      <alignment vertical="top"/>
    </xf>
    <xf numFmtId="0" fontId="1" fillId="0" borderId="0"/>
    <xf numFmtId="195" fontId="1" fillId="0" borderId="0"/>
    <xf numFmtId="0" fontId="1" fillId="0" borderId="0">
      <alignment vertical="top"/>
    </xf>
    <xf numFmtId="195" fontId="1" fillId="0" borderId="0">
      <alignment vertical="top"/>
    </xf>
    <xf numFmtId="0" fontId="1" fillId="0" borderId="0"/>
    <xf numFmtId="195" fontId="1" fillId="0" borderId="0"/>
    <xf numFmtId="195" fontId="1" fillId="0" borderId="0">
      <alignment vertical="top"/>
    </xf>
    <xf numFmtId="0" fontId="1" fillId="0" borderId="0"/>
    <xf numFmtId="0" fontId="1" fillId="0" borderId="0"/>
    <xf numFmtId="195" fontId="1" fillId="0" borderId="0"/>
    <xf numFmtId="195" fontId="1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" fillId="0" borderId="0"/>
    <xf numFmtId="195" fontId="4" fillId="0" borderId="0"/>
    <xf numFmtId="195" fontId="43" fillId="0" borderId="0"/>
    <xf numFmtId="195" fontId="43" fillId="0" borderId="0"/>
    <xf numFmtId="195" fontId="43" fillId="0" borderId="0"/>
    <xf numFmtId="0" fontId="4" fillId="0" borderId="0"/>
    <xf numFmtId="195" fontId="4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" fillId="0" borderId="0"/>
    <xf numFmtId="0" fontId="4" fillId="0" borderId="0"/>
    <xf numFmtId="195" fontId="4" fillId="0" borderId="0"/>
    <xf numFmtId="0" fontId="43" fillId="0" borderId="0"/>
    <xf numFmtId="195" fontId="43" fillId="0" borderId="0"/>
    <xf numFmtId="0" fontId="43" fillId="0" borderId="0"/>
    <xf numFmtId="195" fontId="4" fillId="0" borderId="0"/>
    <xf numFmtId="195" fontId="43" fillId="0" borderId="0"/>
    <xf numFmtId="195" fontId="43" fillId="0" borderId="0"/>
    <xf numFmtId="0" fontId="1" fillId="0" borderId="0"/>
    <xf numFmtId="195" fontId="1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195" fontId="43" fillId="0" borderId="0"/>
    <xf numFmtId="195" fontId="43" fillId="0" borderId="0"/>
    <xf numFmtId="0" fontId="1" fillId="0" borderId="0"/>
    <xf numFmtId="195" fontId="1" fillId="0" borderId="0"/>
    <xf numFmtId="195" fontId="43" fillId="0" borderId="0"/>
    <xf numFmtId="0" fontId="14" fillId="0" borderId="0"/>
    <xf numFmtId="195" fontId="14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195" fontId="43" fillId="0" borderId="0"/>
    <xf numFmtId="195" fontId="43" fillId="0" borderId="0"/>
    <xf numFmtId="0" fontId="1" fillId="0" borderId="0"/>
    <xf numFmtId="195" fontId="1" fillId="0" borderId="0"/>
    <xf numFmtId="195" fontId="43" fillId="0" borderId="0"/>
    <xf numFmtId="195" fontId="14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0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0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195" fontId="43" fillId="0" borderId="0"/>
    <xf numFmtId="195" fontId="43" fillId="0" borderId="0"/>
    <xf numFmtId="195" fontId="43" fillId="0" borderId="0"/>
    <xf numFmtId="195" fontId="1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14" fillId="0" borderId="0"/>
    <xf numFmtId="195" fontId="14" fillId="0" borderId="0"/>
    <xf numFmtId="195" fontId="43" fillId="0" borderId="0"/>
    <xf numFmtId="0" fontId="14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4" fillId="0" borderId="0"/>
    <xf numFmtId="195" fontId="14" fillId="0" borderId="0"/>
    <xf numFmtId="0" fontId="43" fillId="0" borderId="0"/>
    <xf numFmtId="195" fontId="43" fillId="0" borderId="0"/>
    <xf numFmtId="0" fontId="43" fillId="0" borderId="0"/>
    <xf numFmtId="195" fontId="14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0" fontId="1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" fillId="0" borderId="0"/>
    <xf numFmtId="195" fontId="4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" fillId="0" borderId="0"/>
    <xf numFmtId="195" fontId="4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" fillId="0" borderId="0"/>
    <xf numFmtId="195" fontId="4" fillId="0" borderId="0"/>
    <xf numFmtId="0" fontId="4" fillId="0" borderId="0"/>
    <xf numFmtId="195" fontId="4" fillId="0" borderId="0"/>
    <xf numFmtId="0" fontId="4" fillId="0" borderId="0"/>
    <xf numFmtId="195" fontId="4" fillId="0" borderId="0"/>
    <xf numFmtId="0" fontId="4" fillId="0" borderId="0"/>
    <xf numFmtId="195" fontId="4" fillId="0" borderId="0"/>
    <xf numFmtId="0" fontId="4" fillId="0" borderId="0"/>
    <xf numFmtId="195" fontId="4" fillId="0" borderId="0"/>
    <xf numFmtId="0" fontId="1" fillId="0" borderId="0"/>
    <xf numFmtId="195" fontId="1" fillId="0" borderId="0"/>
    <xf numFmtId="0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195" fontId="43" fillId="0" borderId="0"/>
    <xf numFmtId="0" fontId="1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4" fillId="0" borderId="0"/>
    <xf numFmtId="195" fontId="14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4" fillId="0" borderId="0"/>
    <xf numFmtId="195" fontId="14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14" fillId="0" borderId="0"/>
    <xf numFmtId="195" fontId="14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0" fontId="43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195" fontId="1" fillId="0" borderId="0"/>
    <xf numFmtId="195" fontId="43" fillId="0" borderId="0"/>
    <xf numFmtId="195" fontId="1" fillId="0" borderId="0"/>
    <xf numFmtId="0" fontId="1" fillId="0" borderId="0"/>
    <xf numFmtId="195" fontId="1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195" fontId="43" fillId="0" borderId="0"/>
    <xf numFmtId="195" fontId="43" fillId="0" borderId="0"/>
    <xf numFmtId="0" fontId="43" fillId="0" borderId="0"/>
    <xf numFmtId="0" fontId="1" fillId="0" borderId="0"/>
    <xf numFmtId="195" fontId="1" fillId="0" borderId="0"/>
    <xf numFmtId="195" fontId="43" fillId="0" borderId="0"/>
    <xf numFmtId="195" fontId="43" fillId="0" borderId="0"/>
    <xf numFmtId="0" fontId="43" fillId="0" borderId="0"/>
    <xf numFmtId="0" fontId="1" fillId="0" borderId="0"/>
    <xf numFmtId="0" fontId="1" fillId="0" borderId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1" fillId="27" borderId="42" applyNumberFormat="0" applyFont="0" applyAlignment="0" applyProtection="0"/>
    <xf numFmtId="195" fontId="1" fillId="27" borderId="42" applyNumberFormat="0" applyFont="0" applyAlignment="0" applyProtection="0"/>
    <xf numFmtId="195" fontId="43" fillId="83" borderId="66" applyNumberFormat="0" applyFont="0" applyAlignment="0" applyProtection="0"/>
    <xf numFmtId="195" fontId="43" fillId="83" borderId="66" applyNumberFormat="0" applyFont="0" applyAlignment="0" applyProtection="0"/>
    <xf numFmtId="195" fontId="43" fillId="83" borderId="66" applyNumberFormat="0" applyFont="0" applyAlignment="0" applyProtection="0"/>
    <xf numFmtId="195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1" fillId="27" borderId="42" applyNumberFormat="0" applyFont="0" applyAlignment="0" applyProtection="0"/>
    <xf numFmtId="195" fontId="1" fillId="27" borderId="42" applyNumberFormat="0" applyFont="0" applyAlignment="0" applyProtection="0"/>
    <xf numFmtId="195" fontId="43" fillId="83" borderId="66" applyNumberFormat="0" applyFont="0" applyAlignment="0" applyProtection="0"/>
    <xf numFmtId="195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1" fillId="27" borderId="42" applyNumberFormat="0" applyFont="0" applyAlignment="0" applyProtection="0"/>
    <xf numFmtId="195" fontId="1" fillId="27" borderId="42" applyNumberFormat="0" applyFont="0" applyAlignment="0" applyProtection="0"/>
    <xf numFmtId="195" fontId="43" fillId="83" borderId="66" applyNumberFormat="0" applyFont="0" applyAlignment="0" applyProtection="0"/>
    <xf numFmtId="195" fontId="1" fillId="27" borderId="42" applyNumberFormat="0" applyFont="0" applyAlignment="0" applyProtection="0"/>
    <xf numFmtId="195" fontId="1" fillId="27" borderId="42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1" fillId="27" borderId="42" applyNumberFormat="0" applyFont="0" applyAlignment="0" applyProtection="0"/>
    <xf numFmtId="195" fontId="1" fillId="27" borderId="42" applyNumberFormat="0" applyFont="0" applyAlignment="0" applyProtection="0"/>
    <xf numFmtId="195" fontId="43" fillId="83" borderId="66" applyNumberFormat="0" applyFont="0" applyAlignment="0" applyProtection="0"/>
    <xf numFmtId="195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1" fillId="27" borderId="42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1" fillId="27" borderId="42" applyNumberFormat="0" applyFont="0" applyAlignment="0" applyProtection="0"/>
    <xf numFmtId="195" fontId="1" fillId="27" borderId="42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1" fillId="27" borderId="42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0" fontId="1" fillId="27" borderId="42" applyNumberFormat="0" applyFont="0" applyAlignment="0" applyProtection="0"/>
    <xf numFmtId="195" fontId="1" fillId="27" borderId="42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1" fillId="27" borderId="42" applyNumberFormat="0" applyFont="0" applyAlignment="0" applyProtection="0"/>
    <xf numFmtId="0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43" fillId="83" borderId="66" applyNumberFormat="0" applyFont="0" applyAlignment="0" applyProtection="0"/>
    <xf numFmtId="0" fontId="43" fillId="83" borderId="66" applyNumberFormat="0" applyFont="0" applyAlignment="0" applyProtection="0"/>
    <xf numFmtId="195" fontId="80" fillId="81" borderId="63" applyNumberFormat="0" applyAlignment="0" applyProtection="0"/>
    <xf numFmtId="0" fontId="26" fillId="22" borderId="43" applyNumberFormat="0" applyAlignment="0" applyProtection="0"/>
    <xf numFmtId="195" fontId="26" fillId="22" borderId="43" applyNumberFormat="0" applyAlignment="0" applyProtection="0"/>
    <xf numFmtId="195" fontId="26" fillId="22" borderId="43" applyNumberFormat="0" applyAlignment="0" applyProtection="0"/>
    <xf numFmtId="0" fontId="26" fillId="22" borderId="43" applyNumberFormat="0" applyAlignment="0" applyProtection="0"/>
    <xf numFmtId="195" fontId="26" fillId="22" borderId="43" applyNumberFormat="0" applyAlignment="0" applyProtection="0"/>
    <xf numFmtId="195" fontId="80" fillId="81" borderId="63" applyNumberFormat="0" applyAlignment="0" applyProtection="0"/>
    <xf numFmtId="0" fontId="26" fillId="22" borderId="43" applyNumberFormat="0" applyAlignment="0" applyProtection="0"/>
    <xf numFmtId="195" fontId="26" fillId="22" borderId="43" applyNumberFormat="0" applyAlignment="0" applyProtection="0"/>
    <xf numFmtId="195" fontId="80" fillId="81" borderId="63" applyNumberFormat="0" applyAlignment="0" applyProtection="0"/>
    <xf numFmtId="0" fontId="80" fillId="81" borderId="63" applyNumberFormat="0" applyAlignment="0" applyProtection="0"/>
    <xf numFmtId="195" fontId="80" fillId="81" borderId="63" applyNumberFormat="0" applyAlignment="0" applyProtection="0"/>
    <xf numFmtId="195" fontId="80" fillId="81" borderId="63" applyNumberFormat="0" applyAlignment="0" applyProtection="0"/>
    <xf numFmtId="195" fontId="26" fillId="22" borderId="43" applyNumberFormat="0" applyAlignment="0" applyProtection="0"/>
    <xf numFmtId="9" fontId="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0" fontId="2" fillId="0" borderId="0"/>
    <xf numFmtId="0" fontId="1" fillId="0" borderId="0" applyNumberFormat="0" applyFill="0" applyBorder="0" applyAlignment="0" applyProtection="0"/>
    <xf numFmtId="195" fontId="1" fillId="0" borderId="0" applyNumberFormat="0" applyFill="0" applyBorder="0" applyAlignment="0" applyProtection="0"/>
    <xf numFmtId="0" fontId="1" fillId="0" borderId="0"/>
    <xf numFmtId="195" fontId="1" fillId="0" borderId="0"/>
    <xf numFmtId="195" fontId="2" fillId="0" borderId="0"/>
    <xf numFmtId="0" fontId="2" fillId="0" borderId="0"/>
    <xf numFmtId="0" fontId="2" fillId="0" borderId="0"/>
    <xf numFmtId="195" fontId="2" fillId="0" borderId="0"/>
    <xf numFmtId="0" fontId="2" fillId="0" borderId="0"/>
    <xf numFmtId="195" fontId="2" fillId="0" borderId="0"/>
    <xf numFmtId="0" fontId="53" fillId="0" borderId="0" applyNumberFormat="0" applyFill="0" applyBorder="0" applyAlignment="0" applyProtection="0"/>
    <xf numFmtId="195" fontId="53" fillId="0" borderId="0" applyNumberFormat="0" applyFill="0" applyBorder="0" applyAlignment="0" applyProtection="0"/>
    <xf numFmtId="195" fontId="2" fillId="0" borderId="0"/>
    <xf numFmtId="0" fontId="1" fillId="0" borderId="0"/>
    <xf numFmtId="195" fontId="1" fillId="0" borderId="0"/>
    <xf numFmtId="195" fontId="53" fillId="0" borderId="0" applyNumberFormat="0" applyFill="0" applyBorder="0" applyAlignment="0" applyProtection="0"/>
    <xf numFmtId="0" fontId="2" fillId="0" borderId="0"/>
    <xf numFmtId="14" fontId="1" fillId="0" borderId="0" applyFont="0" applyFill="0" applyBorder="0" applyAlignment="0" applyProtection="0"/>
    <xf numFmtId="49" fontId="1" fillId="0" borderId="0" applyFont="0" applyFill="0" applyBorder="0" applyAlignment="0" applyProtection="0"/>
    <xf numFmtId="49" fontId="1" fillId="0" borderId="0" applyFont="0" applyFill="0" applyBorder="0" applyAlignment="0" applyProtection="0"/>
    <xf numFmtId="49" fontId="1" fillId="0" borderId="0" applyFont="0" applyFill="0" applyBorder="0" applyAlignment="0" applyProtection="0"/>
    <xf numFmtId="49" fontId="1" fillId="0" borderId="0" applyFont="0" applyFill="0" applyBorder="0" applyAlignment="0" applyProtection="0"/>
    <xf numFmtId="49" fontId="1" fillId="0" borderId="0" applyFont="0" applyFill="0" applyBorder="0" applyAlignment="0" applyProtection="0"/>
    <xf numFmtId="49" fontId="1" fillId="0" borderId="0" applyFont="0" applyFill="0" applyBorder="0" applyAlignment="0" applyProtection="0"/>
    <xf numFmtId="195" fontId="7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5" fontId="31" fillId="0" borderId="0" applyNumberFormat="0" applyFill="0" applyBorder="0" applyAlignment="0" applyProtection="0"/>
    <xf numFmtId="195" fontId="72" fillId="0" borderId="0" applyNumberFormat="0" applyFill="0" applyBorder="0" applyAlignment="0" applyProtection="0"/>
    <xf numFmtId="195" fontId="7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5" fontId="31" fillId="0" borderId="0" applyNumberFormat="0" applyFill="0" applyBorder="0" applyAlignment="0" applyProtection="0"/>
    <xf numFmtId="195" fontId="7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5" fontId="31" fillId="0" borderId="0" applyNumberFormat="0" applyFill="0" applyBorder="0" applyAlignment="0" applyProtection="0"/>
    <xf numFmtId="195" fontId="7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5" fontId="31" fillId="0" borderId="0" applyNumberFormat="0" applyFill="0" applyBorder="0" applyAlignment="0" applyProtection="0"/>
    <xf numFmtId="195" fontId="72" fillId="0" borderId="0" applyNumberFormat="0" applyFill="0" applyBorder="0" applyAlignment="0" applyProtection="0"/>
    <xf numFmtId="195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195" fontId="72" fillId="0" borderId="0" applyNumberFormat="0" applyFill="0" applyBorder="0" applyAlignment="0" applyProtection="0"/>
    <xf numFmtId="195" fontId="72" fillId="0" borderId="0" applyNumberFormat="0" applyFill="0" applyBorder="0" applyAlignment="0" applyProtection="0"/>
    <xf numFmtId="195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195" fontId="7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5" fontId="31" fillId="0" borderId="0" applyNumberFormat="0" applyFill="0" applyBorder="0" applyAlignment="0" applyProtection="0"/>
    <xf numFmtId="195" fontId="63" fillId="0" borderId="69" applyNumberFormat="0" applyFill="0" applyAlignment="0" applyProtection="0"/>
    <xf numFmtId="195" fontId="63" fillId="0" borderId="69" applyNumberFormat="0" applyFill="0" applyAlignment="0" applyProtection="0"/>
    <xf numFmtId="195" fontId="51" fillId="0" borderId="67" applyNumberFormat="0" applyFill="0" applyAlignment="0" applyProtection="0"/>
    <xf numFmtId="0" fontId="63" fillId="0" borderId="69" applyNumberFormat="0" applyFill="0" applyAlignment="0" applyProtection="0"/>
    <xf numFmtId="195" fontId="63" fillId="0" borderId="69" applyNumberFormat="0" applyFill="0" applyAlignment="0" applyProtection="0"/>
    <xf numFmtId="195" fontId="51" fillId="0" borderId="67" applyNumberFormat="0" applyFill="0" applyAlignment="0" applyProtection="0"/>
    <xf numFmtId="0" fontId="63" fillId="0" borderId="69" applyNumberFormat="0" applyFill="0" applyAlignment="0" applyProtection="0"/>
    <xf numFmtId="195" fontId="63" fillId="0" borderId="69" applyNumberFormat="0" applyFill="0" applyAlignment="0" applyProtection="0"/>
    <xf numFmtId="195" fontId="51" fillId="0" borderId="67" applyNumberFormat="0" applyFill="0" applyAlignment="0" applyProtection="0"/>
    <xf numFmtId="195" fontId="51" fillId="0" borderId="67" applyNumberFormat="0" applyFill="0" applyAlignment="0" applyProtection="0"/>
    <xf numFmtId="0" fontId="51" fillId="0" borderId="67" applyNumberFormat="0" applyFill="0" applyAlignment="0" applyProtection="0"/>
    <xf numFmtId="195" fontId="51" fillId="0" borderId="67" applyNumberFormat="0" applyFill="0" applyAlignment="0" applyProtection="0"/>
    <xf numFmtId="195" fontId="51" fillId="0" borderId="67" applyNumberFormat="0" applyFill="0" applyAlignment="0" applyProtection="0"/>
    <xf numFmtId="195" fontId="51" fillId="0" borderId="67" applyNumberFormat="0" applyFill="0" applyAlignment="0" applyProtection="0"/>
    <xf numFmtId="0" fontId="51" fillId="0" borderId="67" applyNumberFormat="0" applyFill="0" applyAlignment="0" applyProtection="0"/>
    <xf numFmtId="195" fontId="51" fillId="0" borderId="67" applyNumberFormat="0" applyFill="0" applyAlignment="0" applyProtection="0"/>
    <xf numFmtId="0" fontId="63" fillId="0" borderId="69" applyNumberFormat="0" applyFill="0" applyAlignment="0" applyProtection="0"/>
    <xf numFmtId="195" fontId="63" fillId="0" borderId="69" applyNumberFormat="0" applyFill="0" applyAlignment="0" applyProtection="0"/>
    <xf numFmtId="195" fontId="84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195" fontId="32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195" fontId="32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195" fontId="32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195" fontId="32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195" fontId="8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195" fontId="32" fillId="0" borderId="0" applyNumberFormat="0" applyFill="0" applyBorder="0" applyAlignment="0" applyProtection="0"/>
    <xf numFmtId="0" fontId="1" fillId="0" borderId="0"/>
    <xf numFmtId="0" fontId="95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0" fontId="19" fillId="9" borderId="78" applyNumberFormat="0" applyAlignment="0" applyProtection="0"/>
    <xf numFmtId="0" fontId="43" fillId="0" borderId="0"/>
    <xf numFmtId="0" fontId="4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27" borderId="79" applyNumberFormat="0" applyFont="0" applyAlignment="0" applyProtection="0"/>
    <xf numFmtId="0" fontId="63" fillId="0" borderId="69" applyNumberFormat="0" applyFill="0" applyAlignment="0" applyProtection="0"/>
    <xf numFmtId="0" fontId="63" fillId="0" borderId="69" applyNumberFormat="0" applyFill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0" fillId="0" borderId="0" applyNumberFormat="0" applyFill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43" fontId="43" fillId="0" borderId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27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27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27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1" fillId="0" borderId="0" applyNumberForma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Alignment="0" applyProtection="0"/>
    <xf numFmtId="198" fontId="43" fillId="0" borderId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198" fontId="43" fillId="0" borderId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43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43" fillId="0" borderId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43" fillId="0" borderId="0" applyNumberFormat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Alignment="0" applyProtection="0"/>
    <xf numFmtId="198" fontId="43" fillId="0" borderId="0" applyNumberFormat="0" applyFill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/>
    <xf numFmtId="198" fontId="43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ill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0" fillId="0" borderId="0" applyNumberFormat="0" applyFill="0" applyAlignment="0" applyProtection="0"/>
    <xf numFmtId="198" fontId="100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0" fillId="0" borderId="0" applyNumberFormat="0" applyFill="0" applyAlignment="0" applyProtection="0"/>
    <xf numFmtId="198" fontId="100" fillId="0" borderId="0" applyNumberFormat="0" applyFill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0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9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9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1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27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1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101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 applyNumberFormat="0" applyFill="0" applyBorder="0" applyAlignment="0" applyProtection="0"/>
    <xf numFmtId="198" fontId="101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9" fontId="43" fillId="0" borderId="0" applyFont="0" applyFill="0" applyBorder="0" applyAlignment="0" applyProtection="0"/>
    <xf numFmtId="199" fontId="43" fillId="0" borderId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9" fontId="43" fillId="0" borderId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43" fontId="43" fillId="0" borderId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Font="0" applyFill="0" applyBorder="0" applyAlignment="0" applyProtection="0"/>
    <xf numFmtId="198" fontId="43" fillId="0" borderId="0" applyFont="0" applyFill="0" applyBorder="0" applyAlignment="0" applyProtection="0"/>
    <xf numFmtId="198" fontId="43" fillId="0" borderId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43" fontId="100" fillId="0" borderId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43" fontId="43" fillId="0" borderId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198" fontId="43" fillId="0" borderId="0" applyNumberFormat="0" applyFont="0" applyFill="0" applyBorder="0" applyAlignment="0" applyProtection="0"/>
    <xf numFmtId="43" fontId="43" fillId="0" borderId="0" applyFont="0" applyFill="0" applyBorder="0" applyAlignment="0" applyProtection="0"/>
    <xf numFmtId="198" fontId="43" fillId="0" borderId="0" applyNumberFormat="0" applyFont="0" applyFill="0" applyBorder="0" applyAlignment="0" applyProtection="0"/>
    <xf numFmtId="199" fontId="100" fillId="0" borderId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Fill="0" applyAlignment="0" applyProtection="0"/>
    <xf numFmtId="198" fontId="43" fillId="0" borderId="0" applyNumberFormat="0" applyAlignment="0" applyProtection="0"/>
    <xf numFmtId="198" fontId="43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9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19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9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19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9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43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27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27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198" fontId="10" fillId="0" borderId="0" applyNumberFormat="0" applyFont="0" applyFill="0" applyBorder="0" applyAlignment="0" applyProtection="0"/>
    <xf numFmtId="199" fontId="43" fillId="0" borderId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27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>
      <alignment vertical="top"/>
      <protection locked="0"/>
    </xf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43" fontId="43" fillId="0" borderId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0" fillId="0" borderId="0">
      <alignment vertical="top"/>
    </xf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" fillId="0" borderId="0" applyNumberFormat="0" applyFont="0" applyFill="0" applyBorder="0" applyAlignment="0" applyProtection="0"/>
    <xf numFmtId="198" fontId="101" fillId="0" borderId="0"/>
    <xf numFmtId="198" fontId="100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1" fillId="0" borderId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0" fillId="0" borderId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0" fillId="0" borderId="0"/>
    <xf numFmtId="198" fontId="101" fillId="0" borderId="0"/>
    <xf numFmtId="198" fontId="10" fillId="0" borderId="0" applyNumberFormat="0" applyFont="0" applyFill="0" applyBorder="0" applyAlignment="0" applyProtection="0"/>
    <xf numFmtId="198" fontId="100" fillId="0" borderId="0"/>
    <xf numFmtId="198" fontId="43" fillId="0" borderId="0" applyNumberFormat="0" applyFont="0" applyFill="0" applyBorder="0" applyAlignment="0" applyProtection="0"/>
    <xf numFmtId="198" fontId="100" fillId="0" borderId="0"/>
    <xf numFmtId="198" fontId="43" fillId="0" borderId="0" applyNumberFormat="0" applyFont="0" applyFill="0" applyBorder="0" applyAlignment="0" applyProtection="0"/>
    <xf numFmtId="198" fontId="100" fillId="0" borderId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43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1" fillId="0" borderId="0"/>
    <xf numFmtId="198" fontId="101" fillId="0" borderId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1" fillId="0" borderId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0" fillId="0" borderId="0"/>
    <xf numFmtId="198" fontId="43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0" fillId="0" borderId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0" fillId="0" borderId="0"/>
    <xf numFmtId="198" fontId="100" fillId="0" borderId="0"/>
    <xf numFmtId="198" fontId="100" fillId="0" borderId="0"/>
    <xf numFmtId="198" fontId="43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198" fontId="43" fillId="0" borderId="0"/>
    <xf numFmtId="198" fontId="43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198" fontId="43" fillId="27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/>
    <xf numFmtId="198" fontId="43" fillId="0" borderId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198" fontId="43" fillId="0" borderId="0"/>
    <xf numFmtId="198" fontId="43" fillId="0" borderId="0"/>
    <xf numFmtId="198" fontId="10" fillId="0" borderId="0" applyNumberFormat="0" applyFont="0" applyFill="0" applyBorder="0" applyAlignment="0" applyProtection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/>
    <xf numFmtId="198" fontId="43" fillId="0" borderId="0" applyNumberFormat="0" applyFill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0" fillId="0" borderId="0"/>
    <xf numFmtId="198" fontId="101" fillId="0" borderId="0"/>
    <xf numFmtId="198" fontId="101" fillId="0" borderId="0"/>
    <xf numFmtId="198" fontId="100" fillId="0" borderId="0"/>
    <xf numFmtId="198" fontId="101" fillId="0" borderId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10" fillId="0" borderId="0" applyNumberFormat="0" applyFont="0" applyFill="0" applyBorder="0" applyAlignment="0" applyProtection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43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100" fillId="0" borderId="0"/>
    <xf numFmtId="198" fontId="43" fillId="0" borderId="0"/>
    <xf numFmtId="198" fontId="43" fillId="0" borderId="0"/>
    <xf numFmtId="198" fontId="10" fillId="0" borderId="0" applyNumberFormat="0" applyFont="0" applyFill="0" applyBorder="0" applyAlignment="0" applyProtection="0"/>
    <xf numFmtId="198" fontId="43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ill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1" fillId="0" borderId="0"/>
    <xf numFmtId="198" fontId="43" fillId="0" borderId="0" applyNumberFormat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1" fillId="0" borderId="0"/>
    <xf numFmtId="198" fontId="43" fillId="0" borderId="0" applyNumberFormat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1" fillId="0" borderId="0"/>
    <xf numFmtId="198" fontId="43" fillId="0" borderId="0"/>
    <xf numFmtId="198" fontId="101" fillId="0" borderId="0"/>
    <xf numFmtId="198" fontId="43" fillId="0" borderId="0" applyNumberFormat="0" applyBorder="0" applyAlignment="0" applyProtection="0"/>
    <xf numFmtId="198" fontId="100" fillId="0" borderId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43" fillId="0" borderId="0" applyNumberFormat="0" applyFill="0" applyAlignment="0" applyProtection="0"/>
    <xf numFmtId="198" fontId="100" fillId="0" borderId="0">
      <alignment vertical="top"/>
    </xf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101" fillId="0" borderId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1" fillId="0" borderId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27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1" fillId="0" borderId="0"/>
    <xf numFmtId="198" fontId="101" fillId="0" borderId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0" fillId="0" borderId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0" fillId="0" borderId="0"/>
    <xf numFmtId="198" fontId="101" fillId="0" borderId="0"/>
    <xf numFmtId="198" fontId="10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9" fillId="0" borderId="0" applyNumberFormat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9" fontId="100" fillId="0" borderId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9" fontId="100" fillId="0" borderId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4" fontId="100" fillId="0" borderId="0" applyFont="0" applyFill="0" applyBorder="0" applyAlignment="0" applyProtection="0"/>
    <xf numFmtId="49" fontId="100" fillId="0" borderId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101" fillId="0" borderId="0" applyNumberForma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10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 applyNumberFormat="0" applyBorder="0" applyAlignment="0" applyProtection="0"/>
    <xf numFmtId="198" fontId="43" fillId="0" borderId="0" applyNumberFormat="0" applyFont="0" applyFill="0" applyBorder="0" applyAlignment="0" applyProtection="0"/>
    <xf numFmtId="198" fontId="43" fillId="0" borderId="0"/>
    <xf numFmtId="198" fontId="100" fillId="0" borderId="0">
      <alignment vertical="top"/>
    </xf>
    <xf numFmtId="198" fontId="100" fillId="0" borderId="0"/>
    <xf numFmtId="0" fontId="43" fillId="0" borderId="0"/>
    <xf numFmtId="9" fontId="4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1" fillId="0" borderId="0" applyNumberFormat="0" applyFill="0" applyBorder="0" applyAlignment="0" applyProtection="0"/>
    <xf numFmtId="0" fontId="9" fillId="22" borderId="78" applyNumberFormat="0" applyAlignment="0" applyProtection="0"/>
    <xf numFmtId="0" fontId="19" fillId="9" borderId="78" applyNumberFormat="0" applyAlignment="0" applyProtection="0"/>
    <xf numFmtId="0" fontId="1" fillId="27" borderId="79" applyNumberFormat="0" applyFon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" fillId="46" borderId="79" applyNumberFormat="0" applyAlignment="0" applyProtection="0"/>
    <xf numFmtId="0" fontId="1" fillId="46" borderId="79" applyNumberFormat="0" applyAlignment="0" applyProtection="0"/>
    <xf numFmtId="0" fontId="65" fillId="65" borderId="78" applyNumberFormat="0" applyAlignment="0" applyProtection="0"/>
    <xf numFmtId="0" fontId="19" fillId="68" borderId="78" applyNumberFormat="0" applyAlignment="0" applyProtection="0"/>
    <xf numFmtId="0" fontId="1" fillId="76" borderId="79" applyNumberFormat="0" applyAlignment="0" applyProtection="0"/>
    <xf numFmtId="0" fontId="9" fillId="22" borderId="78" applyNumberFormat="0" applyAlignment="0" applyProtection="0"/>
    <xf numFmtId="0" fontId="19" fillId="9" borderId="78" applyNumberFormat="0" applyAlignment="0" applyProtection="0"/>
    <xf numFmtId="0" fontId="19" fillId="9" borderId="78" applyNumberFormat="0" applyAlignment="0" applyProtection="0"/>
    <xf numFmtId="0" fontId="1" fillId="27" borderId="79" applyNumberFormat="0" applyFon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" fillId="46" borderId="79" applyNumberFormat="0" applyAlignment="0" applyProtection="0"/>
    <xf numFmtId="0" fontId="1" fillId="46" borderId="79" applyNumberFormat="0" applyAlignment="0" applyProtection="0"/>
    <xf numFmtId="0" fontId="65" fillId="65" borderId="78" applyNumberFormat="0" applyAlignment="0" applyProtection="0"/>
    <xf numFmtId="0" fontId="19" fillId="68" borderId="78" applyNumberFormat="0" applyAlignment="0" applyProtection="0"/>
    <xf numFmtId="0" fontId="1" fillId="76" borderId="79" applyNumberFormat="0" applyAlignment="0" applyProtection="0"/>
    <xf numFmtId="0" fontId="19" fillId="51" borderId="78" applyNumberFormat="0" applyAlignment="0" applyProtection="0"/>
    <xf numFmtId="0" fontId="19" fillId="68" borderId="78" applyNumberFormat="0" applyAlignment="0" applyProtection="0"/>
    <xf numFmtId="0" fontId="9" fillId="22" borderId="78" applyNumberFormat="0" applyAlignment="0" applyProtection="0"/>
    <xf numFmtId="0" fontId="9" fillId="22" borderId="78" applyNumberFormat="0" applyAlignment="0" applyProtection="0"/>
    <xf numFmtId="0" fontId="9" fillId="22" borderId="78" applyNumberFormat="0" applyAlignment="0" applyProtection="0"/>
    <xf numFmtId="0" fontId="19" fillId="51" borderId="78" applyNumberFormat="0" applyAlignment="0" applyProtection="0"/>
    <xf numFmtId="0" fontId="55" fillId="57" borderId="78" applyNumberFormat="0" applyAlignment="0" applyProtection="0"/>
    <xf numFmtId="0" fontId="19" fillId="9" borderId="78" applyNumberFormat="0" applyAlignment="0" applyProtection="0"/>
    <xf numFmtId="0" fontId="55" fillId="57" borderId="78" applyNumberFormat="0" applyAlignment="0" applyProtection="0"/>
    <xf numFmtId="0" fontId="1" fillId="27" borderId="79" applyNumberFormat="0" applyFont="0" applyAlignment="0" applyProtection="0"/>
    <xf numFmtId="0" fontId="1" fillId="76" borderId="79" applyNumberFormat="0" applyAlignment="0" applyProtection="0"/>
    <xf numFmtId="0" fontId="1" fillId="46" borderId="79" applyNumberFormat="0" applyAlignment="0" applyProtection="0"/>
    <xf numFmtId="0" fontId="65" fillId="65" borderId="78" applyNumberFormat="0" applyAlignment="0" applyProtection="0"/>
    <xf numFmtId="0" fontId="19" fillId="68" borderId="78" applyNumberFormat="0" applyAlignment="0" applyProtection="0"/>
    <xf numFmtId="0" fontId="55" fillId="57" borderId="78" applyNumberFormat="0" applyAlignment="0" applyProtection="0"/>
    <xf numFmtId="0" fontId="1" fillId="27" borderId="79" applyNumberFormat="0" applyFont="0" applyAlignment="0" applyProtection="0"/>
    <xf numFmtId="0" fontId="1" fillId="27" borderId="79" applyNumberFormat="0" applyFont="0" applyAlignment="0" applyProtection="0"/>
    <xf numFmtId="0" fontId="19" fillId="9" borderId="78" applyNumberFormat="0" applyAlignment="0" applyProtection="0"/>
    <xf numFmtId="0" fontId="19" fillId="51" borderId="78" applyNumberFormat="0" applyAlignment="0" applyProtection="0"/>
    <xf numFmtId="0" fontId="65" fillId="65" borderId="78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9" fillId="22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" fillId="27" borderId="79" applyNumberFormat="0" applyFont="0" applyAlignment="0" applyProtection="0"/>
    <xf numFmtId="0" fontId="19" fillId="9" borderId="78" applyNumberFormat="0" applyAlignment="0" applyProtection="0"/>
    <xf numFmtId="0" fontId="1" fillId="46" borderId="79" applyNumberFormat="0" applyAlignment="0" applyProtection="0"/>
    <xf numFmtId="0" fontId="1" fillId="46" borderId="79" applyNumberFormat="0" applyAlignment="0" applyProtection="0"/>
    <xf numFmtId="0" fontId="9" fillId="22" borderId="78" applyNumberFormat="0" applyAlignment="0" applyProtection="0"/>
    <xf numFmtId="0" fontId="1" fillId="76" borderId="79" applyNumberFormat="0" applyAlignment="0" applyProtection="0"/>
    <xf numFmtId="0" fontId="19" fillId="68" borderId="78" applyNumberFormat="0" applyAlignment="0" applyProtection="0"/>
    <xf numFmtId="0" fontId="19" fillId="51" borderId="78" applyNumberFormat="0" applyAlignment="0" applyProtection="0"/>
    <xf numFmtId="0" fontId="65" fillId="65" borderId="78" applyNumberFormat="0" applyAlignment="0" applyProtection="0"/>
    <xf numFmtId="0" fontId="55" fillId="57" borderId="78" applyNumberFormat="0" applyAlignment="0" applyProtection="0"/>
    <xf numFmtId="0" fontId="19" fillId="68" borderId="78" applyNumberFormat="0" applyAlignment="0" applyProtection="0"/>
    <xf numFmtId="0" fontId="1" fillId="76" borderId="79" applyNumberFormat="0" applyAlignment="0" applyProtection="0"/>
    <xf numFmtId="0" fontId="65" fillId="65" borderId="78" applyNumberFormat="0" applyAlignment="0" applyProtection="0"/>
    <xf numFmtId="0" fontId="1" fillId="76" borderId="79" applyNumberFormat="0" applyAlignment="0" applyProtection="0"/>
    <xf numFmtId="0" fontId="19" fillId="68" borderId="78" applyNumberFormat="0" applyAlignment="0" applyProtection="0"/>
    <xf numFmtId="0" fontId="19" fillId="51" borderId="78" applyNumberFormat="0" applyAlignment="0" applyProtection="0"/>
    <xf numFmtId="0" fontId="55" fillId="57" borderId="78" applyNumberFormat="0" applyAlignment="0" applyProtection="0"/>
    <xf numFmtId="0" fontId="19" fillId="9" borderId="78" applyNumberFormat="0" applyAlignment="0" applyProtection="0"/>
    <xf numFmtId="0" fontId="1" fillId="46" borderId="79" applyNumberFormat="0" applyAlignment="0" applyProtection="0"/>
    <xf numFmtId="0" fontId="1" fillId="46" borderId="79" applyNumberFormat="0" applyAlignment="0" applyProtection="0"/>
    <xf numFmtId="0" fontId="1" fillId="27" borderId="79" applyNumberFormat="0" applyFont="0" applyAlignment="0" applyProtection="0"/>
    <xf numFmtId="0" fontId="19" fillId="51" borderId="78" applyNumberFormat="0" applyAlignment="0" applyProtection="0"/>
    <xf numFmtId="0" fontId="1" fillId="46" borderId="79" applyNumberFormat="0" applyAlignment="0" applyProtection="0"/>
    <xf numFmtId="0" fontId="55" fillId="57" borderId="78" applyNumberFormat="0" applyAlignment="0" applyProtection="0"/>
    <xf numFmtId="0" fontId="1" fillId="46" borderId="79" applyNumberFormat="0" applyAlignment="0" applyProtection="0"/>
    <xf numFmtId="0" fontId="1" fillId="46" borderId="79" applyNumberFormat="0" applyAlignment="0" applyProtection="0"/>
    <xf numFmtId="0" fontId="19" fillId="51" borderId="78" applyNumberFormat="0" applyAlignment="0" applyProtection="0"/>
    <xf numFmtId="0" fontId="55" fillId="57" borderId="78" applyNumberFormat="0" applyAlignment="0" applyProtection="0"/>
    <xf numFmtId="0" fontId="1" fillId="46" borderId="79" applyNumberFormat="0" applyAlignment="0" applyProtection="0"/>
    <xf numFmtId="0" fontId="55" fillId="57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55" fillId="57" borderId="78" applyNumberFormat="0" applyAlignment="0" applyProtection="0"/>
    <xf numFmtId="0" fontId="1" fillId="46" borderId="79" applyNumberFormat="0" applyAlignment="0" applyProtection="0"/>
    <xf numFmtId="0" fontId="1" fillId="76" borderId="79" applyNumberFormat="0" applyAlignment="0" applyProtection="0"/>
    <xf numFmtId="0" fontId="19" fillId="51" borderId="78" applyNumberFormat="0" applyAlignment="0" applyProtection="0"/>
    <xf numFmtId="0" fontId="19" fillId="9" borderId="78" applyNumberFormat="0" applyAlignment="0" applyProtection="0"/>
    <xf numFmtId="0" fontId="19" fillId="51" borderId="78" applyNumberFormat="0" applyAlignment="0" applyProtection="0"/>
    <xf numFmtId="0" fontId="65" fillId="65" borderId="78" applyNumberFormat="0" applyAlignment="0" applyProtection="0"/>
    <xf numFmtId="0" fontId="55" fillId="57" borderId="78" applyNumberFormat="0" applyAlignment="0" applyProtection="0"/>
    <xf numFmtId="0" fontId="9" fillId="22" borderId="78" applyNumberFormat="0" applyAlignment="0" applyProtection="0"/>
    <xf numFmtId="195" fontId="9" fillId="22" borderId="78" applyNumberFormat="0" applyAlignment="0" applyProtection="0"/>
    <xf numFmtId="195" fontId="9" fillId="22" borderId="78" applyNumberFormat="0" applyAlignment="0" applyProtection="0"/>
    <xf numFmtId="0" fontId="9" fillId="22" borderId="78" applyNumberFormat="0" applyAlignment="0" applyProtection="0"/>
    <xf numFmtId="195" fontId="9" fillId="22" borderId="78" applyNumberFormat="0" applyAlignment="0" applyProtection="0"/>
    <xf numFmtId="0" fontId="9" fillId="22" borderId="78" applyNumberFormat="0" applyAlignment="0" applyProtection="0"/>
    <xf numFmtId="195" fontId="9" fillId="22" borderId="78" applyNumberFormat="0" applyAlignment="0" applyProtection="0"/>
    <xf numFmtId="195" fontId="9" fillId="22" borderId="78" applyNumberFormat="0" applyAlignment="0" applyProtection="0"/>
    <xf numFmtId="0" fontId="19" fillId="9" borderId="78" applyNumberFormat="0" applyAlignment="0" applyProtection="0"/>
    <xf numFmtId="195" fontId="19" fillId="9" borderId="78" applyNumberFormat="0" applyAlignment="0" applyProtection="0"/>
    <xf numFmtId="195" fontId="19" fillId="9" borderId="78" applyNumberFormat="0" applyAlignment="0" applyProtection="0"/>
    <xf numFmtId="0" fontId="19" fillId="9" borderId="78" applyNumberFormat="0" applyAlignment="0" applyProtection="0"/>
    <xf numFmtId="195" fontId="19" fillId="9" borderId="78" applyNumberFormat="0" applyAlignment="0" applyProtection="0"/>
    <xf numFmtId="0" fontId="19" fillId="9" borderId="78" applyNumberFormat="0" applyAlignment="0" applyProtection="0"/>
    <xf numFmtId="195" fontId="19" fillId="9" borderId="78" applyNumberFormat="0" applyAlignment="0" applyProtection="0"/>
    <xf numFmtId="195" fontId="19" fillId="9" borderId="78" applyNumberFormat="0" applyAlignment="0" applyProtection="0"/>
    <xf numFmtId="0" fontId="1" fillId="27" borderId="79" applyNumberFormat="0" applyFont="0" applyAlignment="0" applyProtection="0"/>
    <xf numFmtId="195" fontId="1" fillId="27" borderId="79" applyNumberFormat="0" applyFont="0" applyAlignment="0" applyProtection="0"/>
    <xf numFmtId="0" fontId="1" fillId="27" borderId="79" applyNumberFormat="0" applyFont="0" applyAlignment="0" applyProtection="0"/>
    <xf numFmtId="195" fontId="1" fillId="27" borderId="79" applyNumberFormat="0" applyFont="0" applyAlignment="0" applyProtection="0"/>
    <xf numFmtId="0" fontId="1" fillId="27" borderId="79" applyNumberFormat="0" applyFont="0" applyAlignment="0" applyProtection="0"/>
    <xf numFmtId="195" fontId="1" fillId="27" borderId="79" applyNumberFormat="0" applyFont="0" applyAlignment="0" applyProtection="0"/>
    <xf numFmtId="195" fontId="1" fillId="27" borderId="79" applyNumberFormat="0" applyFont="0" applyAlignment="0" applyProtection="0"/>
    <xf numFmtId="195" fontId="1" fillId="27" borderId="79" applyNumberFormat="0" applyFont="0" applyAlignment="0" applyProtection="0"/>
    <xf numFmtId="0" fontId="1" fillId="27" borderId="79" applyNumberFormat="0" applyFont="0" applyAlignment="0" applyProtection="0"/>
    <xf numFmtId="195" fontId="1" fillId="27" borderId="79" applyNumberFormat="0" applyFont="0" applyAlignment="0" applyProtection="0"/>
    <xf numFmtId="0" fontId="1" fillId="27" borderId="79" applyNumberFormat="0" applyFont="0" applyAlignment="0" applyProtection="0"/>
    <xf numFmtId="0" fontId="1" fillId="27" borderId="79" applyNumberFormat="0" applyFont="0" applyAlignment="0" applyProtection="0"/>
    <xf numFmtId="195" fontId="1" fillId="27" borderId="79" applyNumberFormat="0" applyFont="0" applyAlignment="0" applyProtection="0"/>
    <xf numFmtId="195" fontId="1" fillId="27" borderId="79" applyNumberFormat="0" applyFont="0" applyAlignment="0" applyProtection="0"/>
    <xf numFmtId="0" fontId="1" fillId="27" borderId="79" applyNumberFormat="0" applyFont="0" applyAlignment="0" applyProtection="0"/>
    <xf numFmtId="195" fontId="1" fillId="27" borderId="79" applyNumberFormat="0" applyFont="0" applyAlignment="0" applyProtection="0"/>
    <xf numFmtId="195" fontId="1" fillId="27" borderId="79" applyNumberFormat="0" applyFont="0" applyAlignment="0" applyProtection="0"/>
    <xf numFmtId="0" fontId="95" fillId="0" borderId="0" applyNumberFormat="0" applyFill="0" applyBorder="0" applyAlignment="0" applyProtection="0">
      <alignment vertical="top"/>
      <protection locked="0"/>
    </xf>
    <xf numFmtId="0" fontId="19" fillId="9" borderId="78" applyNumberFormat="0" applyAlignment="0" applyProtection="0"/>
    <xf numFmtId="0" fontId="9" fillId="22" borderId="78" applyNumberFormat="0" applyAlignment="0" applyProtection="0"/>
    <xf numFmtId="0" fontId="15" fillId="0" borderId="41">
      <alignment horizontal="left" vertical="center"/>
    </xf>
    <xf numFmtId="0" fontId="19" fillId="9" borderId="78" applyNumberFormat="0" applyAlignment="0" applyProtection="0"/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0" fontId="1" fillId="27" borderId="79" applyNumberFormat="0" applyFont="0" applyAlignment="0" applyProtection="0"/>
    <xf numFmtId="0" fontId="26" fillId="22" borderId="43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5" fillId="0" borderId="41">
      <alignment horizontal="left" vertical="center"/>
    </xf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10" fontId="14" fillId="25" borderId="39" applyNumberFormat="0" applyBorder="0" applyAlignment="0" applyProtection="0"/>
    <xf numFmtId="0" fontId="1" fillId="46" borderId="79" applyNumberFormat="0" applyAlignment="0" applyProtection="0"/>
    <xf numFmtId="0" fontId="1" fillId="46" borderId="79" applyNumberFormat="0" applyAlignment="0" applyProtection="0"/>
    <xf numFmtId="0" fontId="26" fillId="57" borderId="43" applyNumberFormat="0" applyAlignment="0" applyProtection="0"/>
    <xf numFmtId="0" fontId="26" fillId="57" borderId="43" applyNumberFormat="0" applyAlignment="0" applyProtection="0"/>
    <xf numFmtId="0" fontId="63" fillId="0" borderId="44" applyNumberFormat="0" applyFill="0" applyAlignment="0" applyProtection="0"/>
    <xf numFmtId="0" fontId="63" fillId="0" borderId="44" applyNumberFormat="0" applyFill="0" applyAlignment="0" applyProtection="0"/>
    <xf numFmtId="0" fontId="65" fillId="65" borderId="78" applyNumberFormat="0" applyAlignment="0" applyProtection="0"/>
    <xf numFmtId="0" fontId="19" fillId="68" borderId="78" applyNumberFormat="0" applyAlignment="0" applyProtection="0"/>
    <xf numFmtId="0" fontId="1" fillId="76" borderId="79" applyNumberFormat="0" applyAlignment="0" applyProtection="0"/>
    <xf numFmtId="0" fontId="26" fillId="65" borderId="43" applyNumberFormat="0" applyAlignment="0" applyProtection="0"/>
    <xf numFmtId="0" fontId="9" fillId="22" borderId="78" applyNumberFormat="0" applyAlignment="0" applyProtection="0"/>
    <xf numFmtId="0" fontId="19" fillId="9" borderId="78" applyNumberFormat="0" applyAlignment="0" applyProtection="0"/>
    <xf numFmtId="0" fontId="19" fillId="9" borderId="78" applyNumberFormat="0" applyAlignment="0" applyProtection="0"/>
    <xf numFmtId="0" fontId="1" fillId="27" borderId="79" applyNumberFormat="0" applyFon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" fillId="46" borderId="79" applyNumberFormat="0" applyAlignment="0" applyProtection="0"/>
    <xf numFmtId="0" fontId="1" fillId="46" borderId="79" applyNumberFormat="0" applyAlignment="0" applyProtection="0"/>
    <xf numFmtId="0" fontId="65" fillId="65" borderId="78" applyNumberFormat="0" applyAlignment="0" applyProtection="0"/>
    <xf numFmtId="0" fontId="19" fillId="68" borderId="78" applyNumberFormat="0" applyAlignment="0" applyProtection="0"/>
    <xf numFmtId="0" fontId="1" fillId="76" borderId="79" applyNumberFormat="0" applyAlignment="0" applyProtection="0"/>
    <xf numFmtId="0" fontId="19" fillId="51" borderId="78" applyNumberFormat="0" applyAlignment="0" applyProtection="0"/>
    <xf numFmtId="0" fontId="19" fillId="68" borderId="78" applyNumberFormat="0" applyAlignment="0" applyProtection="0"/>
    <xf numFmtId="0" fontId="9" fillId="22" borderId="78" applyNumberFormat="0" applyAlignment="0" applyProtection="0"/>
    <xf numFmtId="0" fontId="9" fillId="22" borderId="78" applyNumberFormat="0" applyAlignment="0" applyProtection="0"/>
    <xf numFmtId="0" fontId="9" fillId="22" borderId="78" applyNumberFormat="0" applyAlignment="0" applyProtection="0"/>
    <xf numFmtId="0" fontId="19" fillId="51" borderId="78" applyNumberFormat="0" applyAlignment="0" applyProtection="0"/>
    <xf numFmtId="0" fontId="55" fillId="57" borderId="78" applyNumberFormat="0" applyAlignment="0" applyProtection="0"/>
    <xf numFmtId="0" fontId="19" fillId="9" borderId="78" applyNumberFormat="0" applyAlignment="0" applyProtection="0"/>
    <xf numFmtId="0" fontId="55" fillId="57" borderId="78" applyNumberFormat="0" applyAlignment="0" applyProtection="0"/>
    <xf numFmtId="0" fontId="1" fillId="27" borderId="79" applyNumberFormat="0" applyFont="0" applyAlignment="0" applyProtection="0"/>
    <xf numFmtId="0" fontId="1" fillId="76" borderId="79" applyNumberFormat="0" applyAlignment="0" applyProtection="0"/>
    <xf numFmtId="0" fontId="1" fillId="46" borderId="79" applyNumberFormat="0" applyAlignment="0" applyProtection="0"/>
    <xf numFmtId="0" fontId="65" fillId="65" borderId="78" applyNumberFormat="0" applyAlignment="0" applyProtection="0"/>
    <xf numFmtId="0" fontId="19" fillId="68" borderId="78" applyNumberFormat="0" applyAlignment="0" applyProtection="0"/>
    <xf numFmtId="0" fontId="55" fillId="57" borderId="78" applyNumberFormat="0" applyAlignment="0" applyProtection="0"/>
    <xf numFmtId="0" fontId="1" fillId="27" borderId="79" applyNumberFormat="0" applyFont="0" applyAlignment="0" applyProtection="0"/>
    <xf numFmtId="0" fontId="1" fillId="27" borderId="79" applyNumberFormat="0" applyFont="0" applyAlignment="0" applyProtection="0"/>
    <xf numFmtId="0" fontId="19" fillId="9" borderId="78" applyNumberFormat="0" applyAlignment="0" applyProtection="0"/>
    <xf numFmtId="0" fontId="19" fillId="51" borderId="78" applyNumberFormat="0" applyAlignment="0" applyProtection="0"/>
    <xf numFmtId="0" fontId="65" fillId="65" borderId="78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55" fillId="57" borderId="78" applyNumberFormat="0" applyAlignment="0" applyProtection="0"/>
    <xf numFmtId="0" fontId="9" fillId="22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1" fillId="27" borderId="79" applyNumberFormat="0" applyFont="0" applyAlignment="0" applyProtection="0"/>
    <xf numFmtId="0" fontId="19" fillId="9" borderId="78" applyNumberFormat="0" applyAlignment="0" applyProtection="0"/>
    <xf numFmtId="0" fontId="1" fillId="46" borderId="79" applyNumberFormat="0" applyAlignment="0" applyProtection="0"/>
    <xf numFmtId="0" fontId="1" fillId="46" borderId="79" applyNumberFormat="0" applyAlignment="0" applyProtection="0"/>
    <xf numFmtId="0" fontId="9" fillId="22" borderId="78" applyNumberFormat="0" applyAlignment="0" applyProtection="0"/>
    <xf numFmtId="0" fontId="1" fillId="76" borderId="79" applyNumberFormat="0" applyAlignment="0" applyProtection="0"/>
    <xf numFmtId="0" fontId="19" fillId="68" borderId="78" applyNumberFormat="0" applyAlignment="0" applyProtection="0"/>
    <xf numFmtId="0" fontId="19" fillId="51" borderId="78" applyNumberFormat="0" applyAlignment="0" applyProtection="0"/>
    <xf numFmtId="0" fontId="65" fillId="65" borderId="78" applyNumberFormat="0" applyAlignment="0" applyProtection="0"/>
    <xf numFmtId="0" fontId="55" fillId="57" borderId="78" applyNumberFormat="0" applyAlignment="0" applyProtection="0"/>
    <xf numFmtId="0" fontId="19" fillId="68" borderId="78" applyNumberFormat="0" applyAlignment="0" applyProtection="0"/>
    <xf numFmtId="0" fontId="1" fillId="76" borderId="79" applyNumberFormat="0" applyAlignment="0" applyProtection="0"/>
    <xf numFmtId="0" fontId="65" fillId="65" borderId="78" applyNumberFormat="0" applyAlignment="0" applyProtection="0"/>
    <xf numFmtId="0" fontId="1" fillId="76" borderId="79" applyNumberFormat="0" applyAlignment="0" applyProtection="0"/>
    <xf numFmtId="0" fontId="19" fillId="68" borderId="78" applyNumberFormat="0" applyAlignment="0" applyProtection="0"/>
    <xf numFmtId="0" fontId="19" fillId="51" borderId="78" applyNumberFormat="0" applyAlignment="0" applyProtection="0"/>
    <xf numFmtId="0" fontId="55" fillId="57" borderId="78" applyNumberFormat="0" applyAlignment="0" applyProtection="0"/>
    <xf numFmtId="0" fontId="19" fillId="9" borderId="78" applyNumberFormat="0" applyAlignment="0" applyProtection="0"/>
    <xf numFmtId="0" fontId="1" fillId="46" borderId="79" applyNumberFormat="0" applyAlignment="0" applyProtection="0"/>
    <xf numFmtId="0" fontId="1" fillId="46" borderId="79" applyNumberFormat="0" applyAlignment="0" applyProtection="0"/>
    <xf numFmtId="0" fontId="1" fillId="27" borderId="79" applyNumberFormat="0" applyFont="0" applyAlignment="0" applyProtection="0"/>
    <xf numFmtId="0" fontId="19" fillId="51" borderId="78" applyNumberFormat="0" applyAlignment="0" applyProtection="0"/>
    <xf numFmtId="0" fontId="1" fillId="46" borderId="79" applyNumberFormat="0" applyAlignment="0" applyProtection="0"/>
    <xf numFmtId="0" fontId="55" fillId="57" borderId="78" applyNumberFormat="0" applyAlignment="0" applyProtection="0"/>
    <xf numFmtId="0" fontId="1" fillId="46" borderId="79" applyNumberFormat="0" applyAlignment="0" applyProtection="0"/>
    <xf numFmtId="0" fontId="1" fillId="46" borderId="79" applyNumberFormat="0" applyAlignment="0" applyProtection="0"/>
    <xf numFmtId="0" fontId="19" fillId="51" borderId="78" applyNumberFormat="0" applyAlignment="0" applyProtection="0"/>
    <xf numFmtId="0" fontId="55" fillId="57" borderId="78" applyNumberFormat="0" applyAlignment="0" applyProtection="0"/>
    <xf numFmtId="0" fontId="1" fillId="46" borderId="79" applyNumberFormat="0" applyAlignment="0" applyProtection="0"/>
    <xf numFmtId="0" fontId="55" fillId="57" borderId="78" applyNumberFormat="0" applyAlignment="0" applyProtection="0"/>
    <xf numFmtId="0" fontId="19" fillId="51" borderId="78" applyNumberFormat="0" applyAlignment="0" applyProtection="0"/>
    <xf numFmtId="0" fontId="19" fillId="51" borderId="78" applyNumberFormat="0" applyAlignment="0" applyProtection="0"/>
    <xf numFmtId="0" fontId="55" fillId="57" borderId="78" applyNumberFormat="0" applyAlignment="0" applyProtection="0"/>
    <xf numFmtId="0" fontId="1" fillId="46" borderId="79" applyNumberFormat="0" applyAlignment="0" applyProtection="0"/>
    <xf numFmtId="0" fontId="1" fillId="76" borderId="79" applyNumberFormat="0" applyAlignment="0" applyProtection="0"/>
    <xf numFmtId="0" fontId="19" fillId="51" borderId="78" applyNumberFormat="0" applyAlignment="0" applyProtection="0"/>
    <xf numFmtId="0" fontId="19" fillId="9" borderId="78" applyNumberFormat="0" applyAlignment="0" applyProtection="0"/>
    <xf numFmtId="0" fontId="19" fillId="51" borderId="78" applyNumberFormat="0" applyAlignment="0" applyProtection="0"/>
    <xf numFmtId="0" fontId="65" fillId="65" borderId="78" applyNumberFormat="0" applyAlignment="0" applyProtection="0"/>
    <xf numFmtId="0" fontId="55" fillId="57" borderId="78" applyNumberFormat="0" applyAlignment="0" applyProtection="0"/>
    <xf numFmtId="0" fontId="9" fillId="22" borderId="78" applyNumberFormat="0" applyAlignment="0" applyProtection="0"/>
    <xf numFmtId="195" fontId="9" fillId="22" borderId="78" applyNumberFormat="0" applyAlignment="0" applyProtection="0"/>
    <xf numFmtId="195" fontId="9" fillId="22" borderId="78" applyNumberFormat="0" applyAlignment="0" applyProtection="0"/>
    <xf numFmtId="0" fontId="9" fillId="22" borderId="78" applyNumberFormat="0" applyAlignment="0" applyProtection="0"/>
    <xf numFmtId="195" fontId="9" fillId="22" borderId="78" applyNumberFormat="0" applyAlignment="0" applyProtection="0"/>
    <xf numFmtId="0" fontId="9" fillId="22" borderId="78" applyNumberFormat="0" applyAlignment="0" applyProtection="0"/>
    <xf numFmtId="195" fontId="9" fillId="22" borderId="78" applyNumberFormat="0" applyAlignment="0" applyProtection="0"/>
    <xf numFmtId="195" fontId="9" fillId="22" borderId="78" applyNumberFormat="0" applyAlignment="0" applyProtection="0"/>
    <xf numFmtId="0" fontId="19" fillId="9" borderId="78" applyNumberFormat="0" applyAlignment="0" applyProtection="0"/>
    <xf numFmtId="195" fontId="19" fillId="9" borderId="78" applyNumberFormat="0" applyAlignment="0" applyProtection="0"/>
    <xf numFmtId="195" fontId="19" fillId="9" borderId="78" applyNumberFormat="0" applyAlignment="0" applyProtection="0"/>
    <xf numFmtId="0" fontId="19" fillId="9" borderId="78" applyNumberFormat="0" applyAlignment="0" applyProtection="0"/>
    <xf numFmtId="195" fontId="19" fillId="9" borderId="78" applyNumberFormat="0" applyAlignment="0" applyProtection="0"/>
    <xf numFmtId="0" fontId="19" fillId="9" borderId="78" applyNumberFormat="0" applyAlignment="0" applyProtection="0"/>
    <xf numFmtId="195" fontId="19" fillId="9" borderId="78" applyNumberFormat="0" applyAlignment="0" applyProtection="0"/>
    <xf numFmtId="195" fontId="19" fillId="9" borderId="78" applyNumberFormat="0" applyAlignment="0" applyProtection="0"/>
    <xf numFmtId="0" fontId="1" fillId="27" borderId="79" applyNumberFormat="0" applyFont="0" applyAlignment="0" applyProtection="0"/>
    <xf numFmtId="195" fontId="1" fillId="27" borderId="79" applyNumberFormat="0" applyFont="0" applyAlignment="0" applyProtection="0"/>
    <xf numFmtId="0" fontId="1" fillId="27" borderId="79" applyNumberFormat="0" applyFont="0" applyAlignment="0" applyProtection="0"/>
    <xf numFmtId="195" fontId="1" fillId="27" borderId="79" applyNumberFormat="0" applyFont="0" applyAlignment="0" applyProtection="0"/>
    <xf numFmtId="0" fontId="1" fillId="27" borderId="79" applyNumberFormat="0" applyFont="0" applyAlignment="0" applyProtection="0"/>
    <xf numFmtId="195" fontId="1" fillId="27" borderId="79" applyNumberFormat="0" applyFont="0" applyAlignment="0" applyProtection="0"/>
    <xf numFmtId="195" fontId="1" fillId="27" borderId="79" applyNumberFormat="0" applyFont="0" applyAlignment="0" applyProtection="0"/>
    <xf numFmtId="195" fontId="1" fillId="27" borderId="79" applyNumberFormat="0" applyFont="0" applyAlignment="0" applyProtection="0"/>
    <xf numFmtId="0" fontId="1" fillId="27" borderId="79" applyNumberFormat="0" applyFont="0" applyAlignment="0" applyProtection="0"/>
    <xf numFmtId="195" fontId="1" fillId="27" borderId="79" applyNumberFormat="0" applyFont="0" applyAlignment="0" applyProtection="0"/>
    <xf numFmtId="0" fontId="1" fillId="27" borderId="79" applyNumberFormat="0" applyFont="0" applyAlignment="0" applyProtection="0"/>
    <xf numFmtId="0" fontId="1" fillId="27" borderId="79" applyNumberFormat="0" applyFont="0" applyAlignment="0" applyProtection="0"/>
    <xf numFmtId="195" fontId="1" fillId="27" borderId="79" applyNumberFormat="0" applyFont="0" applyAlignment="0" applyProtection="0"/>
    <xf numFmtId="195" fontId="1" fillId="27" borderId="79" applyNumberFormat="0" applyFont="0" applyAlignment="0" applyProtection="0"/>
    <xf numFmtId="0" fontId="1" fillId="27" borderId="79" applyNumberFormat="0" applyFont="0" applyAlignment="0" applyProtection="0"/>
    <xf numFmtId="195" fontId="1" fillId="27" borderId="79" applyNumberFormat="0" applyFont="0" applyAlignment="0" applyProtection="0"/>
    <xf numFmtId="195" fontId="1" fillId="27" borderId="79" applyNumberFormat="0" applyFont="0" applyAlignment="0" applyProtection="0"/>
  </cellStyleXfs>
  <cellXfs count="367">
    <xf numFmtId="0" fontId="0" fillId="0" borderId="0" xfId="0"/>
    <xf numFmtId="0" fontId="0" fillId="0" borderId="0" xfId="0" applyAlignment="1">
      <alignment horizontal="center"/>
    </xf>
    <xf numFmtId="0" fontId="33" fillId="0" borderId="0" xfId="0" applyNumberFormat="1" applyFont="1" applyBorder="1" applyAlignment="1" applyProtection="1">
      <alignment horizontal="center" vertical="center"/>
      <protection locked="0"/>
    </xf>
    <xf numFmtId="0" fontId="39" fillId="0" borderId="0" xfId="0" applyFont="1" applyAlignment="1">
      <alignment horizontal="center" vertical="center"/>
    </xf>
    <xf numFmtId="0" fontId="33" fillId="0" borderId="18" xfId="0" applyNumberFormat="1" applyFont="1" applyBorder="1" applyAlignment="1" applyProtection="1">
      <alignment horizontal="center" vertical="center"/>
      <protection locked="0"/>
    </xf>
    <xf numFmtId="0" fontId="33" fillId="0" borderId="19" xfId="0" applyNumberFormat="1" applyFont="1" applyBorder="1" applyAlignment="1" applyProtection="1">
      <alignment horizontal="center" vertical="center"/>
      <protection locked="0"/>
    </xf>
    <xf numFmtId="0" fontId="44" fillId="2" borderId="0" xfId="1" applyFont="1" applyFill="1" applyAlignment="1" applyProtection="1">
      <alignment horizontal="center" vertical="center"/>
      <protection hidden="1"/>
    </xf>
    <xf numFmtId="0" fontId="44" fillId="0" borderId="0" xfId="1" applyFont="1" applyAlignment="1" applyProtection="1">
      <alignment horizontal="left" vertical="center"/>
      <protection hidden="1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20" fontId="33" fillId="0" borderId="0" xfId="0" applyNumberFormat="1" applyFont="1" applyAlignment="1">
      <alignment vertical="center"/>
    </xf>
    <xf numFmtId="0" fontId="36" fillId="0" borderId="0" xfId="0" applyFont="1" applyBorder="1" applyAlignment="1">
      <alignment horizontal="center" vertical="center"/>
    </xf>
    <xf numFmtId="0" fontId="36" fillId="0" borderId="0" xfId="0" applyFont="1" applyAlignment="1">
      <alignment vertical="center"/>
    </xf>
    <xf numFmtId="20" fontId="36" fillId="0" borderId="0" xfId="0" applyNumberFormat="1" applyFont="1" applyAlignment="1">
      <alignment vertical="center"/>
    </xf>
    <xf numFmtId="0" fontId="35" fillId="0" borderId="0" xfId="0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20" fontId="35" fillId="0" borderId="0" xfId="0" applyNumberFormat="1" applyFont="1" applyAlignment="1">
      <alignment vertical="center"/>
    </xf>
    <xf numFmtId="0" fontId="33" fillId="0" borderId="0" xfId="0" applyNumberFormat="1" applyFont="1" applyBorder="1" applyAlignment="1">
      <alignment vertical="center"/>
    </xf>
    <xf numFmtId="14" fontId="46" fillId="38" borderId="30" xfId="0" applyNumberFormat="1" applyFont="1" applyFill="1" applyBorder="1" applyAlignment="1">
      <alignment horizontal="center" vertical="center"/>
    </xf>
    <xf numFmtId="0" fontId="47" fillId="0" borderId="23" xfId="0" applyFont="1" applyBorder="1" applyAlignment="1">
      <alignment horizontal="center" vertical="center"/>
    </xf>
    <xf numFmtId="187" fontId="48" fillId="31" borderId="23" xfId="0" applyNumberFormat="1" applyFont="1" applyFill="1" applyBorder="1" applyAlignment="1">
      <alignment horizontal="center" vertical="center"/>
    </xf>
    <xf numFmtId="1" fontId="40" fillId="0" borderId="23" xfId="0" applyNumberFormat="1" applyFont="1" applyBorder="1" applyAlignment="1">
      <alignment horizontal="center" vertical="center"/>
    </xf>
    <xf numFmtId="1" fontId="48" fillId="37" borderId="23" xfId="0" applyNumberFormat="1" applyFont="1" applyFill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87" fontId="48" fillId="31" borderId="24" xfId="0" applyNumberFormat="1" applyFont="1" applyFill="1" applyBorder="1" applyAlignment="1">
      <alignment horizontal="center" vertical="center"/>
    </xf>
    <xf numFmtId="1" fontId="40" fillId="0" borderId="24" xfId="0" applyNumberFormat="1" applyFont="1" applyBorder="1" applyAlignment="1">
      <alignment horizontal="center" vertical="center"/>
    </xf>
    <xf numFmtId="1" fontId="48" fillId="37" borderId="24" xfId="0" applyNumberFormat="1" applyFont="1" applyFill="1" applyBorder="1" applyAlignment="1">
      <alignment horizontal="center" vertical="center"/>
    </xf>
    <xf numFmtId="0" fontId="49" fillId="35" borderId="17" xfId="0" applyFont="1" applyFill="1" applyBorder="1" applyAlignment="1">
      <alignment horizontal="center" vertical="center"/>
    </xf>
    <xf numFmtId="187" fontId="48" fillId="32" borderId="17" xfId="0" applyNumberFormat="1" applyFont="1" applyFill="1" applyBorder="1" applyAlignment="1">
      <alignment horizontal="center" vertical="center"/>
    </xf>
    <xf numFmtId="1" fontId="48" fillId="32" borderId="17" xfId="0" applyNumberFormat="1" applyFont="1" applyFill="1" applyBorder="1" applyAlignment="1">
      <alignment horizontal="center" vertical="center"/>
    </xf>
    <xf numFmtId="1" fontId="50" fillId="39" borderId="1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39" fillId="2" borderId="0" xfId="1" applyNumberFormat="1" applyFont="1" applyFill="1" applyBorder="1" applyAlignment="1" applyProtection="1">
      <alignment horizontal="right" vertical="center"/>
      <protection hidden="1"/>
    </xf>
    <xf numFmtId="0" fontId="34" fillId="0" borderId="0" xfId="0" applyFont="1" applyAlignment="1">
      <alignment horizontal="center"/>
    </xf>
    <xf numFmtId="182" fontId="38" fillId="40" borderId="0" xfId="0" applyNumberFormat="1" applyFont="1" applyFill="1" applyBorder="1" applyAlignment="1">
      <alignment horizontal="center" vertical="center"/>
    </xf>
    <xf numFmtId="189" fontId="38" fillId="40" borderId="0" xfId="0" applyNumberFormat="1" applyFont="1" applyFill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0" fontId="52" fillId="41" borderId="0" xfId="0" applyFont="1" applyFill="1"/>
    <xf numFmtId="14" fontId="0" fillId="0" borderId="0" xfId="0" applyNumberFormat="1" applyAlignment="1">
      <alignment horizontal="center" vertical="center"/>
    </xf>
    <xf numFmtId="0" fontId="52" fillId="3" borderId="0" xfId="1" applyFont="1" applyFill="1" applyAlignment="1" applyProtection="1">
      <alignment horizontal="left" vertical="center"/>
      <protection hidden="1"/>
    </xf>
    <xf numFmtId="0" fontId="52" fillId="0" borderId="0" xfId="1" applyFont="1" applyFill="1" applyAlignment="1" applyProtection="1">
      <alignment horizontal="left" vertical="center"/>
      <protection hidden="1"/>
    </xf>
    <xf numFmtId="0" fontId="39" fillId="41" borderId="0" xfId="0" applyFont="1" applyFill="1"/>
    <xf numFmtId="0" fontId="51" fillId="0" borderId="0" xfId="0" applyFont="1"/>
    <xf numFmtId="0" fontId="0" fillId="0" borderId="45" xfId="0" applyBorder="1" applyAlignment="1">
      <alignment horizontal="center" vertical="center"/>
    </xf>
    <xf numFmtId="184" fontId="0" fillId="0" borderId="45" xfId="0" applyNumberFormat="1" applyBorder="1" applyAlignment="1">
      <alignment horizontal="center" vertical="center"/>
    </xf>
    <xf numFmtId="14" fontId="0" fillId="0" borderId="45" xfId="0" applyNumberFormat="1" applyBorder="1" applyAlignment="1">
      <alignment horizontal="center" vertical="center"/>
    </xf>
    <xf numFmtId="0" fontId="34" fillId="0" borderId="46" xfId="0" applyNumberFormat="1" applyFont="1" applyFill="1" applyBorder="1" applyAlignment="1" applyProtection="1">
      <alignment horizontal="center" vertical="center"/>
      <protection locked="0"/>
    </xf>
    <xf numFmtId="0" fontId="34" fillId="0" borderId="47" xfId="0" applyNumberFormat="1" applyFont="1" applyFill="1" applyBorder="1" applyAlignment="1" applyProtection="1">
      <alignment horizontal="center"/>
      <protection locked="0"/>
    </xf>
    <xf numFmtId="0" fontId="34" fillId="0" borderId="47" xfId="0" applyNumberFormat="1" applyFont="1" applyFill="1" applyBorder="1" applyAlignment="1" applyProtection="1">
      <alignment horizontal="center" vertical="center"/>
      <protection locked="0"/>
    </xf>
    <xf numFmtId="20" fontId="34" fillId="0" borderId="47" xfId="0" applyNumberFormat="1" applyFont="1" applyFill="1" applyBorder="1" applyAlignment="1" applyProtection="1">
      <alignment horizontal="center" vertical="center"/>
      <protection locked="0"/>
    </xf>
    <xf numFmtId="14" fontId="34" fillId="0" borderId="47" xfId="0" applyNumberFormat="1" applyFont="1" applyFill="1" applyBorder="1" applyAlignment="1" applyProtection="1">
      <alignment horizontal="center" vertical="center"/>
      <protection locked="0"/>
    </xf>
    <xf numFmtId="188" fontId="34" fillId="0" borderId="47" xfId="0" applyNumberFormat="1" applyFont="1" applyFill="1" applyBorder="1" applyAlignment="1" applyProtection="1">
      <alignment horizontal="center" vertical="center"/>
      <protection locked="0"/>
    </xf>
    <xf numFmtId="185" fontId="34" fillId="0" borderId="47" xfId="0" applyNumberFormat="1" applyFont="1" applyFill="1" applyBorder="1" applyAlignment="1" applyProtection="1">
      <alignment horizontal="center" vertical="center"/>
      <protection locked="0"/>
    </xf>
    <xf numFmtId="183" fontId="34" fillId="0" borderId="47" xfId="0" applyNumberFormat="1" applyFont="1" applyFill="1" applyBorder="1" applyAlignment="1" applyProtection="1">
      <alignment horizontal="center" vertical="center"/>
      <protection locked="0"/>
    </xf>
    <xf numFmtId="190" fontId="34" fillId="0" borderId="47" xfId="0" applyNumberFormat="1" applyFont="1" applyFill="1" applyBorder="1" applyAlignment="1" applyProtection="1">
      <alignment horizontal="center" vertical="center"/>
      <protection locked="0"/>
    </xf>
    <xf numFmtId="0" fontId="39" fillId="0" borderId="0" xfId="0" applyFont="1" applyAlignment="1">
      <alignment horizontal="center"/>
    </xf>
    <xf numFmtId="0" fontId="33" fillId="0" borderId="50" xfId="0" applyNumberFormat="1" applyFont="1" applyBorder="1" applyAlignment="1" applyProtection="1">
      <alignment horizontal="center" vertical="center"/>
      <protection locked="0"/>
    </xf>
    <xf numFmtId="182" fontId="50" fillId="40" borderId="28" xfId="0" applyNumberFormat="1" applyFont="1" applyFill="1" applyBorder="1" applyAlignment="1">
      <alignment horizontal="center" vertical="center"/>
    </xf>
    <xf numFmtId="182" fontId="50" fillId="40" borderId="29" xfId="0" applyNumberFormat="1" applyFont="1" applyFill="1" applyBorder="1" applyAlignment="1">
      <alignment horizontal="center" vertical="center"/>
    </xf>
    <xf numFmtId="14" fontId="50" fillId="40" borderId="29" xfId="0" applyNumberFormat="1" applyFont="1" applyFill="1" applyBorder="1" applyAlignment="1">
      <alignment horizontal="center" vertical="center"/>
    </xf>
    <xf numFmtId="14" fontId="50" fillId="40" borderId="31" xfId="0" applyNumberFormat="1" applyFont="1" applyFill="1" applyBorder="1" applyAlignment="1">
      <alignment horizontal="center" vertical="center"/>
    </xf>
    <xf numFmtId="14" fontId="39" fillId="2" borderId="0" xfId="1" applyNumberFormat="1" applyFont="1" applyFill="1" applyBorder="1" applyAlignment="1" applyProtection="1">
      <alignment horizontal="right" vertical="center"/>
      <protection locked="0"/>
    </xf>
    <xf numFmtId="0" fontId="52" fillId="3" borderId="0" xfId="1" applyFont="1" applyFill="1" applyAlignment="1" applyProtection="1">
      <alignment horizontal="left" vertical="center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33" fillId="0" borderId="0" xfId="0" applyFont="1" applyAlignment="1" applyProtection="1">
      <alignment horizontal="center"/>
      <protection locked="0"/>
    </xf>
    <xf numFmtId="0" fontId="39" fillId="0" borderId="0" xfId="0" applyNumberFormat="1" applyFont="1" applyProtection="1">
      <protection locked="0"/>
    </xf>
    <xf numFmtId="0" fontId="41" fillId="0" borderId="0" xfId="0" applyFont="1" applyAlignment="1" applyProtection="1">
      <alignment horizontal="center" vertical="center"/>
      <protection locked="0"/>
    </xf>
    <xf numFmtId="20" fontId="41" fillId="0" borderId="0" xfId="0" applyNumberFormat="1" applyFont="1" applyAlignment="1" applyProtection="1">
      <alignment horizontal="center" vertical="center"/>
      <protection locked="0"/>
    </xf>
    <xf numFmtId="0" fontId="41" fillId="0" borderId="0" xfId="0" applyNumberFormat="1" applyFont="1" applyAlignment="1" applyProtection="1">
      <alignment horizontal="center" vertical="center"/>
      <protection locked="0"/>
    </xf>
    <xf numFmtId="186" fontId="41" fillId="0" borderId="0" xfId="0" applyNumberFormat="1" applyFont="1" applyAlignment="1" applyProtection="1">
      <alignment horizontal="center" vertical="center"/>
      <protection locked="0"/>
    </xf>
    <xf numFmtId="14" fontId="33" fillId="0" borderId="0" xfId="0" applyNumberFormat="1" applyFont="1" applyProtection="1">
      <protection locked="0"/>
    </xf>
    <xf numFmtId="0" fontId="44" fillId="2" borderId="0" xfId="1" applyFont="1" applyFill="1" applyAlignment="1" applyProtection="1">
      <alignment horizontal="center" vertical="center"/>
      <protection locked="0"/>
    </xf>
    <xf numFmtId="0" fontId="42" fillId="0" borderId="0" xfId="0" applyNumberFormat="1" applyFont="1" applyBorder="1" applyAlignment="1" applyProtection="1">
      <alignment horizontal="center" vertical="center"/>
      <protection locked="0"/>
    </xf>
    <xf numFmtId="0" fontId="41" fillId="0" borderId="0" xfId="0" applyFont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vertical="center"/>
      <protection locked="0"/>
    </xf>
    <xf numFmtId="0" fontId="37" fillId="0" borderId="0" xfId="0" applyNumberFormat="1" applyFont="1" applyBorder="1" applyAlignment="1" applyProtection="1">
      <alignment horizontal="center" vertical="center"/>
      <protection locked="0"/>
    </xf>
    <xf numFmtId="0" fontId="37" fillId="0" borderId="0" xfId="0" applyFont="1" applyBorder="1" applyAlignment="1" applyProtection="1">
      <alignment horizontal="center" vertical="center"/>
      <protection locked="0"/>
    </xf>
    <xf numFmtId="20" fontId="37" fillId="0" borderId="0" xfId="0" applyNumberFormat="1" applyFont="1" applyBorder="1" applyAlignment="1" applyProtection="1">
      <alignment horizontal="center" vertical="center"/>
      <protection locked="0"/>
    </xf>
    <xf numFmtId="186" fontId="37" fillId="0" borderId="0" xfId="0" applyNumberFormat="1" applyFont="1" applyAlignment="1" applyProtection="1">
      <alignment vertical="center"/>
      <protection locked="0"/>
    </xf>
    <xf numFmtId="1" fontId="33" fillId="0" borderId="0" xfId="0" applyNumberFormat="1" applyFont="1" applyAlignment="1" applyProtection="1">
      <alignment horizontal="center"/>
      <protection locked="0"/>
    </xf>
    <xf numFmtId="0" fontId="33" fillId="0" borderId="0" xfId="0" applyNumberFormat="1" applyFont="1" applyAlignment="1" applyProtection="1">
      <alignment horizontal="center"/>
      <protection locked="0"/>
    </xf>
    <xf numFmtId="0" fontId="33" fillId="0" borderId="0" xfId="0" applyFont="1" applyAlignment="1" applyProtection="1">
      <alignment horizontal="center" vertical="center"/>
      <protection locked="0"/>
    </xf>
    <xf numFmtId="186" fontId="33" fillId="0" borderId="0" xfId="0" applyNumberFormat="1" applyFont="1" applyProtection="1">
      <protection locked="0"/>
    </xf>
    <xf numFmtId="0" fontId="52" fillId="41" borderId="0" xfId="0" applyFont="1" applyFill="1" applyProtection="1">
      <protection locked="0"/>
    </xf>
    <xf numFmtId="182" fontId="38" fillId="40" borderId="14" xfId="0" applyNumberFormat="1" applyFont="1" applyFill="1" applyBorder="1" applyAlignment="1" applyProtection="1">
      <alignment horizontal="center" vertical="center"/>
      <protection locked="0"/>
    </xf>
    <xf numFmtId="182" fontId="38" fillId="40" borderId="15" xfId="0" applyNumberFormat="1" applyFont="1" applyFill="1" applyBorder="1" applyAlignment="1" applyProtection="1">
      <alignment horizontal="center" vertical="center"/>
      <protection locked="0"/>
    </xf>
    <xf numFmtId="0" fontId="38" fillId="40" borderId="15" xfId="0" applyNumberFormat="1" applyFont="1" applyFill="1" applyBorder="1" applyAlignment="1" applyProtection="1">
      <alignment horizontal="center" vertical="center"/>
      <protection locked="0"/>
    </xf>
    <xf numFmtId="182" fontId="38" fillId="35" borderId="15" xfId="0" applyNumberFormat="1" applyFont="1" applyFill="1" applyBorder="1" applyAlignment="1" applyProtection="1">
      <alignment horizontal="center" vertical="center"/>
      <protection locked="0"/>
    </xf>
    <xf numFmtId="186" fontId="38" fillId="40" borderId="15" xfId="0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 applyProtection="1">
      <protection locked="0"/>
    </xf>
    <xf numFmtId="0" fontId="34" fillId="0" borderId="0" xfId="0" applyFont="1" applyAlignment="1" applyProtection="1">
      <alignment horizontal="center"/>
      <protection locked="0"/>
    </xf>
    <xf numFmtId="0" fontId="44" fillId="0" borderId="0" xfId="1" applyFont="1" applyAlignment="1" applyProtection="1">
      <alignment horizontal="left" vertical="center"/>
      <protection locked="0"/>
    </xf>
    <xf numFmtId="0" fontId="52" fillId="0" borderId="0" xfId="1" applyFont="1" applyFill="1" applyAlignment="1" applyProtection="1">
      <alignment horizontal="left" vertical="center"/>
      <protection locked="0"/>
    </xf>
    <xf numFmtId="0" fontId="33" fillId="0" borderId="0" xfId="0" applyNumberFormat="1" applyFont="1" applyProtection="1">
      <protection locked="0"/>
    </xf>
    <xf numFmtId="20" fontId="33" fillId="0" borderId="0" xfId="0" applyNumberFormat="1" applyFont="1" applyProtection="1">
      <protection locked="0"/>
    </xf>
    <xf numFmtId="0" fontId="34" fillId="0" borderId="49" xfId="0" applyNumberFormat="1" applyFont="1" applyFill="1" applyBorder="1" applyAlignment="1" applyProtection="1">
      <alignment horizontal="center" vertical="center"/>
    </xf>
    <xf numFmtId="0" fontId="34" fillId="0" borderId="48" xfId="0" applyNumberFormat="1" applyFont="1" applyFill="1" applyBorder="1" applyAlignment="1" applyProtection="1">
      <alignment horizontal="center" vertical="center"/>
    </xf>
    <xf numFmtId="182" fontId="38" fillId="40" borderId="25" xfId="0" applyNumberFormat="1" applyFont="1" applyFill="1" applyBorder="1" applyAlignment="1" applyProtection="1">
      <alignment horizontal="center" vertical="center"/>
    </xf>
    <xf numFmtId="182" fontId="38" fillId="40" borderId="16" xfId="0" applyNumberFormat="1" applyFont="1" applyFill="1" applyBorder="1" applyAlignment="1" applyProtection="1">
      <alignment horizontal="center" vertical="center"/>
    </xf>
    <xf numFmtId="182" fontId="38" fillId="40" borderId="51" xfId="0" applyNumberFormat="1" applyFont="1" applyFill="1" applyBorder="1" applyAlignment="1" applyProtection="1">
      <alignment horizontal="center" vertical="center"/>
      <protection locked="0"/>
    </xf>
    <xf numFmtId="0" fontId="34" fillId="0" borderId="52" xfId="0" applyNumberFormat="1" applyFont="1" applyFill="1" applyBorder="1" applyAlignment="1" applyProtection="1">
      <alignment horizontal="center" vertical="center"/>
      <protection locked="0"/>
    </xf>
    <xf numFmtId="16" fontId="0" fillId="0" borderId="0" xfId="0" applyNumberFormat="1"/>
    <xf numFmtId="1" fontId="34" fillId="0" borderId="47" xfId="0" applyNumberFormat="1" applyFont="1" applyFill="1" applyBorder="1" applyAlignment="1" applyProtection="1">
      <alignment horizontal="center" vertical="center"/>
      <protection locked="0"/>
    </xf>
    <xf numFmtId="1" fontId="41" fillId="0" borderId="0" xfId="0" applyNumberFormat="1" applyFont="1" applyAlignment="1" applyProtection="1">
      <alignment horizontal="center" vertical="center"/>
      <protection locked="0"/>
    </xf>
    <xf numFmtId="1" fontId="37" fillId="0" borderId="0" xfId="0" applyNumberFormat="1" applyFont="1" applyAlignment="1" applyProtection="1">
      <alignment vertical="center"/>
      <protection locked="0"/>
    </xf>
    <xf numFmtId="1" fontId="39" fillId="0" borderId="0" xfId="0" applyNumberFormat="1" applyFont="1" applyProtection="1">
      <protection locked="0"/>
    </xf>
    <xf numFmtId="1" fontId="38" fillId="40" borderId="15" xfId="0" applyNumberFormat="1" applyFont="1" applyFill="1" applyBorder="1" applyAlignment="1" applyProtection="1">
      <alignment horizontal="center" vertical="center"/>
      <protection locked="0"/>
    </xf>
    <xf numFmtId="1" fontId="33" fillId="0" borderId="0" xfId="0" applyNumberFormat="1" applyFont="1" applyProtection="1">
      <protection locked="0"/>
    </xf>
    <xf numFmtId="191" fontId="41" fillId="0" borderId="0" xfId="0" applyNumberFormat="1" applyFont="1" applyAlignment="1" applyProtection="1">
      <alignment horizontal="center" vertical="center"/>
      <protection locked="0"/>
    </xf>
    <xf numFmtId="191" fontId="37" fillId="0" borderId="0" xfId="0" applyNumberFormat="1" applyFont="1" applyAlignment="1" applyProtection="1">
      <alignment vertical="center"/>
      <protection locked="0"/>
    </xf>
    <xf numFmtId="191" fontId="33" fillId="0" borderId="0" xfId="0" applyNumberFormat="1" applyFont="1" applyAlignment="1" applyProtection="1">
      <alignment horizontal="center"/>
      <protection locked="0"/>
    </xf>
    <xf numFmtId="191" fontId="38" fillId="40" borderId="15" xfId="0" applyNumberFormat="1" applyFont="1" applyFill="1" applyBorder="1" applyAlignment="1" applyProtection="1">
      <alignment horizontal="center" vertical="center"/>
      <protection locked="0"/>
    </xf>
    <xf numFmtId="191" fontId="34" fillId="0" borderId="47" xfId="0" applyNumberFormat="1" applyFont="1" applyFill="1" applyBorder="1" applyAlignment="1" applyProtection="1">
      <alignment horizontal="center" vertical="center"/>
      <protection locked="0"/>
    </xf>
    <xf numFmtId="191" fontId="33" fillId="0" borderId="0" xfId="0" applyNumberFormat="1" applyFont="1" applyProtection="1">
      <protection locked="0"/>
    </xf>
    <xf numFmtId="14" fontId="41" fillId="0" borderId="0" xfId="0" applyNumberFormat="1" applyFont="1" applyAlignment="1" applyProtection="1">
      <alignment horizontal="center" vertical="center"/>
      <protection locked="0"/>
    </xf>
    <xf numFmtId="14" fontId="37" fillId="0" borderId="0" xfId="0" applyNumberFormat="1" applyFont="1" applyAlignment="1" applyProtection="1">
      <alignment vertical="center"/>
      <protection locked="0"/>
    </xf>
    <xf numFmtId="14" fontId="33" fillId="0" borderId="0" xfId="0" applyNumberFormat="1" applyFont="1" applyAlignment="1" applyProtection="1">
      <alignment horizontal="center"/>
      <protection locked="0"/>
    </xf>
    <xf numFmtId="14" fontId="38" fillId="40" borderId="15" xfId="0" applyNumberFormat="1" applyFont="1" applyFill="1" applyBorder="1" applyAlignment="1" applyProtection="1">
      <alignment horizontal="center" vertical="center"/>
      <protection locked="0"/>
    </xf>
    <xf numFmtId="192" fontId="41" fillId="0" borderId="0" xfId="0" applyNumberFormat="1" applyFont="1" applyAlignment="1" applyProtection="1">
      <alignment horizontal="center" vertical="center"/>
      <protection locked="0"/>
    </xf>
    <xf numFmtId="192" fontId="37" fillId="0" borderId="0" xfId="0" applyNumberFormat="1" applyFont="1" applyAlignment="1" applyProtection="1">
      <alignment vertical="center"/>
      <protection locked="0"/>
    </xf>
    <xf numFmtId="192" fontId="38" fillId="40" borderId="15" xfId="0" applyNumberFormat="1" applyFont="1" applyFill="1" applyBorder="1" applyAlignment="1" applyProtection="1">
      <alignment horizontal="center" vertical="center"/>
      <protection locked="0"/>
    </xf>
    <xf numFmtId="192" fontId="33" fillId="0" borderId="0" xfId="0" applyNumberFormat="1" applyFont="1" applyAlignment="1" applyProtection="1">
      <alignment horizontal="center" vertical="center"/>
      <protection locked="0"/>
    </xf>
    <xf numFmtId="193" fontId="41" fillId="0" borderId="0" xfId="0" applyNumberFormat="1" applyFont="1" applyAlignment="1" applyProtection="1">
      <alignment horizontal="center" vertical="center"/>
      <protection locked="0"/>
    </xf>
    <xf numFmtId="193" fontId="37" fillId="0" borderId="0" xfId="0" applyNumberFormat="1" applyFont="1" applyAlignment="1" applyProtection="1">
      <alignment vertical="center"/>
      <protection locked="0"/>
    </xf>
    <xf numFmtId="193" fontId="38" fillId="40" borderId="15" xfId="0" applyNumberFormat="1" applyFont="1" applyFill="1" applyBorder="1" applyAlignment="1" applyProtection="1">
      <alignment horizontal="center" vertical="center"/>
      <protection locked="0"/>
    </xf>
    <xf numFmtId="193" fontId="34" fillId="0" borderId="47" xfId="0" applyNumberFormat="1" applyFont="1" applyFill="1" applyBorder="1" applyAlignment="1" applyProtection="1">
      <alignment horizontal="center" vertical="center"/>
      <protection locked="0"/>
    </xf>
    <xf numFmtId="193" fontId="33" fillId="0" borderId="0" xfId="0" applyNumberFormat="1" applyFont="1" applyAlignment="1" applyProtection="1">
      <alignment horizontal="center" vertical="center"/>
      <protection locked="0"/>
    </xf>
    <xf numFmtId="194" fontId="34" fillId="0" borderId="47" xfId="0" applyNumberFormat="1" applyFont="1" applyFill="1" applyBorder="1" applyAlignment="1" applyProtection="1">
      <alignment horizontal="center" vertical="center"/>
      <protection locked="0"/>
    </xf>
    <xf numFmtId="0" fontId="0" fillId="0" borderId="68" xfId="0" applyBorder="1"/>
    <xf numFmtId="14" fontId="0" fillId="0" borderId="68" xfId="0" applyNumberFormat="1" applyBorder="1"/>
    <xf numFmtId="0" fontId="34" fillId="0" borderId="47" xfId="0" applyFont="1" applyFill="1" applyBorder="1" applyAlignment="1" applyProtection="1">
      <alignment horizontal="center" vertical="center"/>
      <protection locked="0"/>
    </xf>
    <xf numFmtId="0" fontId="34" fillId="0" borderId="46" xfId="0" applyNumberFormat="1" applyFont="1" applyFill="1" applyBorder="1" applyAlignment="1" applyProtection="1">
      <alignment horizontal="center"/>
      <protection locked="0"/>
    </xf>
    <xf numFmtId="49" fontId="95" fillId="0" borderId="0" xfId="9135" applyNumberFormat="1" applyAlignment="1" applyProtection="1">
      <protection locked="0"/>
    </xf>
    <xf numFmtId="0" fontId="97" fillId="0" borderId="0" xfId="0" applyFont="1" applyAlignment="1">
      <alignment horizontal="center"/>
    </xf>
    <xf numFmtId="20" fontId="98" fillId="0" borderId="57" xfId="0" applyNumberFormat="1" applyFont="1" applyBorder="1" applyAlignment="1">
      <alignment horizontal="center"/>
    </xf>
    <xf numFmtId="20" fontId="98" fillId="0" borderId="58" xfId="0" applyNumberFormat="1" applyFont="1" applyBorder="1" applyAlignment="1">
      <alignment horizontal="center"/>
    </xf>
    <xf numFmtId="20" fontId="98" fillId="0" borderId="56" xfId="0" applyNumberFormat="1" applyFont="1" applyBorder="1" applyAlignment="1">
      <alignment horizontal="center"/>
    </xf>
    <xf numFmtId="15" fontId="0" fillId="0" borderId="73" xfId="0" applyNumberFormat="1" applyBorder="1" applyAlignment="1"/>
    <xf numFmtId="3" fontId="0" fillId="0" borderId="0" xfId="0" applyNumberFormat="1" applyBorder="1" applyAlignment="1">
      <alignment horizontal="center"/>
    </xf>
    <xf numFmtId="3" fontId="0" fillId="0" borderId="74" xfId="0" applyNumberFormat="1" applyBorder="1" applyAlignment="1">
      <alignment horizontal="center"/>
    </xf>
    <xf numFmtId="15" fontId="0" fillId="0" borderId="0" xfId="0" applyNumberFormat="1" applyAlignment="1"/>
    <xf numFmtId="0" fontId="0" fillId="0" borderId="7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4" xfId="0" applyBorder="1" applyAlignment="1">
      <alignment horizontal="center"/>
    </xf>
    <xf numFmtId="14" fontId="0" fillId="31" borderId="75" xfId="0" applyNumberFormat="1" applyFill="1" applyBorder="1" applyAlignment="1">
      <alignment horizontal="center"/>
    </xf>
    <xf numFmtId="3" fontId="0" fillId="31" borderId="76" xfId="0" applyNumberFormat="1" applyFill="1" applyBorder="1" applyAlignment="1">
      <alignment horizontal="center"/>
    </xf>
    <xf numFmtId="3" fontId="0" fillId="31" borderId="77" xfId="0" applyNumberFormat="1" applyFill="1" applyBorder="1" applyAlignment="1">
      <alignment horizontal="center"/>
    </xf>
    <xf numFmtId="0" fontId="51" fillId="31" borderId="75" xfId="0" applyFont="1" applyFill="1" applyBorder="1" applyAlignment="1">
      <alignment horizontal="center"/>
    </xf>
    <xf numFmtId="0" fontId="51" fillId="31" borderId="76" xfId="0" applyFont="1" applyFill="1" applyBorder="1" applyAlignment="1">
      <alignment horizontal="center"/>
    </xf>
    <xf numFmtId="0" fontId="51" fillId="31" borderId="77" xfId="0" applyFont="1" applyFill="1" applyBorder="1" applyAlignment="1">
      <alignment horizontal="center"/>
    </xf>
    <xf numFmtId="0" fontId="95" fillId="0" borderId="0" xfId="9135" applyAlignment="1" applyProtection="1"/>
    <xf numFmtId="0" fontId="34" fillId="0" borderId="47" xfId="0" applyNumberFormat="1" applyFont="1" applyFill="1" applyBorder="1" applyAlignment="1" applyProtection="1">
      <alignment horizontal="center" vertical="center"/>
    </xf>
    <xf numFmtId="183" fontId="34" fillId="0" borderId="49" xfId="0" applyNumberFormat="1" applyFont="1" applyFill="1" applyBorder="1" applyAlignment="1" applyProtection="1">
      <alignment horizontal="center" vertical="center"/>
      <protection locked="0"/>
    </xf>
    <xf numFmtId="190" fontId="34" fillId="0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45" xfId="0" applyNumberForma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108" borderId="0" xfId="0" applyFill="1"/>
    <xf numFmtId="0" fontId="0" fillId="0" borderId="0" xfId="0" applyFill="1"/>
    <xf numFmtId="0" fontId="0" fillId="0" borderId="68" xfId="0" applyFill="1" applyBorder="1"/>
    <xf numFmtId="182" fontId="38" fillId="40" borderId="85" xfId="0" applyNumberFormat="1" applyFont="1" applyFill="1" applyBorder="1" applyAlignment="1">
      <alignment horizontal="center" vertical="center"/>
    </xf>
    <xf numFmtId="182" fontId="38" fillId="40" borderId="86" xfId="0" applyNumberFormat="1" applyFont="1" applyFill="1" applyBorder="1" applyAlignment="1">
      <alignment horizontal="center" vertical="center"/>
    </xf>
    <xf numFmtId="190" fontId="34" fillId="0" borderId="48" xfId="0" applyNumberFormat="1" applyFont="1" applyFill="1" applyBorder="1" applyAlignment="1" applyProtection="1">
      <alignment horizontal="center" vertical="center"/>
      <protection locked="0"/>
    </xf>
    <xf numFmtId="0" fontId="34" fillId="0" borderId="87" xfId="0" applyNumberFormat="1" applyFont="1" applyFill="1" applyBorder="1" applyAlignment="1" applyProtection="1">
      <alignment horizontal="center" vertical="center"/>
      <protection locked="0"/>
    </xf>
    <xf numFmtId="0" fontId="34" fillId="0" borderId="88" xfId="0" applyNumberFormat="1" applyFont="1" applyFill="1" applyBorder="1" applyAlignment="1" applyProtection="1">
      <alignment horizontal="center" vertical="center"/>
      <protection locked="0"/>
    </xf>
    <xf numFmtId="0" fontId="34" fillId="0" borderId="89" xfId="0" applyNumberFormat="1" applyFont="1" applyFill="1" applyBorder="1" applyAlignment="1" applyProtection="1">
      <alignment horizontal="center"/>
      <protection locked="0"/>
    </xf>
    <xf numFmtId="0" fontId="34" fillId="0" borderId="89" xfId="0" applyNumberFormat="1" applyFont="1" applyFill="1" applyBorder="1" applyAlignment="1" applyProtection="1">
      <alignment horizontal="center" vertical="center"/>
      <protection locked="0"/>
    </xf>
    <xf numFmtId="20" fontId="34" fillId="0" borderId="89" xfId="0" applyNumberFormat="1" applyFont="1" applyFill="1" applyBorder="1" applyAlignment="1" applyProtection="1">
      <alignment horizontal="center" vertical="center"/>
      <protection locked="0"/>
    </xf>
    <xf numFmtId="14" fontId="34" fillId="0" borderId="89" xfId="0" applyNumberFormat="1" applyFont="1" applyFill="1" applyBorder="1" applyAlignment="1" applyProtection="1">
      <alignment horizontal="center" vertical="center"/>
      <protection locked="0"/>
    </xf>
    <xf numFmtId="1" fontId="34" fillId="0" borderId="89" xfId="0" applyNumberFormat="1" applyFont="1" applyFill="1" applyBorder="1" applyAlignment="1" applyProtection="1">
      <alignment horizontal="center" vertical="center"/>
      <protection locked="0"/>
    </xf>
    <xf numFmtId="188" fontId="34" fillId="0" borderId="89" xfId="0" applyNumberFormat="1" applyFont="1" applyFill="1" applyBorder="1" applyAlignment="1" applyProtection="1">
      <alignment horizontal="center" vertical="center"/>
      <protection locked="0"/>
    </xf>
    <xf numFmtId="183" fontId="34" fillId="0" borderId="89" xfId="0" applyNumberFormat="1" applyFont="1" applyFill="1" applyBorder="1" applyAlignment="1" applyProtection="1">
      <alignment horizontal="center" vertical="center"/>
      <protection locked="0"/>
    </xf>
    <xf numFmtId="0" fontId="34" fillId="0" borderId="90" xfId="0" applyNumberFormat="1" applyFont="1" applyFill="1" applyBorder="1" applyAlignment="1" applyProtection="1">
      <alignment horizontal="center" vertical="center"/>
    </xf>
    <xf numFmtId="0" fontId="34" fillId="0" borderId="91" xfId="0" applyNumberFormat="1" applyFont="1" applyFill="1" applyBorder="1" applyAlignment="1" applyProtection="1">
      <alignment horizontal="center" vertical="center"/>
    </xf>
    <xf numFmtId="0" fontId="104" fillId="3" borderId="0" xfId="1" applyFont="1" applyFill="1" applyBorder="1" applyAlignment="1" applyProtection="1">
      <alignment horizontal="center" vertical="center"/>
      <protection hidden="1"/>
    </xf>
    <xf numFmtId="0" fontId="104" fillId="3" borderId="0" xfId="1" applyFont="1" applyFill="1" applyAlignment="1" applyProtection="1">
      <alignment horizontal="center" vertical="center"/>
      <protection hidden="1"/>
    </xf>
    <xf numFmtId="0" fontId="105" fillId="0" borderId="0" xfId="0" applyFont="1" applyBorder="1" applyAlignment="1">
      <alignment vertical="center"/>
    </xf>
    <xf numFmtId="0" fontId="106" fillId="0" borderId="0" xfId="0" applyFont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35" fillId="109" borderId="92" xfId="0" applyFont="1" applyFill="1" applyBorder="1" applyAlignment="1">
      <alignment horizontal="center" vertical="center"/>
    </xf>
    <xf numFmtId="0" fontId="35" fillId="109" borderId="93" xfId="0" applyFont="1" applyFill="1" applyBorder="1" applyAlignment="1">
      <alignment horizontal="center" vertical="center"/>
    </xf>
    <xf numFmtId="0" fontId="35" fillId="109" borderId="94" xfId="0" applyFont="1" applyFill="1" applyBorder="1" applyAlignment="1">
      <alignment horizontal="center" vertical="center"/>
    </xf>
    <xf numFmtId="0" fontId="35" fillId="109" borderId="95" xfId="0" applyFont="1" applyFill="1" applyBorder="1" applyAlignment="1">
      <alignment horizontal="center" vertical="center"/>
    </xf>
    <xf numFmtId="0" fontId="35" fillId="109" borderId="96" xfId="0" applyFont="1" applyFill="1" applyBorder="1" applyAlignment="1">
      <alignment horizontal="center" vertical="center"/>
    </xf>
    <xf numFmtId="0" fontId="0" fillId="0" borderId="97" xfId="0" applyFill="1" applyBorder="1" applyAlignment="1">
      <alignment horizontal="center"/>
    </xf>
    <xf numFmtId="0" fontId="0" fillId="0" borderId="98" xfId="0" applyFont="1" applyFill="1" applyBorder="1" applyAlignment="1">
      <alignment horizontal="center"/>
    </xf>
    <xf numFmtId="0" fontId="0" fillId="0" borderId="99" xfId="0" applyFont="1" applyBorder="1" applyAlignment="1">
      <alignment horizontal="center"/>
    </xf>
    <xf numFmtId="187" fontId="0" fillId="0" borderId="100" xfId="0" applyNumberFormat="1" applyFont="1" applyBorder="1" applyAlignment="1">
      <alignment horizontal="center"/>
    </xf>
    <xf numFmtId="0" fontId="0" fillId="0" borderId="100" xfId="0" applyFont="1" applyBorder="1" applyAlignment="1">
      <alignment horizontal="center"/>
    </xf>
    <xf numFmtId="187" fontId="0" fillId="0" borderId="101" xfId="0" applyNumberFormat="1" applyFont="1" applyBorder="1" applyAlignment="1">
      <alignment horizontal="center"/>
    </xf>
    <xf numFmtId="0" fontId="0" fillId="0" borderId="102" xfId="0" applyFill="1" applyBorder="1" applyAlignment="1">
      <alignment horizontal="center"/>
    </xf>
    <xf numFmtId="0" fontId="0" fillId="0" borderId="103" xfId="0" applyFont="1" applyFill="1" applyBorder="1" applyAlignment="1">
      <alignment horizontal="center"/>
    </xf>
    <xf numFmtId="0" fontId="0" fillId="0" borderId="104" xfId="0" applyFont="1" applyBorder="1" applyAlignment="1">
      <alignment horizontal="center"/>
    </xf>
    <xf numFmtId="187" fontId="0" fillId="0" borderId="105" xfId="0" applyNumberFormat="1" applyFont="1" applyBorder="1" applyAlignment="1">
      <alignment horizontal="center"/>
    </xf>
    <xf numFmtId="0" fontId="0" fillId="0" borderId="105" xfId="0" applyFont="1" applyBorder="1" applyAlignment="1">
      <alignment horizontal="center"/>
    </xf>
    <xf numFmtId="187" fontId="0" fillId="0" borderId="106" xfId="0" applyNumberFormat="1" applyFont="1" applyBorder="1" applyAlignment="1">
      <alignment horizontal="center"/>
    </xf>
    <xf numFmtId="0" fontId="51" fillId="109" borderId="107" xfId="0" applyFont="1" applyFill="1" applyBorder="1" applyAlignment="1">
      <alignment horizontal="center" vertical="center"/>
    </xf>
    <xf numFmtId="0" fontId="51" fillId="109" borderId="108" xfId="0" applyFont="1" applyFill="1" applyBorder="1" applyAlignment="1">
      <alignment horizontal="center" vertical="center"/>
    </xf>
    <xf numFmtId="187" fontId="51" fillId="109" borderId="108" xfId="0" applyNumberFormat="1" applyFont="1" applyFill="1" applyBorder="1" applyAlignment="1">
      <alignment horizontal="center" vertical="center"/>
    </xf>
    <xf numFmtId="187" fontId="51" fillId="109" borderId="109" xfId="0" applyNumberFormat="1" applyFont="1" applyFill="1" applyBorder="1" applyAlignment="1">
      <alignment horizontal="center" vertical="center"/>
    </xf>
    <xf numFmtId="0" fontId="34" fillId="3" borderId="0" xfId="1" applyFont="1" applyFill="1" applyAlignment="1" applyProtection="1">
      <alignment horizontal="left" vertical="center"/>
      <protection hidden="1"/>
    </xf>
    <xf numFmtId="9" fontId="0" fillId="0" borderId="0" xfId="11997" applyFont="1" applyFill="1"/>
    <xf numFmtId="0" fontId="33" fillId="108" borderId="0" xfId="0" applyFont="1" applyFill="1"/>
    <xf numFmtId="0" fontId="0" fillId="110" borderId="0" xfId="0" applyFill="1"/>
    <xf numFmtId="185" fontId="34" fillId="0" borderId="89" xfId="0" applyNumberFormat="1" applyFont="1" applyFill="1" applyBorder="1" applyAlignment="1" applyProtection="1">
      <alignment horizontal="center" vertical="center"/>
      <protection locked="0"/>
    </xf>
    <xf numFmtId="191" fontId="34" fillId="0" borderId="89" xfId="0" applyNumberFormat="1" applyFont="1" applyFill="1" applyBorder="1" applyAlignment="1" applyProtection="1">
      <alignment horizontal="center" vertical="center"/>
      <protection locked="0"/>
    </xf>
    <xf numFmtId="0" fontId="33" fillId="0" borderId="17" xfId="0" applyFont="1" applyBorder="1" applyProtection="1">
      <protection locked="0"/>
    </xf>
    <xf numFmtId="0" fontId="33" fillId="0" borderId="110" xfId="0" applyFont="1" applyBorder="1" applyProtection="1">
      <protection locked="0"/>
    </xf>
    <xf numFmtId="182" fontId="38" fillId="40" borderId="85" xfId="0" applyNumberFormat="1" applyFont="1" applyFill="1" applyBorder="1" applyAlignment="1" applyProtection="1">
      <alignment horizontal="center" vertical="center"/>
    </xf>
    <xf numFmtId="0" fontId="34" fillId="0" borderId="111" xfId="0" applyNumberFormat="1" applyFont="1" applyFill="1" applyBorder="1" applyAlignment="1" applyProtection="1">
      <alignment horizontal="center" vertical="center"/>
    </xf>
    <xf numFmtId="0" fontId="107" fillId="0" borderId="0" xfId="0" applyFont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/>
    </xf>
    <xf numFmtId="0" fontId="34" fillId="0" borderId="112" xfId="0" applyNumberFormat="1" applyFont="1" applyFill="1" applyBorder="1" applyAlignment="1" applyProtection="1">
      <alignment horizontal="center" vertical="center"/>
      <protection locked="0"/>
    </xf>
    <xf numFmtId="0" fontId="34" fillId="0" borderId="113" xfId="0" applyNumberFormat="1" applyFont="1" applyFill="1" applyBorder="1" applyAlignment="1" applyProtection="1">
      <alignment horizontal="center" vertical="center"/>
      <protection locked="0"/>
    </xf>
    <xf numFmtId="0" fontId="34" fillId="0" borderId="114" xfId="0" applyNumberFormat="1" applyFont="1" applyFill="1" applyBorder="1" applyAlignment="1" applyProtection="1">
      <alignment horizontal="center"/>
      <protection locked="0"/>
    </xf>
    <xf numFmtId="0" fontId="34" fillId="0" borderId="114" xfId="0" applyNumberFormat="1" applyFont="1" applyFill="1" applyBorder="1" applyAlignment="1" applyProtection="1">
      <alignment horizontal="center" vertical="center"/>
      <protection locked="0"/>
    </xf>
    <xf numFmtId="14" fontId="34" fillId="0" borderId="114" xfId="0" applyNumberFormat="1" applyFont="1" applyFill="1" applyBorder="1" applyAlignment="1" applyProtection="1">
      <alignment horizontal="center" vertical="center"/>
      <protection locked="0"/>
    </xf>
    <xf numFmtId="1" fontId="34" fillId="0" borderId="114" xfId="0" applyNumberFormat="1" applyFont="1" applyFill="1" applyBorder="1" applyAlignment="1" applyProtection="1">
      <alignment horizontal="center" vertical="center"/>
      <protection locked="0"/>
    </xf>
    <xf numFmtId="188" fontId="34" fillId="0" borderId="114" xfId="0" applyNumberFormat="1" applyFont="1" applyFill="1" applyBorder="1" applyAlignment="1" applyProtection="1">
      <alignment horizontal="center" vertical="center"/>
      <protection locked="0"/>
    </xf>
    <xf numFmtId="183" fontId="34" fillId="0" borderId="114" xfId="0" applyNumberFormat="1" applyFont="1" applyFill="1" applyBorder="1" applyAlignment="1" applyProtection="1">
      <alignment horizontal="center" vertical="center"/>
      <protection locked="0"/>
    </xf>
    <xf numFmtId="190" fontId="34" fillId="0" borderId="114" xfId="0" applyNumberFormat="1" applyFont="1" applyFill="1" applyBorder="1" applyAlignment="1" applyProtection="1">
      <alignment horizontal="center" vertical="center"/>
      <protection locked="0"/>
    </xf>
    <xf numFmtId="0" fontId="34" fillId="0" borderId="114" xfId="0" applyNumberFormat="1" applyFont="1" applyFill="1" applyBorder="1" applyAlignment="1" applyProtection="1">
      <alignment horizontal="center" vertical="center"/>
    </xf>
    <xf numFmtId="0" fontId="34" fillId="0" borderId="115" xfId="0" applyNumberFormat="1" applyFont="1" applyFill="1" applyBorder="1" applyAlignment="1" applyProtection="1">
      <alignment horizontal="center" vertical="center"/>
    </xf>
    <xf numFmtId="14" fontId="33" fillId="0" borderId="0" xfId="0" applyNumberFormat="1" applyFont="1" applyAlignment="1" applyProtection="1">
      <alignment horizontal="center" vertical="center"/>
      <protection locked="0"/>
    </xf>
    <xf numFmtId="185" fontId="34" fillId="0" borderId="114" xfId="0" applyNumberFormat="1" applyFont="1" applyFill="1" applyBorder="1" applyAlignment="1" applyProtection="1">
      <alignment horizontal="center" vertical="center"/>
      <protection locked="0"/>
    </xf>
    <xf numFmtId="191" fontId="34" fillId="0" borderId="114" xfId="0" applyNumberFormat="1" applyFont="1" applyFill="1" applyBorder="1" applyAlignment="1" applyProtection="1">
      <alignment horizontal="center" vertical="center"/>
      <protection locked="0"/>
    </xf>
    <xf numFmtId="0" fontId="34" fillId="0" borderId="116" xfId="0" applyNumberFormat="1" applyFont="1" applyFill="1" applyBorder="1" applyAlignment="1" applyProtection="1">
      <alignment horizontal="center" vertical="center"/>
    </xf>
    <xf numFmtId="14" fontId="34" fillId="0" borderId="47" xfId="0" quotePrefix="1" applyNumberFormat="1" applyFont="1" applyFill="1" applyBorder="1" applyAlignment="1" applyProtection="1">
      <alignment horizontal="center" vertical="center"/>
      <protection locked="0"/>
    </xf>
    <xf numFmtId="14" fontId="34" fillId="0" borderId="114" xfId="0" quotePrefix="1" applyNumberFormat="1" applyFont="1" applyFill="1" applyBorder="1" applyAlignment="1" applyProtection="1">
      <alignment horizontal="center" vertical="center"/>
      <protection locked="0"/>
    </xf>
    <xf numFmtId="0" fontId="34" fillId="0" borderId="52" xfId="0" applyNumberFormat="1" applyFont="1" applyFill="1" applyBorder="1" applyAlignment="1" applyProtection="1">
      <alignment horizontal="center" vertical="center"/>
    </xf>
    <xf numFmtId="0" fontId="0" fillId="0" borderId="47" xfId="0" applyFill="1" applyBorder="1" applyAlignment="1">
      <alignment horizontal="center"/>
    </xf>
    <xf numFmtId="16" fontId="34" fillId="0" borderId="47" xfId="0" applyNumberFormat="1" applyFont="1" applyFill="1" applyBorder="1" applyAlignment="1" applyProtection="1">
      <alignment horizontal="center" vertical="center"/>
      <protection locked="0"/>
    </xf>
    <xf numFmtId="0" fontId="34" fillId="0" borderId="52" xfId="0" applyNumberFormat="1" applyFont="1" applyFill="1" applyBorder="1" applyAlignment="1" applyProtection="1">
      <alignment horizontal="center"/>
      <protection locked="0"/>
    </xf>
    <xf numFmtId="0" fontId="34" fillId="0" borderId="49" xfId="0" applyFont="1" applyFill="1" applyBorder="1" applyAlignment="1" applyProtection="1">
      <alignment horizontal="center" vertical="center"/>
    </xf>
    <xf numFmtId="0" fontId="34" fillId="0" borderId="48" xfId="0" applyFont="1" applyFill="1" applyBorder="1" applyAlignment="1" applyProtection="1">
      <alignment horizontal="center" vertical="center"/>
    </xf>
    <xf numFmtId="0" fontId="0" fillId="111" borderId="0" xfId="0" applyFill="1"/>
    <xf numFmtId="0" fontId="0" fillId="112" borderId="0" xfId="0" applyFill="1"/>
    <xf numFmtId="0" fontId="34" fillId="0" borderId="46" xfId="0" applyNumberFormat="1" applyFont="1" applyFill="1" applyBorder="1" applyAlignment="1" applyProtection="1">
      <alignment horizontal="center" vertical="center"/>
      <protection locked="0"/>
    </xf>
    <xf numFmtId="0" fontId="34" fillId="0" borderId="47" xfId="0" applyNumberFormat="1" applyFont="1" applyFill="1" applyBorder="1" applyAlignment="1" applyProtection="1">
      <alignment horizontal="center"/>
      <protection locked="0"/>
    </xf>
    <xf numFmtId="0" fontId="34" fillId="0" borderId="47" xfId="0" applyNumberFormat="1" applyFont="1" applyFill="1" applyBorder="1" applyAlignment="1" applyProtection="1">
      <alignment horizontal="center" vertical="center"/>
      <protection locked="0"/>
    </xf>
    <xf numFmtId="20" fontId="34" fillId="0" borderId="47" xfId="0" applyNumberFormat="1" applyFont="1" applyFill="1" applyBorder="1" applyAlignment="1" applyProtection="1">
      <alignment horizontal="center" vertical="center"/>
      <protection locked="0"/>
    </xf>
    <xf numFmtId="14" fontId="34" fillId="0" borderId="47" xfId="0" applyNumberFormat="1" applyFont="1" applyFill="1" applyBorder="1" applyAlignment="1" applyProtection="1">
      <alignment horizontal="center" vertical="center"/>
      <protection locked="0"/>
    </xf>
    <xf numFmtId="0" fontId="34" fillId="0" borderId="49" xfId="0" applyNumberFormat="1" applyFont="1" applyFill="1" applyBorder="1" applyAlignment="1" applyProtection="1">
      <alignment horizontal="center" vertical="center"/>
    </xf>
    <xf numFmtId="0" fontId="34" fillId="0" borderId="48" xfId="0" applyNumberFormat="1" applyFont="1" applyFill="1" applyBorder="1" applyAlignment="1" applyProtection="1">
      <alignment horizontal="center" vertical="center"/>
    </xf>
    <xf numFmtId="0" fontId="34" fillId="0" borderId="52" xfId="0" applyNumberFormat="1" applyFont="1" applyFill="1" applyBorder="1" applyAlignment="1" applyProtection="1">
      <alignment horizontal="center" vertical="center"/>
      <protection locked="0"/>
    </xf>
    <xf numFmtId="1" fontId="34" fillId="0" borderId="47" xfId="0" applyNumberFormat="1" applyFont="1" applyFill="1" applyBorder="1" applyAlignment="1" applyProtection="1">
      <alignment horizontal="center" vertical="center"/>
      <protection locked="0"/>
    </xf>
    <xf numFmtId="0" fontId="34" fillId="0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68" xfId="0" applyBorder="1" applyAlignment="1">
      <alignment horizontal="center" vertical="center"/>
    </xf>
    <xf numFmtId="0" fontId="34" fillId="0" borderId="47" xfId="0" quotePrefix="1" applyNumberFormat="1" applyFont="1" applyFill="1" applyBorder="1" applyAlignment="1" applyProtection="1">
      <alignment horizontal="center" vertical="center"/>
      <protection locked="0"/>
    </xf>
    <xf numFmtId="0" fontId="34" fillId="0" borderId="118" xfId="0" applyNumberFormat="1" applyFont="1" applyFill="1" applyBorder="1" applyAlignment="1" applyProtection="1">
      <alignment horizontal="center"/>
      <protection locked="0"/>
    </xf>
    <xf numFmtId="0" fontId="34" fillId="0" borderId="118" xfId="0" applyNumberFormat="1" applyFont="1" applyFill="1" applyBorder="1" applyAlignment="1" applyProtection="1">
      <alignment horizontal="center" vertical="center"/>
      <protection locked="0"/>
    </xf>
    <xf numFmtId="20" fontId="34" fillId="0" borderId="118" xfId="0" applyNumberFormat="1" applyFont="1" applyFill="1" applyBorder="1" applyAlignment="1" applyProtection="1">
      <alignment horizontal="center" vertical="center"/>
      <protection locked="0"/>
    </xf>
    <xf numFmtId="14" fontId="34" fillId="0" borderId="118" xfId="0" applyNumberFormat="1" applyFont="1" applyFill="1" applyBorder="1" applyAlignment="1" applyProtection="1">
      <alignment horizontal="center" vertical="center"/>
      <protection locked="0"/>
    </xf>
    <xf numFmtId="1" fontId="34" fillId="0" borderId="118" xfId="0" applyNumberFormat="1" applyFont="1" applyFill="1" applyBorder="1" applyAlignment="1" applyProtection="1">
      <alignment horizontal="center" vertical="center"/>
      <protection locked="0"/>
    </xf>
    <xf numFmtId="188" fontId="34" fillId="0" borderId="118" xfId="0" applyNumberFormat="1" applyFont="1" applyFill="1" applyBorder="1" applyAlignment="1" applyProtection="1">
      <alignment horizontal="center" vertical="center"/>
      <protection locked="0"/>
    </xf>
    <xf numFmtId="0" fontId="34" fillId="0" borderId="118" xfId="0" applyNumberFormat="1" applyFont="1" applyFill="1" applyBorder="1" applyAlignment="1" applyProtection="1">
      <alignment horizontal="center" vertical="center"/>
    </xf>
    <xf numFmtId="0" fontId="34" fillId="0" borderId="119" xfId="0" applyNumberFormat="1" applyFont="1" applyFill="1" applyBorder="1" applyAlignment="1" applyProtection="1">
      <alignment horizontal="center" vertical="center"/>
    </xf>
    <xf numFmtId="0" fontId="0" fillId="0" borderId="120" xfId="0" applyFill="1" applyBorder="1"/>
    <xf numFmtId="0" fontId="0" fillId="112" borderId="120" xfId="0" applyFill="1" applyBorder="1"/>
    <xf numFmtId="0" fontId="33" fillId="108" borderId="120" xfId="0" applyFont="1" applyFill="1" applyBorder="1"/>
    <xf numFmtId="0" fontId="0" fillId="110" borderId="120" xfId="0" applyFill="1" applyBorder="1"/>
    <xf numFmtId="0" fontId="0" fillId="111" borderId="120" xfId="0" applyFill="1" applyBorder="1"/>
    <xf numFmtId="0" fontId="0" fillId="0" borderId="121" xfId="0" applyFill="1" applyBorder="1"/>
    <xf numFmtId="0" fontId="51" fillId="0" borderId="0" xfId="0" applyFont="1" applyFill="1" applyBorder="1" applyAlignment="1">
      <alignment horizontal="center"/>
    </xf>
    <xf numFmtId="0" fontId="35" fillId="109" borderId="122" xfId="0" applyFont="1" applyFill="1" applyBorder="1" applyAlignment="1">
      <alignment horizontal="center" vertical="center"/>
    </xf>
    <xf numFmtId="0" fontId="35" fillId="109" borderId="123" xfId="0" applyFont="1" applyFill="1" applyBorder="1" applyAlignment="1">
      <alignment horizontal="center" vertical="center"/>
    </xf>
    <xf numFmtId="0" fontId="35" fillId="109" borderId="124" xfId="0" applyFont="1" applyFill="1" applyBorder="1" applyAlignment="1">
      <alignment horizontal="center" vertical="center"/>
    </xf>
    <xf numFmtId="0" fontId="0" fillId="0" borderId="125" xfId="0" applyFill="1" applyBorder="1" applyAlignment="1">
      <alignment horizontal="center"/>
    </xf>
    <xf numFmtId="0" fontId="0" fillId="0" borderId="126" xfId="0" applyFill="1" applyBorder="1" applyAlignment="1">
      <alignment horizontal="center"/>
    </xf>
    <xf numFmtId="0" fontId="0" fillId="0" borderId="127" xfId="0" applyFill="1" applyBorder="1" applyAlignment="1">
      <alignment horizontal="center"/>
    </xf>
    <xf numFmtId="0" fontId="51" fillId="0" borderId="127" xfId="0" applyFont="1" applyFill="1" applyBorder="1" applyAlignment="1">
      <alignment horizontal="center"/>
    </xf>
    <xf numFmtId="20" fontId="34" fillId="0" borderId="114" xfId="0" applyNumberFormat="1" applyFont="1" applyFill="1" applyBorder="1" applyAlignment="1" applyProtection="1">
      <alignment horizontal="center" vertical="center"/>
      <protection locked="0"/>
    </xf>
    <xf numFmtId="0" fontId="34" fillId="0" borderId="46" xfId="0" applyNumberFormat="1" applyFont="1" applyFill="1" applyBorder="1" applyAlignment="1" applyProtection="1">
      <alignment horizontal="center" vertical="center"/>
      <protection locked="0"/>
    </xf>
    <xf numFmtId="0" fontId="34" fillId="0" borderId="47" xfId="0" applyNumberFormat="1" applyFont="1" applyFill="1" applyBorder="1" applyAlignment="1" applyProtection="1">
      <alignment horizontal="center"/>
      <protection locked="0"/>
    </xf>
    <xf numFmtId="0" fontId="34" fillId="0" borderId="47" xfId="0" applyNumberFormat="1" applyFont="1" applyFill="1" applyBorder="1" applyAlignment="1" applyProtection="1">
      <alignment horizontal="center" vertical="center"/>
      <protection locked="0"/>
    </xf>
    <xf numFmtId="20" fontId="34" fillId="0" borderId="47" xfId="0" applyNumberFormat="1" applyFont="1" applyFill="1" applyBorder="1" applyAlignment="1" applyProtection="1">
      <alignment horizontal="center" vertical="center"/>
      <protection locked="0"/>
    </xf>
    <xf numFmtId="14" fontId="34" fillId="0" borderId="47" xfId="0" applyNumberFormat="1" applyFont="1" applyFill="1" applyBorder="1" applyAlignment="1" applyProtection="1">
      <alignment horizontal="center" vertical="center"/>
      <protection locked="0"/>
    </xf>
    <xf numFmtId="188" fontId="34" fillId="0" borderId="47" xfId="0" applyNumberFormat="1" applyFont="1" applyFill="1" applyBorder="1" applyAlignment="1" applyProtection="1">
      <alignment horizontal="center" vertical="center"/>
      <protection locked="0"/>
    </xf>
    <xf numFmtId="183" fontId="34" fillId="0" borderId="47" xfId="0" applyNumberFormat="1" applyFont="1" applyFill="1" applyBorder="1" applyAlignment="1" applyProtection="1">
      <alignment horizontal="center" vertical="center"/>
      <protection locked="0"/>
    </xf>
    <xf numFmtId="190" fontId="34" fillId="0" borderId="47" xfId="0" applyNumberFormat="1" applyFont="1" applyFill="1" applyBorder="1" applyAlignment="1" applyProtection="1">
      <alignment horizontal="center" vertical="center"/>
      <protection locked="0"/>
    </xf>
    <xf numFmtId="0" fontId="52" fillId="41" borderId="0" xfId="0" applyFont="1" applyFill="1" applyProtection="1">
      <protection locked="0"/>
    </xf>
    <xf numFmtId="0" fontId="34" fillId="0" borderId="49" xfId="0" applyNumberFormat="1" applyFont="1" applyFill="1" applyBorder="1" applyAlignment="1" applyProtection="1">
      <alignment horizontal="center" vertical="center"/>
    </xf>
    <xf numFmtId="0" fontId="34" fillId="0" borderId="48" xfId="0" applyNumberFormat="1" applyFont="1" applyFill="1" applyBorder="1" applyAlignment="1" applyProtection="1">
      <alignment horizontal="center" vertical="center"/>
    </xf>
    <xf numFmtId="0" fontId="34" fillId="0" borderId="52" xfId="0" applyNumberFormat="1" applyFont="1" applyFill="1" applyBorder="1" applyAlignment="1" applyProtection="1">
      <alignment horizontal="center" vertical="center"/>
      <protection locked="0"/>
    </xf>
    <xf numFmtId="1" fontId="34" fillId="0" borderId="47" xfId="0" applyNumberFormat="1" applyFont="1" applyFill="1" applyBorder="1" applyAlignment="1" applyProtection="1">
      <alignment horizontal="center" vertical="center"/>
      <protection locked="0"/>
    </xf>
    <xf numFmtId="0" fontId="34" fillId="0" borderId="46" xfId="0" quotePrefix="1" applyNumberFormat="1" applyFont="1" applyFill="1" applyBorder="1" applyAlignment="1" applyProtection="1">
      <alignment horizontal="center" vertical="center"/>
      <protection locked="0"/>
    </xf>
    <xf numFmtId="0" fontId="34" fillId="0" borderId="117" xfId="0" applyNumberFormat="1" applyFont="1" applyFill="1" applyBorder="1" applyAlignment="1" applyProtection="1">
      <alignment horizontal="center" vertical="center"/>
      <protection locked="0"/>
    </xf>
    <xf numFmtId="0" fontId="34" fillId="0" borderId="47" xfId="0" quotePrefix="1" applyNumberFormat="1" applyFont="1" applyFill="1" applyBorder="1" applyAlignment="1" applyProtection="1">
      <alignment horizontal="center"/>
      <protection locked="0"/>
    </xf>
    <xf numFmtId="0" fontId="34" fillId="0" borderId="49" xfId="0" quotePrefix="1" applyNumberFormat="1" applyFont="1" applyFill="1" applyBorder="1" applyAlignment="1" applyProtection="1">
      <alignment horizontal="center" vertical="center"/>
    </xf>
    <xf numFmtId="0" fontId="33" fillId="0" borderId="0" xfId="0" applyFont="1" applyFill="1" applyProtection="1">
      <protection locked="0"/>
    </xf>
    <xf numFmtId="0" fontId="33" fillId="0" borderId="129" xfId="0" applyFont="1" applyBorder="1" applyProtection="1">
      <protection locked="0"/>
    </xf>
    <xf numFmtId="0" fontId="33" fillId="0" borderId="130" xfId="0" applyFont="1" applyBorder="1" applyProtection="1">
      <protection locked="0"/>
    </xf>
    <xf numFmtId="182" fontId="38" fillId="40" borderId="131" xfId="0" applyNumberFormat="1" applyFont="1" applyFill="1" applyBorder="1" applyAlignment="1" applyProtection="1">
      <alignment horizontal="center" vertical="center"/>
      <protection locked="0"/>
    </xf>
    <xf numFmtId="182" fontId="38" fillId="40" borderId="132" xfId="0" applyNumberFormat="1" applyFont="1" applyFill="1" applyBorder="1" applyAlignment="1" applyProtection="1">
      <alignment horizontal="center" vertical="center"/>
      <protection locked="0"/>
    </xf>
    <xf numFmtId="182" fontId="38" fillId="40" borderId="133" xfId="0" applyNumberFormat="1" applyFont="1" applyFill="1" applyBorder="1" applyAlignment="1" applyProtection="1">
      <alignment horizontal="center" vertical="center"/>
      <protection locked="0"/>
    </xf>
    <xf numFmtId="0" fontId="38" fillId="40" borderId="133" xfId="0" applyNumberFormat="1" applyFont="1" applyFill="1" applyBorder="1" applyAlignment="1" applyProtection="1">
      <alignment horizontal="center" vertical="center"/>
      <protection locked="0"/>
    </xf>
    <xf numFmtId="182" fontId="38" fillId="35" borderId="133" xfId="0" applyNumberFormat="1" applyFont="1" applyFill="1" applyBorder="1" applyAlignment="1" applyProtection="1">
      <alignment horizontal="center" vertical="center"/>
      <protection locked="0"/>
    </xf>
    <xf numFmtId="186" fontId="38" fillId="40" borderId="133" xfId="0" applyNumberFormat="1" applyFont="1" applyFill="1" applyBorder="1" applyAlignment="1" applyProtection="1">
      <alignment horizontal="center" vertical="center"/>
      <protection locked="0"/>
    </xf>
    <xf numFmtId="14" fontId="38" fillId="40" borderId="133" xfId="0" applyNumberFormat="1" applyFont="1" applyFill="1" applyBorder="1" applyAlignment="1" applyProtection="1">
      <alignment horizontal="center" vertical="center"/>
      <protection locked="0"/>
    </xf>
    <xf numFmtId="182" fontId="38" fillId="40" borderId="134" xfId="0" applyNumberFormat="1" applyFont="1" applyFill="1" applyBorder="1" applyAlignment="1" applyProtection="1">
      <alignment horizontal="center" vertical="center"/>
    </xf>
    <xf numFmtId="182" fontId="38" fillId="40" borderId="135" xfId="0" applyNumberFormat="1" applyFont="1" applyFill="1" applyBorder="1" applyAlignment="1" applyProtection="1">
      <alignment horizontal="center" vertical="center"/>
    </xf>
    <xf numFmtId="0" fontId="34" fillId="0" borderId="136" xfId="0" applyNumberFormat="1" applyFont="1" applyFill="1" applyBorder="1" applyAlignment="1" applyProtection="1">
      <alignment horizontal="center" vertical="center"/>
      <protection locked="0"/>
    </xf>
    <xf numFmtId="0" fontId="34" fillId="0" borderId="137" xfId="0" applyNumberFormat="1" applyFont="1" applyFill="1" applyBorder="1" applyAlignment="1" applyProtection="1">
      <alignment horizontal="center" vertical="center"/>
    </xf>
    <xf numFmtId="0" fontId="34" fillId="0" borderId="137" xfId="0" applyNumberFormat="1" applyFont="1" applyFill="1" applyBorder="1" applyAlignment="1" applyProtection="1">
      <alignment horizontal="center" vertical="center"/>
      <protection locked="0"/>
    </xf>
    <xf numFmtId="0" fontId="34" fillId="0" borderId="138" xfId="0" applyNumberFormat="1" applyFont="1" applyFill="1" applyBorder="1" applyAlignment="1" applyProtection="1">
      <alignment horizontal="center" vertical="center"/>
      <protection locked="0"/>
    </xf>
    <xf numFmtId="0" fontId="34" fillId="0" borderId="136" xfId="0" quotePrefix="1" applyNumberFormat="1" applyFont="1" applyFill="1" applyBorder="1" applyAlignment="1" applyProtection="1">
      <alignment horizontal="center" vertical="center"/>
      <protection locked="0"/>
    </xf>
    <xf numFmtId="0" fontId="34" fillId="0" borderId="139" xfId="0" applyNumberFormat="1" applyFont="1" applyFill="1" applyBorder="1" applyAlignment="1" applyProtection="1">
      <alignment horizontal="center" vertical="center"/>
      <protection locked="0"/>
    </xf>
    <xf numFmtId="0" fontId="34" fillId="0" borderId="139" xfId="0" applyNumberFormat="1" applyFont="1" applyFill="1" applyBorder="1" applyAlignment="1" applyProtection="1">
      <alignment horizontal="center" vertical="center"/>
    </xf>
    <xf numFmtId="14" fontId="34" fillId="0" borderId="47" xfId="0" applyNumberFormat="1" applyFont="1" applyFill="1" applyBorder="1" applyAlignment="1" applyProtection="1">
      <alignment horizontal="center" vertical="center"/>
    </xf>
    <xf numFmtId="188" fontId="34" fillId="0" borderId="47" xfId="0" quotePrefix="1" applyNumberFormat="1" applyFont="1" applyFill="1" applyBorder="1" applyAlignment="1" applyProtection="1">
      <alignment horizontal="center" vertical="center"/>
      <protection locked="0"/>
    </xf>
    <xf numFmtId="0" fontId="108" fillId="0" borderId="0" xfId="0" applyFont="1"/>
    <xf numFmtId="0" fontId="34" fillId="0" borderId="47" xfId="0" applyNumberFormat="1" applyFont="1" applyFill="1" applyBorder="1" applyAlignment="1" applyProtection="1">
      <alignment horizontal="center" vertical="center"/>
      <protection locked="0"/>
    </xf>
    <xf numFmtId="0" fontId="34" fillId="0" borderId="52" xfId="0" applyNumberFormat="1" applyFont="1" applyFill="1" applyBorder="1" applyAlignment="1" applyProtection="1">
      <alignment horizontal="center" vertical="center"/>
      <protection locked="0"/>
    </xf>
    <xf numFmtId="0" fontId="34" fillId="0" borderId="47" xfId="0" applyNumberFormat="1" applyFont="1" applyFill="1" applyBorder="1" applyAlignment="1" applyProtection="1">
      <alignment horizontal="center"/>
      <protection locked="0"/>
    </xf>
    <xf numFmtId="0" fontId="34" fillId="0" borderId="47" xfId="0" applyNumberFormat="1" applyFont="1" applyFill="1" applyBorder="1" applyAlignment="1" applyProtection="1">
      <alignment horizontal="center" vertical="center"/>
      <protection locked="0"/>
    </xf>
    <xf numFmtId="0" fontId="34" fillId="0" borderId="52" xfId="0" applyNumberFormat="1" applyFont="1" applyFill="1" applyBorder="1" applyAlignment="1" applyProtection="1">
      <alignment horizontal="center" vertical="center"/>
    </xf>
    <xf numFmtId="0" fontId="34" fillId="0" borderId="47" xfId="0" applyNumberFormat="1" applyFont="1" applyFill="1" applyBorder="1" applyAlignment="1" applyProtection="1">
      <alignment horizontal="center" vertical="center"/>
    </xf>
    <xf numFmtId="182" fontId="35" fillId="34" borderId="140" xfId="0" applyNumberFormat="1" applyFont="1" applyFill="1" applyBorder="1" applyAlignment="1">
      <alignment horizontal="center" vertical="center"/>
    </xf>
    <xf numFmtId="0" fontId="33" fillId="0" borderId="144" xfId="0" applyNumberFormat="1" applyFont="1" applyBorder="1" applyAlignment="1" applyProtection="1">
      <alignment horizontal="center" vertical="center"/>
      <protection locked="0"/>
    </xf>
    <xf numFmtId="0" fontId="33" fillId="0" borderId="145" xfId="0" applyNumberFormat="1" applyFont="1" applyBorder="1" applyAlignment="1" applyProtection="1">
      <alignment horizontal="center" vertical="center"/>
      <protection locked="0"/>
    </xf>
    <xf numFmtId="0" fontId="33" fillId="0" borderId="146" xfId="0" applyNumberFormat="1" applyFont="1" applyBorder="1" applyAlignment="1" applyProtection="1">
      <alignment horizontal="center" vertical="center"/>
      <protection locked="0"/>
    </xf>
    <xf numFmtId="0" fontId="33" fillId="0" borderId="147" xfId="0" applyNumberFormat="1" applyFont="1" applyBorder="1" applyAlignment="1" applyProtection="1">
      <alignment horizontal="center" vertical="center"/>
      <protection locked="0"/>
    </xf>
    <xf numFmtId="0" fontId="33" fillId="0" borderId="148" xfId="0" applyNumberFormat="1" applyFont="1" applyBorder="1" applyAlignment="1" applyProtection="1">
      <alignment horizontal="center" vertical="center"/>
      <protection locked="0"/>
    </xf>
    <xf numFmtId="0" fontId="33" fillId="0" borderId="149" xfId="0" applyNumberFormat="1" applyFont="1" applyBorder="1" applyAlignment="1" applyProtection="1">
      <alignment horizontal="center" vertical="center"/>
      <protection locked="0"/>
    </xf>
    <xf numFmtId="0" fontId="33" fillId="0" borderId="150" xfId="0" applyNumberFormat="1" applyFont="1" applyBorder="1" applyAlignment="1" applyProtection="1">
      <alignment horizontal="center" vertical="center"/>
      <protection locked="0"/>
    </xf>
    <xf numFmtId="0" fontId="33" fillId="0" borderId="151" xfId="0" applyNumberFormat="1" applyFont="1" applyBorder="1" applyAlignment="1" applyProtection="1">
      <alignment horizontal="center" vertical="center"/>
      <protection locked="0"/>
    </xf>
    <xf numFmtId="0" fontId="33" fillId="0" borderId="152" xfId="0" applyNumberFormat="1" applyFont="1" applyBorder="1" applyAlignment="1" applyProtection="1">
      <alignment horizontal="center" vertical="center"/>
      <protection locked="0"/>
    </xf>
    <xf numFmtId="0" fontId="33" fillId="0" borderId="153" xfId="0" applyNumberFormat="1" applyFont="1" applyBorder="1" applyAlignment="1" applyProtection="1">
      <alignment horizontal="center" vertical="center"/>
      <protection locked="0"/>
    </xf>
    <xf numFmtId="0" fontId="33" fillId="0" borderId="154" xfId="0" applyNumberFormat="1" applyFont="1" applyBorder="1" applyAlignment="1" applyProtection="1">
      <alignment horizontal="center" vertical="center"/>
      <protection locked="0"/>
    </xf>
    <xf numFmtId="0" fontId="44" fillId="41" borderId="0" xfId="0" applyFont="1" applyFill="1" applyProtection="1">
      <protection locked="0"/>
    </xf>
    <xf numFmtId="0" fontId="34" fillId="0" borderId="113" xfId="0" applyNumberFormat="1" applyFont="1" applyFill="1" applyBorder="1" applyAlignment="1" applyProtection="1">
      <alignment horizontal="center" vertical="center"/>
    </xf>
    <xf numFmtId="0" fontId="38" fillId="33" borderId="20" xfId="0" applyFont="1" applyFill="1" applyBorder="1" applyAlignment="1" applyProtection="1">
      <alignment horizontal="center" vertical="center"/>
      <protection locked="0"/>
    </xf>
    <xf numFmtId="0" fontId="38" fillId="33" borderId="21" xfId="0" applyFont="1" applyFill="1" applyBorder="1" applyAlignment="1" applyProtection="1">
      <alignment horizontal="center" vertical="center"/>
      <protection locked="0"/>
    </xf>
    <xf numFmtId="0" fontId="38" fillId="33" borderId="22" xfId="0" applyFont="1" applyFill="1" applyBorder="1" applyAlignment="1" applyProtection="1">
      <alignment horizontal="center" vertical="center"/>
      <protection locked="0"/>
    </xf>
    <xf numFmtId="0" fontId="38" fillId="36" borderId="84" xfId="0" applyFont="1" applyFill="1" applyBorder="1" applyAlignment="1" applyProtection="1">
      <alignment horizontal="center" vertical="center"/>
      <protection locked="0"/>
    </xf>
    <xf numFmtId="0" fontId="38" fillId="36" borderId="85" xfId="0" applyFont="1" applyFill="1" applyBorder="1" applyAlignment="1" applyProtection="1">
      <alignment horizontal="center" vertical="center"/>
      <protection locked="0"/>
    </xf>
    <xf numFmtId="0" fontId="38" fillId="36" borderId="86" xfId="0" applyFont="1" applyFill="1" applyBorder="1" applyAlignment="1" applyProtection="1">
      <alignment horizontal="center" vertical="center"/>
      <protection locked="0"/>
    </xf>
    <xf numFmtId="0" fontId="38" fillId="36" borderId="20" xfId="0" applyFont="1" applyFill="1" applyBorder="1" applyAlignment="1" applyProtection="1">
      <alignment horizontal="center" vertical="center"/>
      <protection locked="0"/>
    </xf>
    <xf numFmtId="0" fontId="38" fillId="36" borderId="83" xfId="0" applyFont="1" applyFill="1" applyBorder="1" applyAlignment="1" applyProtection="1">
      <alignment horizontal="center" vertical="center"/>
      <protection locked="0"/>
    </xf>
    <xf numFmtId="0" fontId="38" fillId="36" borderId="21" xfId="0" applyFont="1" applyFill="1" applyBorder="1" applyAlignment="1" applyProtection="1">
      <alignment horizontal="center" vertical="center"/>
      <protection locked="0"/>
    </xf>
    <xf numFmtId="0" fontId="38" fillId="36" borderId="22" xfId="0" applyFont="1" applyFill="1" applyBorder="1" applyAlignment="1" applyProtection="1">
      <alignment horizontal="center" vertical="center"/>
      <protection locked="0"/>
    </xf>
    <xf numFmtId="0" fontId="45" fillId="37" borderId="26" xfId="0" applyNumberFormat="1" applyFont="1" applyFill="1" applyBorder="1" applyAlignment="1">
      <alignment horizontal="center" vertical="center"/>
    </xf>
    <xf numFmtId="0" fontId="45" fillId="37" borderId="27" xfId="0" applyNumberFormat="1" applyFont="1" applyFill="1" applyBorder="1" applyAlignment="1">
      <alignment horizontal="center" vertical="center"/>
    </xf>
    <xf numFmtId="0" fontId="97" fillId="0" borderId="54" xfId="0" applyFont="1" applyBorder="1" applyAlignment="1">
      <alignment horizontal="center"/>
    </xf>
    <xf numFmtId="0" fontId="97" fillId="0" borderId="55" xfId="0" applyFont="1" applyBorder="1" applyAlignment="1">
      <alignment horizontal="center"/>
    </xf>
    <xf numFmtId="0" fontId="99" fillId="37" borderId="76" xfId="0" applyFont="1" applyFill="1" applyBorder="1" applyAlignment="1">
      <alignment horizontal="center"/>
    </xf>
    <xf numFmtId="0" fontId="51" fillId="0" borderId="80" xfId="0" applyFont="1" applyBorder="1" applyAlignment="1">
      <alignment horizontal="center" vertical="center" wrapText="1"/>
    </xf>
    <xf numFmtId="0" fontId="51" fillId="0" borderId="81" xfId="0" applyFont="1" applyBorder="1" applyAlignment="1">
      <alignment horizontal="center" vertical="center" wrapText="1"/>
    </xf>
    <xf numFmtId="0" fontId="51" fillId="0" borderId="82" xfId="0" applyFont="1" applyBorder="1" applyAlignment="1">
      <alignment horizontal="center" vertical="center" wrapText="1"/>
    </xf>
    <xf numFmtId="0" fontId="96" fillId="39" borderId="70" xfId="0" applyFont="1" applyFill="1" applyBorder="1" applyAlignment="1">
      <alignment horizontal="center"/>
    </xf>
    <xf numFmtId="0" fontId="96" fillId="39" borderId="72" xfId="0" applyFont="1" applyFill="1" applyBorder="1" applyAlignment="1">
      <alignment horizontal="center"/>
    </xf>
    <xf numFmtId="0" fontId="97" fillId="31" borderId="71" xfId="0" applyFont="1" applyFill="1" applyBorder="1" applyAlignment="1">
      <alignment horizontal="center"/>
    </xf>
    <xf numFmtId="0" fontId="97" fillId="31" borderId="70" xfId="0" applyFont="1" applyFill="1" applyBorder="1" applyAlignment="1">
      <alignment horizontal="center"/>
    </xf>
    <xf numFmtId="0" fontId="97" fillId="31" borderId="72" xfId="0" applyFont="1" applyFill="1" applyBorder="1" applyAlignment="1">
      <alignment horizontal="center"/>
    </xf>
    <xf numFmtId="0" fontId="97" fillId="0" borderId="53" xfId="0" applyFont="1" applyBorder="1" applyAlignment="1">
      <alignment horizontal="center"/>
    </xf>
    <xf numFmtId="0" fontId="38" fillId="40" borderId="155" xfId="0" applyNumberFormat="1" applyFont="1" applyFill="1" applyBorder="1" applyAlignment="1" applyProtection="1">
      <alignment horizontal="center" vertical="center"/>
      <protection locked="0"/>
    </xf>
    <xf numFmtId="0" fontId="38" fillId="40" borderId="156" xfId="0" applyNumberFormat="1" applyFont="1" applyFill="1" applyBorder="1" applyAlignment="1" applyProtection="1">
      <alignment horizontal="center" vertical="center"/>
      <protection locked="0"/>
    </xf>
    <xf numFmtId="182" fontId="38" fillId="40" borderId="155" xfId="0" applyNumberFormat="1" applyFont="1" applyFill="1" applyBorder="1" applyAlignment="1" applyProtection="1">
      <alignment horizontal="center" vertical="center"/>
      <protection locked="0"/>
    </xf>
    <xf numFmtId="182" fontId="38" fillId="40" borderId="156" xfId="0" applyNumberFormat="1" applyFont="1" applyFill="1" applyBorder="1" applyAlignment="1" applyProtection="1">
      <alignment horizontal="center" vertical="center"/>
      <protection locked="0"/>
    </xf>
    <xf numFmtId="182" fontId="38" fillId="40" borderId="31" xfId="0" applyNumberFormat="1" applyFont="1" applyFill="1" applyBorder="1" applyAlignment="1">
      <alignment horizontal="center" vertical="center"/>
    </xf>
    <xf numFmtId="182" fontId="38" fillId="40" borderId="22" xfId="0" applyNumberFormat="1" applyFont="1" applyFill="1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43" xfId="0" applyBorder="1" applyAlignment="1">
      <alignment horizontal="center" vertical="center"/>
    </xf>
    <xf numFmtId="0" fontId="38" fillId="33" borderId="128" xfId="0" applyFont="1" applyFill="1" applyBorder="1" applyAlignment="1" applyProtection="1">
      <alignment horizontal="center" vertical="center"/>
      <protection locked="0"/>
    </xf>
    <xf numFmtId="0" fontId="38" fillId="36" borderId="128" xfId="0" applyFont="1" applyFill="1" applyBorder="1" applyAlignment="1" applyProtection="1">
      <alignment horizontal="center" vertical="center"/>
      <protection locked="0"/>
    </xf>
    <xf numFmtId="0" fontId="0" fillId="0" borderId="76" xfId="0" applyBorder="1" applyAlignment="1">
      <alignment horizontal="center"/>
    </xf>
  </cellXfs>
  <cellStyles count="12283">
    <cellStyle name=" 1" xfId="521"/>
    <cellStyle name=" 1 2" xfId="522"/>
    <cellStyle name="%" xfId="2"/>
    <cellStyle name="% 10" xfId="523"/>
    <cellStyle name="% 10 2" xfId="524"/>
    <cellStyle name="% 11" xfId="525"/>
    <cellStyle name="% 11 2" xfId="526"/>
    <cellStyle name="% 12" xfId="527"/>
    <cellStyle name="% 12 2" xfId="528"/>
    <cellStyle name="% 13" xfId="529"/>
    <cellStyle name="% 13 2" xfId="530"/>
    <cellStyle name="% 14" xfId="531"/>
    <cellStyle name="% 14 2" xfId="532"/>
    <cellStyle name="% 15" xfId="533"/>
    <cellStyle name="% 15 2" xfId="534"/>
    <cellStyle name="% 15 2 2" xfId="535"/>
    <cellStyle name="% 15 3" xfId="536"/>
    <cellStyle name="% 16" xfId="537"/>
    <cellStyle name="% 16 2" xfId="538"/>
    <cellStyle name="% 17" xfId="539"/>
    <cellStyle name="% 18" xfId="540"/>
    <cellStyle name="% 2" xfId="541"/>
    <cellStyle name="% 2 2" xfId="542"/>
    <cellStyle name="% 2 2 2" xfId="543"/>
    <cellStyle name="% 2 2 2 2" xfId="544"/>
    <cellStyle name="% 2 2 3" xfId="545"/>
    <cellStyle name="% 2 3" xfId="546"/>
    <cellStyle name="% 2 3 2" xfId="547"/>
    <cellStyle name="% 2 3 2 2" xfId="548"/>
    <cellStyle name="% 2 3 3" xfId="549"/>
    <cellStyle name="% 2 3 3 2" xfId="550"/>
    <cellStyle name="% 2 3 4" xfId="551"/>
    <cellStyle name="% 2 4" xfId="552"/>
    <cellStyle name="% 2 4 2" xfId="553"/>
    <cellStyle name="% 2 5" xfId="554"/>
    <cellStyle name="% 2 5 2" xfId="555"/>
    <cellStyle name="% 2 6" xfId="556"/>
    <cellStyle name="% 2 6 2" xfId="557"/>
    <cellStyle name="% 2 7" xfId="558"/>
    <cellStyle name="% 2 7 2" xfId="559"/>
    <cellStyle name="% 2 8" xfId="560"/>
    <cellStyle name="% 2 8 2" xfId="561"/>
    <cellStyle name="% 2 9" xfId="562"/>
    <cellStyle name="% 26" xfId="563"/>
    <cellStyle name="% 26 2" xfId="564"/>
    <cellStyle name="% 26 2 2" xfId="565"/>
    <cellStyle name="% 26 3" xfId="566"/>
    <cellStyle name="% 27" xfId="567"/>
    <cellStyle name="% 27 2" xfId="568"/>
    <cellStyle name="% 27 2 2" xfId="569"/>
    <cellStyle name="% 27 3" xfId="570"/>
    <cellStyle name="% 3" xfId="571"/>
    <cellStyle name="% 3 2" xfId="572"/>
    <cellStyle name="% 3 2 2" xfId="573"/>
    <cellStyle name="% 3 3" xfId="574"/>
    <cellStyle name="% 3 3 2" xfId="575"/>
    <cellStyle name="% 3 4" xfId="576"/>
    <cellStyle name="% 3 4 2" xfId="577"/>
    <cellStyle name="% 3 5" xfId="578"/>
    <cellStyle name="% 3 5 2" xfId="579"/>
    <cellStyle name="% 3 6" xfId="580"/>
    <cellStyle name="% 3 6 2" xfId="581"/>
    <cellStyle name="% 3 7" xfId="582"/>
    <cellStyle name="% 37" xfId="583"/>
    <cellStyle name="% 37 2" xfId="584"/>
    <cellStyle name="% 37 2 2" xfId="585"/>
    <cellStyle name="% 37 3" xfId="586"/>
    <cellStyle name="% 4" xfId="587"/>
    <cellStyle name="% 4 2" xfId="588"/>
    <cellStyle name="% 4 2 2" xfId="589"/>
    <cellStyle name="% 4 3" xfId="590"/>
    <cellStyle name="% 4 3 2" xfId="591"/>
    <cellStyle name="% 4 4" xfId="592"/>
    <cellStyle name="% 4 4 2" xfId="593"/>
    <cellStyle name="% 4 5" xfId="594"/>
    <cellStyle name="% 4 5 2" xfId="595"/>
    <cellStyle name="% 4 6" xfId="596"/>
    <cellStyle name="% 4 6 2" xfId="597"/>
    <cellStyle name="% 4 7" xfId="598"/>
    <cellStyle name="% 5" xfId="599"/>
    <cellStyle name="% 5 2" xfId="600"/>
    <cellStyle name="% 5 2 2" xfId="601"/>
    <cellStyle name="% 5 3" xfId="602"/>
    <cellStyle name="% 5 3 2" xfId="603"/>
    <cellStyle name="% 5 4" xfId="604"/>
    <cellStyle name="% 5 4 2" xfId="605"/>
    <cellStyle name="% 5 5" xfId="606"/>
    <cellStyle name="% 5 5 2" xfId="607"/>
    <cellStyle name="% 5 6" xfId="608"/>
    <cellStyle name="% 5 6 2" xfId="609"/>
    <cellStyle name="% 5 7" xfId="610"/>
    <cellStyle name="% 6" xfId="611"/>
    <cellStyle name="% 6 2" xfId="612"/>
    <cellStyle name="% 6 2 2" xfId="613"/>
    <cellStyle name="% 6 3" xfId="614"/>
    <cellStyle name="% 6 3 2" xfId="615"/>
    <cellStyle name="% 6 4" xfId="616"/>
    <cellStyle name="% 6 4 2" xfId="617"/>
    <cellStyle name="% 6 5" xfId="618"/>
    <cellStyle name="% 6 5 2" xfId="619"/>
    <cellStyle name="% 6 6" xfId="620"/>
    <cellStyle name="% 6 6 2" xfId="621"/>
    <cellStyle name="% 6 7" xfId="622"/>
    <cellStyle name="% 7" xfId="623"/>
    <cellStyle name="% 7 2" xfId="624"/>
    <cellStyle name="% 7 2 2" xfId="625"/>
    <cellStyle name="% 7 3" xfId="626"/>
    <cellStyle name="% 7 3 2" xfId="627"/>
    <cellStyle name="% 7 4" xfId="628"/>
    <cellStyle name="% 7 4 2" xfId="629"/>
    <cellStyle name="% 7 5" xfId="630"/>
    <cellStyle name="% 7 5 2" xfId="631"/>
    <cellStyle name="% 7 6" xfId="632"/>
    <cellStyle name="% 7 6 2" xfId="633"/>
    <cellStyle name="% 7 7" xfId="634"/>
    <cellStyle name="% 8" xfId="635"/>
    <cellStyle name="% 8 2" xfId="636"/>
    <cellStyle name="% 8 2 2" xfId="637"/>
    <cellStyle name="% 8 3" xfId="638"/>
    <cellStyle name="% 8 3 2" xfId="639"/>
    <cellStyle name="% 8 4" xfId="640"/>
    <cellStyle name="% 8 4 2" xfId="641"/>
    <cellStyle name="% 8 5" xfId="642"/>
    <cellStyle name="% 8 5 2" xfId="643"/>
    <cellStyle name="% 8 6" xfId="644"/>
    <cellStyle name="% 8 6 2" xfId="645"/>
    <cellStyle name="% 8 7" xfId="646"/>
    <cellStyle name="% 8 7 2" xfId="647"/>
    <cellStyle name="% 8 8" xfId="648"/>
    <cellStyle name="% 9" xfId="649"/>
    <cellStyle name="% 9 2" xfId="650"/>
    <cellStyle name="%_Active" xfId="651"/>
    <cellStyle name="%_Active 2" xfId="652"/>
    <cellStyle name="%_CHN_DELL_CTS_S6_Raji_Suhail_Manigandan" xfId="653"/>
    <cellStyle name="%_CHN_DELL_CTS_S6_Raji_Suhail_Manigandan 2" xfId="654"/>
    <cellStyle name="%_CHN_DELL_CTS_S6_Raji_Suhail_Manigandan 2 2" xfId="655"/>
    <cellStyle name="%_CHN_DELL_CTS_S6_Raji_Suhail_Manigandan 3" xfId="656"/>
    <cellStyle name="%_Consumer " xfId="657"/>
    <cellStyle name="%_Consumer  2" xfId="658"/>
    <cellStyle name="%_Consumer  2 2" xfId="659"/>
    <cellStyle name="%_Consumer  3" xfId="660"/>
    <cellStyle name="%_CTS Review File" xfId="661"/>
    <cellStyle name="%_CTS Review File 2" xfId="662"/>
    <cellStyle name="%_Dell CTS - Headcount WE 8th Jan'11 (2)" xfId="663"/>
    <cellStyle name="%_Dell CTS - Headcount WE 8th Jan'11 (2) 2" xfId="664"/>
    <cellStyle name="%_Dell CTS - Headcount WE 8th Jan'11 (2) 2 2" xfId="665"/>
    <cellStyle name="%_Dell CTS - Headcount WE 8th Jan'11 (2) 3" xfId="666"/>
    <cellStyle name="%_DPS" xfId="667"/>
    <cellStyle name="%_DPS 2" xfId="668"/>
    <cellStyle name="%_Final_Release_Report_DSS_166_Jyotsna" xfId="669"/>
    <cellStyle name="%_Final_Release_Report_DSS_166_Jyotsna 2" xfId="670"/>
    <cellStyle name="_165.1.2 SP Qualification Report - Technical batch 300106B" xfId="671"/>
    <cellStyle name="_165.1.2 SP Qualification Report - Technical batch 300106B 2" xfId="672"/>
    <cellStyle name="_Baseline-v &amp; a Assessment - Batch 80 &amp; 81" xfId="673"/>
    <cellStyle name="_Baseline-v &amp; a Assessment - Batch 80 &amp; 81 2" xfId="674"/>
    <cellStyle name="_BELL Tools IDs" xfId="675"/>
    <cellStyle name="_BELL Tools IDs 2" xfId="676"/>
    <cellStyle name="_BELL Tools IDs 2 2" xfId="677"/>
    <cellStyle name="_BELL Tools IDs 2 2 2" xfId="678"/>
    <cellStyle name="_BELL Tools IDs 2 3" xfId="679"/>
    <cellStyle name="_BELL Tools IDs 3" xfId="680"/>
    <cellStyle name="_BELL Tools IDs 3 2" xfId="681"/>
    <cellStyle name="_BELL Tools IDs 4" xfId="682"/>
    <cellStyle name="_Categorization" xfId="683"/>
    <cellStyle name="_Categorization 2" xfId="684"/>
    <cellStyle name="_CHN_69_Bell Canada_Shama_" xfId="685"/>
    <cellStyle name="_CHN_69_Bell Canada_Shama_ 2" xfId="686"/>
    <cellStyle name="_CHN-NH-086-BC-Aug'08-William_Vijay" xfId="687"/>
    <cellStyle name="_CHN-NH-086-BC-Aug'08-William_Vijay 2" xfId="688"/>
    <cellStyle name="_CHN-NH-086-BC-Aug'08-William_Vijay 2 2" xfId="689"/>
    <cellStyle name="_CHN-NH-086-BC-Aug'08-William_Vijay 2 2 2" xfId="690"/>
    <cellStyle name="_CHN-NH-086-BC-Aug'08-William_Vijay 2 3" xfId="691"/>
    <cellStyle name="_CHN-NH-086-BC-Aug'08-William_Vijay 3" xfId="692"/>
    <cellStyle name="_Citrix" xfId="693"/>
    <cellStyle name="_Citrix 2" xfId="694"/>
    <cellStyle name="_Copy of CHN_70_DELL_ABIGAIL_PROC TRAINER" xfId="695"/>
    <cellStyle name="_Copy of CHN_70_DELL_ABIGAIL_PROC TRAINER 2" xfId="696"/>
    <cellStyle name="_DELL Batch#" xfId="697"/>
    <cellStyle name="_DELL Batch# 2" xfId="698"/>
    <cellStyle name="_Dellserv" xfId="699"/>
    <cellStyle name="_Dellserv 2" xfId="700"/>
    <cellStyle name="_DOMS" xfId="701"/>
    <cellStyle name="_DOMS 2" xfId="702"/>
    <cellStyle name="_DPS" xfId="703"/>
    <cellStyle name="_DPS 2" xfId="704"/>
    <cellStyle name="_Final_Release_Report_DSS_166_Jyotsna" xfId="705"/>
    <cellStyle name="_Final_Release_Report_DSS_166_Jyotsna 2" xfId="706"/>
    <cellStyle name="_Schedule Bell   Dell Format (1)" xfId="707"/>
    <cellStyle name="_Schedule Bell   Dell Format (1) 2" xfId="708"/>
    <cellStyle name="_Schedule Bell   Dell Format (1) 2 2" xfId="709"/>
    <cellStyle name="_Schedule Bell   Dell Format (1) 2 2 2" xfId="710"/>
    <cellStyle name="_Schedule Bell   Dell Format (1) 2 3" xfId="711"/>
    <cellStyle name="_Schedule Bell   Dell Format (1) 3" xfId="712"/>
    <cellStyle name="_Schedule Bell   Dell Format (1) 3 2" xfId="713"/>
    <cellStyle name="_Schedule Bell   Dell Format (1) 4" xfId="714"/>
    <cellStyle name="_Sheet1" xfId="715"/>
    <cellStyle name="_Sheet1 2" xfId="716"/>
    <cellStyle name="_Sheet1 2 2" xfId="717"/>
    <cellStyle name="_Sheet1 2 2 2" xfId="718"/>
    <cellStyle name="_Sheet1 2 3" xfId="719"/>
    <cellStyle name="_Sheet1 3" xfId="720"/>
    <cellStyle name="_Sheet1_1" xfId="721"/>
    <cellStyle name="_Sheet1_1 2" xfId="722"/>
    <cellStyle name="_SITEL TRACKER_ScoreCard_CH-NH-082-BC-Aug '08" xfId="723"/>
    <cellStyle name="_SITEL TRACKER_ScoreCard_CH-NH-082-BC-Aug '08 2" xfId="724"/>
    <cellStyle name="_SITEL TRACKER_ScoreCard_CH-NH-082-BC-Aug '08 2 2" xfId="725"/>
    <cellStyle name="_SITEL TRACKER_ScoreCard_CH-NH-082-BC-Aug '08 2 2 2" xfId="726"/>
    <cellStyle name="_SITEL TRACKER_ScoreCard_CH-NH-082-BC-Aug '08 2 3" xfId="727"/>
    <cellStyle name="_SITEL TRACKER_ScoreCard_CH-NH-082-BC-Aug '08 3" xfId="728"/>
    <cellStyle name="_SITEL TRACKER_ScoreCard_CH-NH-082-BC-Aug '08 3 2" xfId="729"/>
    <cellStyle name="_SITEL TRACKER_ScoreCard_CH-NH-082-BC-Aug '08 4" xfId="730"/>
    <cellStyle name="_SITEL TRACKER_ScoreCard_CH-NH-086-BC-Sep '08" xfId="731"/>
    <cellStyle name="_SITEL TRACKER_ScoreCard_CH-NH-086-BC-Sep '08 2" xfId="732"/>
    <cellStyle name="_SITEL TRACKER_ScoreCard_CH-NH-086-BC-Sep '08 2 2" xfId="733"/>
    <cellStyle name="_SITEL TRACKER_ScoreCard_CH-NH-086-BC-Sep '08 2 2 2" xfId="734"/>
    <cellStyle name="_SITEL TRACKER_ScoreCard_CH-NH-086-BC-Sep '08 2 3" xfId="735"/>
    <cellStyle name="_SITEL TRACKER_ScoreCard_CH-NH-086-BC-Sep '08 3" xfId="736"/>
    <cellStyle name="_SITEL TRACKER_ScoreCard_CH-NH-086-BC-Sep '08 3 2" xfId="737"/>
    <cellStyle name="_SITEL TRACKER_ScoreCard_CH-NH-086-BC-Sep '08 4" xfId="738"/>
    <cellStyle name="_SMART Template" xfId="739"/>
    <cellStyle name="_SMART Template 2" xfId="740"/>
    <cellStyle name="_TRAINEE DETAIL" xfId="741"/>
    <cellStyle name="_TRAINEE DETAIL 2" xfId="742"/>
    <cellStyle name="_TRAINEE DETAIL 2 2" xfId="743"/>
    <cellStyle name="_TRAINEE DETAIL 2 2 2" xfId="744"/>
    <cellStyle name="_TRAINEE DETAIL 2 3" xfId="745"/>
    <cellStyle name="_TRAINEE DETAIL 3" xfId="746"/>
    <cellStyle name="_TRAINEE DETAIL 3 2" xfId="747"/>
    <cellStyle name="_TRAINEE DETAIL 4" xfId="748"/>
    <cellStyle name="_Trainee Roster" xfId="749"/>
    <cellStyle name="_Trainee Roster 2" xfId="750"/>
    <cellStyle name="_Transport_Dell 66_Week2_Abigail David" xfId="751"/>
    <cellStyle name="_Transport_Dell 66_Week2_Abigail David 2" xfId="752"/>
    <cellStyle name="=C:\WINNT\SYSTEM32\COMMAND.COM" xfId="146"/>
    <cellStyle name="=C:\WINNT\SYSTEM32\COMMAND.COM 2" xfId="753"/>
    <cellStyle name="‡" xfId="3"/>
    <cellStyle name="20% - Accent1" xfId="4"/>
    <cellStyle name="20% - Accent1 10" xfId="754"/>
    <cellStyle name="20% - Accent1 10 2" xfId="755"/>
    <cellStyle name="20% - Accent1 10 3" xfId="756"/>
    <cellStyle name="20% - Accent1 10 4" xfId="9149"/>
    <cellStyle name="20% - Accent1 10 5" xfId="9150"/>
    <cellStyle name="20% - Accent1 11" xfId="757"/>
    <cellStyle name="20% - Accent1 11 3" xfId="9151"/>
    <cellStyle name="20% - Accent1 12 2" xfId="9152"/>
    <cellStyle name="20% - Accent1 12 3" xfId="9153"/>
    <cellStyle name="20% - Accent1 13" xfId="9154"/>
    <cellStyle name="20% - Accent1 14" xfId="9155"/>
    <cellStyle name="20% - Accent1 2" xfId="236"/>
    <cellStyle name="20% - Accent1 2 2" xfId="279"/>
    <cellStyle name="20% - Accent1 2 2 2" xfId="758"/>
    <cellStyle name="20% - Accent1 2 2 2 2" xfId="759"/>
    <cellStyle name="20% - Accent1 2 2 3" xfId="760"/>
    <cellStyle name="20% - Accent1 2 2 3 2" xfId="761"/>
    <cellStyle name="20% - Accent1 2 2 4" xfId="762"/>
    <cellStyle name="20% - Accent1 2 3" xfId="763"/>
    <cellStyle name="20% - Accent1 2 3 2" xfId="764"/>
    <cellStyle name="20% - Accent1 2 4" xfId="765"/>
    <cellStyle name="20% - Accent1 2 4 2" xfId="766"/>
    <cellStyle name="20% - Accent1 2 5" xfId="767"/>
    <cellStyle name="20% - Accent1 2 5 2" xfId="768"/>
    <cellStyle name="20% - Accent1 2 6" xfId="769"/>
    <cellStyle name="20% - Accent1 2 6 2" xfId="770"/>
    <cellStyle name="20% - Accent1 2 7" xfId="771"/>
    <cellStyle name="20% - Accent1 2 9" xfId="9156"/>
    <cellStyle name="20% - Accent1 3" xfId="341"/>
    <cellStyle name="20% - Accent1 3 2" xfId="772"/>
    <cellStyle name="20% - Accent1 3 2 2" xfId="773"/>
    <cellStyle name="20% - Accent1 3 3" xfId="774"/>
    <cellStyle name="20% - Accent1 3 3 2" xfId="775"/>
    <cellStyle name="20% - Accent1 3 4" xfId="776"/>
    <cellStyle name="20% - Accent1 3 4 2" xfId="777"/>
    <cellStyle name="20% - Accent1 3 5" xfId="778"/>
    <cellStyle name="20% - Accent1 3 7" xfId="9157"/>
    <cellStyle name="20% - Accent1 4" xfId="779"/>
    <cellStyle name="20% - Accent1 4 10" xfId="9158"/>
    <cellStyle name="20% - Accent1 4 11" xfId="9159"/>
    <cellStyle name="20% - Accent1 4 2" xfId="780"/>
    <cellStyle name="20% - Accent1 4 2 2" xfId="781"/>
    <cellStyle name="20% - Accent1 4 3" xfId="782"/>
    <cellStyle name="20% - Accent1 4 3 2" xfId="783"/>
    <cellStyle name="20% - Accent1 4 3 3" xfId="784"/>
    <cellStyle name="20% - Accent1 4 4" xfId="785"/>
    <cellStyle name="20% - Accent1 4 8" xfId="9160"/>
    <cellStyle name="20% - Accent1 4 9" xfId="9161"/>
    <cellStyle name="20% - Accent1 5" xfId="786"/>
    <cellStyle name="20% - Accent1 5 10" xfId="9162"/>
    <cellStyle name="20% - Accent1 5 2" xfId="787"/>
    <cellStyle name="20% - Accent1 5 2 2" xfId="788"/>
    <cellStyle name="20% - Accent1 5 3" xfId="789"/>
    <cellStyle name="20% - Accent1 5 3 2" xfId="790"/>
    <cellStyle name="20% - Accent1 5 3 3" xfId="791"/>
    <cellStyle name="20% - Accent1 5 4" xfId="792"/>
    <cellStyle name="20% - Accent1 6" xfId="793"/>
    <cellStyle name="20% - Accent1 6 2" xfId="794"/>
    <cellStyle name="20% - Accent1 6 2 2" xfId="795"/>
    <cellStyle name="20% - Accent1 6 3" xfId="796"/>
    <cellStyle name="20% - Accent1 6 3 2" xfId="797"/>
    <cellStyle name="20% - Accent1 6 3 3" xfId="798"/>
    <cellStyle name="20% - Accent1 6 4" xfId="799"/>
    <cellStyle name="20% - Accent1 6 8" xfId="9163"/>
    <cellStyle name="20% - Accent1 6 9" xfId="9164"/>
    <cellStyle name="20% - Accent1 7" xfId="800"/>
    <cellStyle name="20% - Accent1 7 2" xfId="801"/>
    <cellStyle name="20% - Accent1 7 2 2" xfId="802"/>
    <cellStyle name="20% - Accent1 7 2 3" xfId="803"/>
    <cellStyle name="20% - Accent1 7 3" xfId="804"/>
    <cellStyle name="20% - Accent1 7 4" xfId="805"/>
    <cellStyle name="20% - Accent1 7 7" xfId="9165"/>
    <cellStyle name="20% - Accent1 7 8" xfId="9166"/>
    <cellStyle name="20% - Accent1 8" xfId="806"/>
    <cellStyle name="20% - Accent1 8 2" xfId="807"/>
    <cellStyle name="20% - Accent1 8 2 2" xfId="808"/>
    <cellStyle name="20% - Accent1 8 3" xfId="809"/>
    <cellStyle name="20% - Accent1 8 3 2" xfId="810"/>
    <cellStyle name="20% - Accent1 8 3 3" xfId="811"/>
    <cellStyle name="20% - Accent1 8 4" xfId="812"/>
    <cellStyle name="20% - Accent1 8 6" xfId="9167"/>
    <cellStyle name="20% - Accent1 8 7" xfId="9168"/>
    <cellStyle name="20% - Accent1 9" xfId="813"/>
    <cellStyle name="20% - Accent1 9 2" xfId="814"/>
    <cellStyle name="20% - Accent1 9 3" xfId="815"/>
    <cellStyle name="20% - Accent1 9 6" xfId="9169"/>
    <cellStyle name="20% - Accent2" xfId="5"/>
    <cellStyle name="20% - Accent2 10" xfId="816"/>
    <cellStyle name="20% - Accent2 10 2" xfId="9170"/>
    <cellStyle name="20% - Accent2 10 3" xfId="9171"/>
    <cellStyle name="20% - Accent2 10 4" xfId="9172"/>
    <cellStyle name="20% - Accent2 10 5" xfId="9173"/>
    <cellStyle name="20% - Accent2 11 2" xfId="9174"/>
    <cellStyle name="20% - Accent2 11 3" xfId="9175"/>
    <cellStyle name="20% - Accent2 12" xfId="9176"/>
    <cellStyle name="20% - Accent2 13 2" xfId="9177"/>
    <cellStyle name="20% - Accent2 14" xfId="9178"/>
    <cellStyle name="20% - Accent2 15" xfId="9179"/>
    <cellStyle name="20% - Accent2 2" xfId="237"/>
    <cellStyle name="20% - Accent2 2 10" xfId="9180"/>
    <cellStyle name="20% - Accent2 2 2" xfId="280"/>
    <cellStyle name="20% - Accent2 2 2 2" xfId="817"/>
    <cellStyle name="20% - Accent2 2 2 2 2" xfId="818"/>
    <cellStyle name="20% - Accent2 2 2 3" xfId="819"/>
    <cellStyle name="20% - Accent2 2 2 3 2" xfId="820"/>
    <cellStyle name="20% - Accent2 2 2 4" xfId="821"/>
    <cellStyle name="20% - Accent2 2 3" xfId="822"/>
    <cellStyle name="20% - Accent2 2 3 2" xfId="823"/>
    <cellStyle name="20% - Accent2 2 4" xfId="824"/>
    <cellStyle name="20% - Accent2 2 4 2" xfId="825"/>
    <cellStyle name="20% - Accent2 2 5" xfId="826"/>
    <cellStyle name="20% - Accent2 2 5 2" xfId="827"/>
    <cellStyle name="20% - Accent2 2 6" xfId="828"/>
    <cellStyle name="20% - Accent2 2 6 2" xfId="829"/>
    <cellStyle name="20% - Accent2 2 7" xfId="830"/>
    <cellStyle name="20% - Accent2 3" xfId="342"/>
    <cellStyle name="20% - Accent2 3 10" xfId="9181"/>
    <cellStyle name="20% - Accent2 3 11" xfId="9182"/>
    <cellStyle name="20% - Accent2 3 2" xfId="831"/>
    <cellStyle name="20% - Accent2 3 2 2" xfId="832"/>
    <cellStyle name="20% - Accent2 3 3" xfId="833"/>
    <cellStyle name="20% - Accent2 3 3 2" xfId="834"/>
    <cellStyle name="20% - Accent2 3 4" xfId="835"/>
    <cellStyle name="20% - Accent2 3 4 2" xfId="836"/>
    <cellStyle name="20% - Accent2 3 5" xfId="837"/>
    <cellStyle name="20% - Accent2 3 7" xfId="9183"/>
    <cellStyle name="20% - Accent2 3 9" xfId="9184"/>
    <cellStyle name="20% - Accent2 4" xfId="838"/>
    <cellStyle name="20% - Accent2 4 11" xfId="9185"/>
    <cellStyle name="20% - Accent2 4 2" xfId="839"/>
    <cellStyle name="20% - Accent2 4 2 2" xfId="840"/>
    <cellStyle name="20% - Accent2 4 3" xfId="841"/>
    <cellStyle name="20% - Accent2 4 3 2" xfId="842"/>
    <cellStyle name="20% - Accent2 4 3 3" xfId="843"/>
    <cellStyle name="20% - Accent2 4 4" xfId="844"/>
    <cellStyle name="20% - Accent2 4 7" xfId="9186"/>
    <cellStyle name="20% - Accent2 5" xfId="845"/>
    <cellStyle name="20% - Accent2 5 10" xfId="9187"/>
    <cellStyle name="20% - Accent2 5 2" xfId="846"/>
    <cellStyle name="20% - Accent2 5 2 2" xfId="847"/>
    <cellStyle name="20% - Accent2 5 3" xfId="848"/>
    <cellStyle name="20% - Accent2 5 3 2" xfId="849"/>
    <cellStyle name="20% - Accent2 5 3 3" xfId="850"/>
    <cellStyle name="20% - Accent2 5 4" xfId="851"/>
    <cellStyle name="20% - Accent2 5 6" xfId="9188"/>
    <cellStyle name="20% - Accent2 5 9" xfId="9189"/>
    <cellStyle name="20% - Accent2 6" xfId="852"/>
    <cellStyle name="20% - Accent2 6 2" xfId="853"/>
    <cellStyle name="20% - Accent2 6 2 2" xfId="854"/>
    <cellStyle name="20% - Accent2 6 3" xfId="855"/>
    <cellStyle name="20% - Accent2 6 3 2" xfId="856"/>
    <cellStyle name="20% - Accent2 6 3 3" xfId="857"/>
    <cellStyle name="20% - Accent2 6 4" xfId="858"/>
    <cellStyle name="20% - Accent2 6 7" xfId="9190"/>
    <cellStyle name="20% - Accent2 6 8" xfId="9191"/>
    <cellStyle name="20% - Accent2 6 9" xfId="9192"/>
    <cellStyle name="20% - Accent2 7" xfId="859"/>
    <cellStyle name="20% - Accent2 7 2" xfId="860"/>
    <cellStyle name="20% - Accent2 7 2 2" xfId="861"/>
    <cellStyle name="20% - Accent2 7 2 3" xfId="862"/>
    <cellStyle name="20% - Accent2 7 3" xfId="863"/>
    <cellStyle name="20% - Accent2 7 4" xfId="864"/>
    <cellStyle name="20% - Accent2 7 7" xfId="9193"/>
    <cellStyle name="20% - Accent2 7 8" xfId="9194"/>
    <cellStyle name="20% - Accent2 8" xfId="865"/>
    <cellStyle name="20% - Accent2 8 2" xfId="866"/>
    <cellStyle name="20% - Accent2 8 2 2" xfId="867"/>
    <cellStyle name="20% - Accent2 8 3" xfId="868"/>
    <cellStyle name="20% - Accent2 8 3 2" xfId="869"/>
    <cellStyle name="20% - Accent2 8 3 3" xfId="870"/>
    <cellStyle name="20% - Accent2 8 4" xfId="871"/>
    <cellStyle name="20% - Accent2 8 6" xfId="9195"/>
    <cellStyle name="20% - Accent2 8 7" xfId="9196"/>
    <cellStyle name="20% - Accent2 9" xfId="872"/>
    <cellStyle name="20% - Accent2 9 2" xfId="873"/>
    <cellStyle name="20% - Accent2 9 3" xfId="874"/>
    <cellStyle name="20% - Accent2 9 4" xfId="9197"/>
    <cellStyle name="20% - Accent2 9 5" xfId="9198"/>
    <cellStyle name="20% - Accent2 9 6" xfId="9199"/>
    <cellStyle name="20% - Accent3" xfId="6"/>
    <cellStyle name="20% - Accent3 10" xfId="875"/>
    <cellStyle name="20% - Accent3 10 2" xfId="9200"/>
    <cellStyle name="20% - Accent3 10 3" xfId="9201"/>
    <cellStyle name="20% - Accent3 12" xfId="9202"/>
    <cellStyle name="20% - Accent3 13" xfId="9203"/>
    <cellStyle name="20% - Accent3 13 2" xfId="9204"/>
    <cellStyle name="20% - Accent3 14" xfId="9205"/>
    <cellStyle name="20% - Accent3 15" xfId="9206"/>
    <cellStyle name="20% - Accent3 2" xfId="238"/>
    <cellStyle name="20% - Accent3 2 10" xfId="9207"/>
    <cellStyle name="20% - Accent3 2 11" xfId="9208"/>
    <cellStyle name="20% - Accent3 2 2" xfId="281"/>
    <cellStyle name="20% - Accent3 2 2 2" xfId="876"/>
    <cellStyle name="20% - Accent3 2 2 2 2" xfId="877"/>
    <cellStyle name="20% - Accent3 2 2 3" xfId="878"/>
    <cellStyle name="20% - Accent3 2 2 3 2" xfId="879"/>
    <cellStyle name="20% - Accent3 2 2 4" xfId="880"/>
    <cellStyle name="20% - Accent3 2 3" xfId="881"/>
    <cellStyle name="20% - Accent3 2 3 2" xfId="882"/>
    <cellStyle name="20% - Accent3 2 4" xfId="883"/>
    <cellStyle name="20% - Accent3 2 4 2" xfId="884"/>
    <cellStyle name="20% - Accent3 2 5" xfId="885"/>
    <cellStyle name="20% - Accent3 2 5 2" xfId="886"/>
    <cellStyle name="20% - Accent3 2 6" xfId="887"/>
    <cellStyle name="20% - Accent3 2 6 2" xfId="888"/>
    <cellStyle name="20% - Accent3 2 7" xfId="889"/>
    <cellStyle name="20% - Accent3 3" xfId="343"/>
    <cellStyle name="20% - Accent3 3 10" xfId="9209"/>
    <cellStyle name="20% - Accent3 3 2" xfId="890"/>
    <cellStyle name="20% - Accent3 3 2 2" xfId="891"/>
    <cellStyle name="20% - Accent3 3 3" xfId="892"/>
    <cellStyle name="20% - Accent3 3 3 2" xfId="893"/>
    <cellStyle name="20% - Accent3 3 4" xfId="894"/>
    <cellStyle name="20% - Accent3 3 4 2" xfId="895"/>
    <cellStyle name="20% - Accent3 3 5" xfId="896"/>
    <cellStyle name="20% - Accent3 4" xfId="897"/>
    <cellStyle name="20% - Accent3 4 10" xfId="9210"/>
    <cellStyle name="20% - Accent3 4 11" xfId="9211"/>
    <cellStyle name="20% - Accent3 4 2" xfId="898"/>
    <cellStyle name="20% - Accent3 4 2 2" xfId="899"/>
    <cellStyle name="20% - Accent3 4 3" xfId="900"/>
    <cellStyle name="20% - Accent3 4 3 2" xfId="901"/>
    <cellStyle name="20% - Accent3 4 3 3" xfId="902"/>
    <cellStyle name="20% - Accent3 4 4" xfId="903"/>
    <cellStyle name="20% - Accent3 4 8" xfId="9212"/>
    <cellStyle name="20% - Accent3 5" xfId="904"/>
    <cellStyle name="20% - Accent3 5 10" xfId="9213"/>
    <cellStyle name="20% - Accent3 5 11" xfId="9214"/>
    <cellStyle name="20% - Accent3 5 2" xfId="905"/>
    <cellStyle name="20% - Accent3 5 2 2" xfId="906"/>
    <cellStyle name="20% - Accent3 5 3" xfId="907"/>
    <cellStyle name="20% - Accent3 5 3 2" xfId="908"/>
    <cellStyle name="20% - Accent3 5 3 3" xfId="909"/>
    <cellStyle name="20% - Accent3 5 4" xfId="910"/>
    <cellStyle name="20% - Accent3 6" xfId="911"/>
    <cellStyle name="20% - Accent3 6 2" xfId="912"/>
    <cellStyle name="20% - Accent3 6 2 2" xfId="913"/>
    <cellStyle name="20% - Accent3 6 3" xfId="914"/>
    <cellStyle name="20% - Accent3 6 3 2" xfId="915"/>
    <cellStyle name="20% - Accent3 6 3 3" xfId="916"/>
    <cellStyle name="20% - Accent3 6 4" xfId="917"/>
    <cellStyle name="20% - Accent3 6 9" xfId="9215"/>
    <cellStyle name="20% - Accent3 7" xfId="918"/>
    <cellStyle name="20% - Accent3 7 10" xfId="9216"/>
    <cellStyle name="20% - Accent3 7 2" xfId="919"/>
    <cellStyle name="20% - Accent3 7 2 2" xfId="920"/>
    <cellStyle name="20% - Accent3 7 2 3" xfId="921"/>
    <cellStyle name="20% - Accent3 7 3" xfId="922"/>
    <cellStyle name="20% - Accent3 7 4" xfId="923"/>
    <cellStyle name="20% - Accent3 7 6" xfId="9217"/>
    <cellStyle name="20% - Accent3 7 7" xfId="9218"/>
    <cellStyle name="20% - Accent3 7 8" xfId="9219"/>
    <cellStyle name="20% - Accent3 8" xfId="924"/>
    <cellStyle name="20% - Accent3 8 2" xfId="925"/>
    <cellStyle name="20% - Accent3 8 2 2" xfId="926"/>
    <cellStyle name="20% - Accent3 8 3" xfId="927"/>
    <cellStyle name="20% - Accent3 8 3 2" xfId="928"/>
    <cellStyle name="20% - Accent3 8 3 3" xfId="929"/>
    <cellStyle name="20% - Accent3 8 4" xfId="930"/>
    <cellStyle name="20% - Accent3 8 6" xfId="9220"/>
    <cellStyle name="20% - Accent3 8 7" xfId="9221"/>
    <cellStyle name="20% - Accent3 8 8" xfId="9222"/>
    <cellStyle name="20% - Accent3 8 9" xfId="9223"/>
    <cellStyle name="20% - Accent3 9" xfId="931"/>
    <cellStyle name="20% - Accent3 9 2" xfId="932"/>
    <cellStyle name="20% - Accent3 9 3" xfId="933"/>
    <cellStyle name="20% - Accent3 9 5" xfId="9224"/>
    <cellStyle name="20% - Accent3 9 8" xfId="9225"/>
    <cellStyle name="20% - Accent4" xfId="7"/>
    <cellStyle name="20% - Accent4 10" xfId="934"/>
    <cellStyle name="20% - Accent4 10 2" xfId="9226"/>
    <cellStyle name="20% - Accent4 10 4" xfId="9227"/>
    <cellStyle name="20% - Accent4 10 5" xfId="9228"/>
    <cellStyle name="20% - Accent4 10 6" xfId="9229"/>
    <cellStyle name="20% - Accent4 10 7" xfId="9230"/>
    <cellStyle name="20% - Accent4 11 3" xfId="9231"/>
    <cellStyle name="20% - Accent4 11 4" xfId="9232"/>
    <cellStyle name="20% - Accent4 11 5" xfId="9233"/>
    <cellStyle name="20% - Accent4 12 3" xfId="9234"/>
    <cellStyle name="20% - Accent4 12 4" xfId="9235"/>
    <cellStyle name="20% - Accent4 13 2" xfId="9236"/>
    <cellStyle name="20% - Accent4 13 4" xfId="9237"/>
    <cellStyle name="20% - Accent4 14 2" xfId="9238"/>
    <cellStyle name="20% - Accent4 14 3" xfId="9239"/>
    <cellStyle name="20% - Accent4 16" xfId="9240"/>
    <cellStyle name="20% - Accent4 16 2" xfId="9241"/>
    <cellStyle name="20% - Accent4 2" xfId="239"/>
    <cellStyle name="20% - Accent4 2 10" xfId="9242"/>
    <cellStyle name="20% - Accent4 2 11" xfId="9243"/>
    <cellStyle name="20% - Accent4 2 12" xfId="9244"/>
    <cellStyle name="20% - Accent4 2 13" xfId="9245"/>
    <cellStyle name="20% - Accent4 2 2" xfId="282"/>
    <cellStyle name="20% - Accent4 2 2 2" xfId="935"/>
    <cellStyle name="20% - Accent4 2 2 2 2" xfId="936"/>
    <cellStyle name="20% - Accent4 2 2 3" xfId="937"/>
    <cellStyle name="20% - Accent4 2 2 3 2" xfId="938"/>
    <cellStyle name="20% - Accent4 2 2 4" xfId="939"/>
    <cellStyle name="20% - Accent4 2 3" xfId="940"/>
    <cellStyle name="20% - Accent4 2 3 2" xfId="941"/>
    <cellStyle name="20% - Accent4 2 4" xfId="942"/>
    <cellStyle name="20% - Accent4 2 4 2" xfId="943"/>
    <cellStyle name="20% - Accent4 2 5" xfId="944"/>
    <cellStyle name="20% - Accent4 2 5 2" xfId="945"/>
    <cellStyle name="20% - Accent4 2 6" xfId="946"/>
    <cellStyle name="20% - Accent4 2 6 2" xfId="947"/>
    <cellStyle name="20% - Accent4 2 7" xfId="948"/>
    <cellStyle name="20% - Accent4 3" xfId="344"/>
    <cellStyle name="20% - Accent4 3 10" xfId="9246"/>
    <cellStyle name="20% - Accent4 3 11" xfId="9247"/>
    <cellStyle name="20% - Accent4 3 12" xfId="9248"/>
    <cellStyle name="20% - Accent4 3 13" xfId="9249"/>
    <cellStyle name="20% - Accent4 3 2" xfId="949"/>
    <cellStyle name="20% - Accent4 3 2 2" xfId="950"/>
    <cellStyle name="20% - Accent4 3 3" xfId="951"/>
    <cellStyle name="20% - Accent4 3 3 2" xfId="952"/>
    <cellStyle name="20% - Accent4 3 4" xfId="953"/>
    <cellStyle name="20% - Accent4 3 4 2" xfId="954"/>
    <cellStyle name="20% - Accent4 3 5" xfId="955"/>
    <cellStyle name="20% - Accent4 3 7" xfId="9250"/>
    <cellStyle name="20% - Accent4 4" xfId="956"/>
    <cellStyle name="20% - Accent4 4 11" xfId="9251"/>
    <cellStyle name="20% - Accent4 4 12" xfId="9252"/>
    <cellStyle name="20% - Accent4 4 13" xfId="9253"/>
    <cellStyle name="20% - Accent4 4 2" xfId="957"/>
    <cellStyle name="20% - Accent4 4 2 2" xfId="958"/>
    <cellStyle name="20% - Accent4 4 3" xfId="959"/>
    <cellStyle name="20% - Accent4 4 3 2" xfId="960"/>
    <cellStyle name="20% - Accent4 4 3 3" xfId="961"/>
    <cellStyle name="20% - Accent4 4 4" xfId="962"/>
    <cellStyle name="20% - Accent4 5" xfId="963"/>
    <cellStyle name="20% - Accent4 5 11" xfId="9254"/>
    <cellStyle name="20% - Accent4 5 12" xfId="9255"/>
    <cellStyle name="20% - Accent4 5 2" xfId="964"/>
    <cellStyle name="20% - Accent4 5 2 2" xfId="965"/>
    <cellStyle name="20% - Accent4 5 3" xfId="966"/>
    <cellStyle name="20% - Accent4 5 3 2" xfId="967"/>
    <cellStyle name="20% - Accent4 5 3 3" xfId="968"/>
    <cellStyle name="20% - Accent4 5 4" xfId="969"/>
    <cellStyle name="20% - Accent4 5 9" xfId="9256"/>
    <cellStyle name="20% - Accent4 6" xfId="970"/>
    <cellStyle name="20% - Accent4 6 10" xfId="9257"/>
    <cellStyle name="20% - Accent4 6 11" xfId="9258"/>
    <cellStyle name="20% - Accent4 6 2" xfId="971"/>
    <cellStyle name="20% - Accent4 6 2 2" xfId="972"/>
    <cellStyle name="20% - Accent4 6 3" xfId="973"/>
    <cellStyle name="20% - Accent4 6 3 2" xfId="974"/>
    <cellStyle name="20% - Accent4 6 3 3" xfId="975"/>
    <cellStyle name="20% - Accent4 6 4" xfId="976"/>
    <cellStyle name="20% - Accent4 6 8" xfId="9259"/>
    <cellStyle name="20% - Accent4 6 9" xfId="9260"/>
    <cellStyle name="20% - Accent4 7" xfId="977"/>
    <cellStyle name="20% - Accent4 7 10" xfId="9261"/>
    <cellStyle name="20% - Accent4 7 2" xfId="978"/>
    <cellStyle name="20% - Accent4 7 2 2" xfId="979"/>
    <cellStyle name="20% - Accent4 7 2 3" xfId="980"/>
    <cellStyle name="20% - Accent4 7 3" xfId="981"/>
    <cellStyle name="20% - Accent4 7 4" xfId="982"/>
    <cellStyle name="20% - Accent4 7 7" xfId="9262"/>
    <cellStyle name="20% - Accent4 7 8" xfId="9263"/>
    <cellStyle name="20% - Accent4 7 9" xfId="9264"/>
    <cellStyle name="20% - Accent4 8" xfId="983"/>
    <cellStyle name="20% - Accent4 8 2" xfId="984"/>
    <cellStyle name="20% - Accent4 8 2 2" xfId="985"/>
    <cellStyle name="20% - Accent4 8 3" xfId="986"/>
    <cellStyle name="20% - Accent4 8 3 2" xfId="987"/>
    <cellStyle name="20% - Accent4 8 3 3" xfId="988"/>
    <cellStyle name="20% - Accent4 8 4" xfId="989"/>
    <cellStyle name="20% - Accent4 8 5" xfId="9265"/>
    <cellStyle name="20% - Accent4 8 6" xfId="9266"/>
    <cellStyle name="20% - Accent4 8 7" xfId="9267"/>
    <cellStyle name="20% - Accent4 8 8" xfId="9268"/>
    <cellStyle name="20% - Accent4 8 9" xfId="9269"/>
    <cellStyle name="20% - Accent4 9" xfId="990"/>
    <cellStyle name="20% - Accent4 9 2" xfId="991"/>
    <cellStyle name="20% - Accent4 9 3" xfId="992"/>
    <cellStyle name="20% - Accent4 9 5" xfId="9270"/>
    <cellStyle name="20% - Accent4 9 7" xfId="9271"/>
    <cellStyle name="20% - Accent4 9 8" xfId="9272"/>
    <cellStyle name="20% - Accent5" xfId="8"/>
    <cellStyle name="20% - Accent5 10" xfId="993"/>
    <cellStyle name="20% - Accent5 10 2" xfId="9273"/>
    <cellStyle name="20% - Accent5 10 5" xfId="9274"/>
    <cellStyle name="20% - Accent5 10 6" xfId="9275"/>
    <cellStyle name="20% - Accent5 10 7" xfId="9276"/>
    <cellStyle name="20% - Accent5 11 3" xfId="9277"/>
    <cellStyle name="20% - Accent5 11 4" xfId="9278"/>
    <cellStyle name="20% - Accent5 11 5" xfId="9279"/>
    <cellStyle name="20% - Accent5 12 2" xfId="9280"/>
    <cellStyle name="20% - Accent5 12 3" xfId="9281"/>
    <cellStyle name="20% - Accent5 12 4" xfId="9282"/>
    <cellStyle name="20% - Accent5 12 5" xfId="9283"/>
    <cellStyle name="20% - Accent5 13 2" xfId="9284"/>
    <cellStyle name="20% - Accent5 13 3" xfId="9285"/>
    <cellStyle name="20% - Accent5 13 4" xfId="9286"/>
    <cellStyle name="20% - Accent5 14 2" xfId="9287"/>
    <cellStyle name="20% - Accent5 14 3" xfId="9288"/>
    <cellStyle name="20% - Accent5 15" xfId="9289"/>
    <cellStyle name="20% - Accent5 16" xfId="9290"/>
    <cellStyle name="20% - Accent5 16 2" xfId="9291"/>
    <cellStyle name="20% - Accent5 2" xfId="240"/>
    <cellStyle name="20% - Accent5 2 10" xfId="9292"/>
    <cellStyle name="20% - Accent5 2 11" xfId="9293"/>
    <cellStyle name="20% - Accent5 2 12" xfId="9294"/>
    <cellStyle name="20% - Accent5 2 13" xfId="9295"/>
    <cellStyle name="20% - Accent5 2 2" xfId="283"/>
    <cellStyle name="20% - Accent5 2 2 2" xfId="994"/>
    <cellStyle name="20% - Accent5 2 2 2 2" xfId="995"/>
    <cellStyle name="20% - Accent5 2 2 3" xfId="996"/>
    <cellStyle name="20% - Accent5 2 2 3 2" xfId="997"/>
    <cellStyle name="20% - Accent5 2 2 4" xfId="998"/>
    <cellStyle name="20% - Accent5 2 3" xfId="999"/>
    <cellStyle name="20% - Accent5 2 3 2" xfId="1000"/>
    <cellStyle name="20% - Accent5 2 4" xfId="1001"/>
    <cellStyle name="20% - Accent5 2 4 2" xfId="1002"/>
    <cellStyle name="20% - Accent5 2 5" xfId="1003"/>
    <cellStyle name="20% - Accent5 2 5 2" xfId="1004"/>
    <cellStyle name="20% - Accent5 2 6" xfId="1005"/>
    <cellStyle name="20% - Accent5 2 6 2" xfId="1006"/>
    <cellStyle name="20% - Accent5 2 7" xfId="1007"/>
    <cellStyle name="20% - Accent5 2 8" xfId="9296"/>
    <cellStyle name="20% - Accent5 3" xfId="345"/>
    <cellStyle name="20% - Accent5 3 10" xfId="9297"/>
    <cellStyle name="20% - Accent5 3 11" xfId="9298"/>
    <cellStyle name="20% - Accent5 3 12" xfId="9299"/>
    <cellStyle name="20% - Accent5 3 13" xfId="9300"/>
    <cellStyle name="20% - Accent5 3 2" xfId="1008"/>
    <cellStyle name="20% - Accent5 3 2 2" xfId="1009"/>
    <cellStyle name="20% - Accent5 3 3" xfId="1010"/>
    <cellStyle name="20% - Accent5 3 3 2" xfId="1011"/>
    <cellStyle name="20% - Accent5 3 4" xfId="1012"/>
    <cellStyle name="20% - Accent5 3 4 2" xfId="1013"/>
    <cellStyle name="20% - Accent5 3 5" xfId="1014"/>
    <cellStyle name="20% - Accent5 3 8" xfId="9301"/>
    <cellStyle name="20% - Accent5 4" xfId="1015"/>
    <cellStyle name="20% - Accent5 4 10" xfId="9302"/>
    <cellStyle name="20% - Accent5 4 11" xfId="9303"/>
    <cellStyle name="20% - Accent5 4 12" xfId="9304"/>
    <cellStyle name="20% - Accent5 4 13" xfId="9305"/>
    <cellStyle name="20% - Accent5 4 2" xfId="1016"/>
    <cellStyle name="20% - Accent5 4 2 2" xfId="1017"/>
    <cellStyle name="20% - Accent5 4 3" xfId="1018"/>
    <cellStyle name="20% - Accent5 4 3 2" xfId="1019"/>
    <cellStyle name="20% - Accent5 4 3 3" xfId="1020"/>
    <cellStyle name="20% - Accent5 4 4" xfId="1021"/>
    <cellStyle name="20% - Accent5 4 7" xfId="9306"/>
    <cellStyle name="20% - Accent5 5" xfId="1022"/>
    <cellStyle name="20% - Accent5 5 10" xfId="9307"/>
    <cellStyle name="20% - Accent5 5 11" xfId="9308"/>
    <cellStyle name="20% - Accent5 5 12" xfId="9309"/>
    <cellStyle name="20% - Accent5 5 2" xfId="1023"/>
    <cellStyle name="20% - Accent5 5 2 2" xfId="1024"/>
    <cellStyle name="20% - Accent5 5 3" xfId="1025"/>
    <cellStyle name="20% - Accent5 5 3 2" xfId="1026"/>
    <cellStyle name="20% - Accent5 5 3 3" xfId="1027"/>
    <cellStyle name="20% - Accent5 5 4" xfId="1028"/>
    <cellStyle name="20% - Accent5 5 6" xfId="9310"/>
    <cellStyle name="20% - Accent5 5 9" xfId="9311"/>
    <cellStyle name="20% - Accent5 6" xfId="1029"/>
    <cellStyle name="20% - Accent5 6 11" xfId="9312"/>
    <cellStyle name="20% - Accent5 6 2" xfId="1030"/>
    <cellStyle name="20% - Accent5 6 2 2" xfId="1031"/>
    <cellStyle name="20% - Accent5 6 3" xfId="1032"/>
    <cellStyle name="20% - Accent5 6 3 2" xfId="1033"/>
    <cellStyle name="20% - Accent5 6 3 3" xfId="1034"/>
    <cellStyle name="20% - Accent5 6 4" xfId="1035"/>
    <cellStyle name="20% - Accent5 6 8" xfId="9313"/>
    <cellStyle name="20% - Accent5 6 9" xfId="9314"/>
    <cellStyle name="20% - Accent5 7" xfId="1036"/>
    <cellStyle name="20% - Accent5 7 10" xfId="9315"/>
    <cellStyle name="20% - Accent5 7 2" xfId="1037"/>
    <cellStyle name="20% - Accent5 7 2 2" xfId="1038"/>
    <cellStyle name="20% - Accent5 7 2 3" xfId="1039"/>
    <cellStyle name="20% - Accent5 7 3" xfId="1040"/>
    <cellStyle name="20% - Accent5 7 4" xfId="1041"/>
    <cellStyle name="20% - Accent5 7 6" xfId="9316"/>
    <cellStyle name="20% - Accent5 7 7" xfId="9317"/>
    <cellStyle name="20% - Accent5 7 8" xfId="9318"/>
    <cellStyle name="20% - Accent5 7 9" xfId="9319"/>
    <cellStyle name="20% - Accent5 8" xfId="1042"/>
    <cellStyle name="20% - Accent5 8 2" xfId="1043"/>
    <cellStyle name="20% - Accent5 8 2 2" xfId="1044"/>
    <cellStyle name="20% - Accent5 8 3" xfId="1045"/>
    <cellStyle name="20% - Accent5 8 3 2" xfId="1046"/>
    <cellStyle name="20% - Accent5 8 3 3" xfId="1047"/>
    <cellStyle name="20% - Accent5 8 4" xfId="1048"/>
    <cellStyle name="20% - Accent5 8 6" xfId="9320"/>
    <cellStyle name="20% - Accent5 8 7" xfId="9321"/>
    <cellStyle name="20% - Accent5 8 8" xfId="9322"/>
    <cellStyle name="20% - Accent5 9" xfId="1049"/>
    <cellStyle name="20% - Accent5 9 2" xfId="1050"/>
    <cellStyle name="20% - Accent5 9 3" xfId="1051"/>
    <cellStyle name="20% - Accent5 9 5" xfId="9323"/>
    <cellStyle name="20% - Accent5 9 6" xfId="9324"/>
    <cellStyle name="20% - Accent5 9 8" xfId="9325"/>
    <cellStyle name="20% - Accent6" xfId="9"/>
    <cellStyle name="20% - Accent6 10" xfId="1052"/>
    <cellStyle name="20% - Accent6 10 2" xfId="9326"/>
    <cellStyle name="20% - Accent6 10 4" xfId="9327"/>
    <cellStyle name="20% - Accent6 10 5" xfId="9328"/>
    <cellStyle name="20% - Accent6 10 6" xfId="9329"/>
    <cellStyle name="20% - Accent6 10 7" xfId="9330"/>
    <cellStyle name="20% - Accent6 11 3" xfId="9331"/>
    <cellStyle name="20% - Accent6 11 4" xfId="9332"/>
    <cellStyle name="20% - Accent6 12 3" xfId="9333"/>
    <cellStyle name="20% - Accent6 12 4" xfId="9334"/>
    <cellStyle name="20% - Accent6 12 5" xfId="9335"/>
    <cellStyle name="20% - Accent6 13 2" xfId="9336"/>
    <cellStyle name="20% - Accent6 13 3" xfId="9337"/>
    <cellStyle name="20% - Accent6 14" xfId="9338"/>
    <cellStyle name="20% - Accent6 16" xfId="9339"/>
    <cellStyle name="20% - Accent6 16 2" xfId="9340"/>
    <cellStyle name="20% - Accent6 2" xfId="241"/>
    <cellStyle name="20% - Accent6 2 10" xfId="9341"/>
    <cellStyle name="20% - Accent6 2 11" xfId="9342"/>
    <cellStyle name="20% - Accent6 2 12" xfId="9343"/>
    <cellStyle name="20% - Accent6 2 13" xfId="9344"/>
    <cellStyle name="20% - Accent6 2 2" xfId="284"/>
    <cellStyle name="20% - Accent6 2 2 2" xfId="1053"/>
    <cellStyle name="20% - Accent6 2 2 2 2" xfId="1054"/>
    <cellStyle name="20% - Accent6 2 2 3" xfId="1055"/>
    <cellStyle name="20% - Accent6 2 2 3 2" xfId="1056"/>
    <cellStyle name="20% - Accent6 2 2 4" xfId="1057"/>
    <cellStyle name="20% - Accent6 2 3" xfId="1058"/>
    <cellStyle name="20% - Accent6 2 3 2" xfId="1059"/>
    <cellStyle name="20% - Accent6 2 4" xfId="1060"/>
    <cellStyle name="20% - Accent6 2 4 2" xfId="1061"/>
    <cellStyle name="20% - Accent6 2 5" xfId="1062"/>
    <cellStyle name="20% - Accent6 2 5 2" xfId="1063"/>
    <cellStyle name="20% - Accent6 2 6" xfId="1064"/>
    <cellStyle name="20% - Accent6 2 6 2" xfId="1065"/>
    <cellStyle name="20% - Accent6 2 7" xfId="1066"/>
    <cellStyle name="20% - Accent6 2 8" xfId="9345"/>
    <cellStyle name="20% - Accent6 3" xfId="346"/>
    <cellStyle name="20% - Accent6 3 12" xfId="9346"/>
    <cellStyle name="20% - Accent6 3 13" xfId="9347"/>
    <cellStyle name="20% - Accent6 3 2" xfId="1067"/>
    <cellStyle name="20% - Accent6 3 2 2" xfId="1068"/>
    <cellStyle name="20% - Accent6 3 3" xfId="1069"/>
    <cellStyle name="20% - Accent6 3 3 2" xfId="1070"/>
    <cellStyle name="20% - Accent6 3 4" xfId="1071"/>
    <cellStyle name="20% - Accent6 3 4 2" xfId="1072"/>
    <cellStyle name="20% - Accent6 3 5" xfId="1073"/>
    <cellStyle name="20% - Accent6 3 8" xfId="9348"/>
    <cellStyle name="20% - Accent6 3 9" xfId="9349"/>
    <cellStyle name="20% - Accent6 4" xfId="1074"/>
    <cellStyle name="20% - Accent6 4 11" xfId="9350"/>
    <cellStyle name="20% - Accent6 4 12" xfId="9351"/>
    <cellStyle name="20% - Accent6 4 13" xfId="9352"/>
    <cellStyle name="20% - Accent6 4 2" xfId="1075"/>
    <cellStyle name="20% - Accent6 4 2 2" xfId="1076"/>
    <cellStyle name="20% - Accent6 4 3" xfId="1077"/>
    <cellStyle name="20% - Accent6 4 3 2" xfId="1078"/>
    <cellStyle name="20% - Accent6 4 3 3" xfId="1079"/>
    <cellStyle name="20% - Accent6 4 4" xfId="1080"/>
    <cellStyle name="20% - Accent6 4 7" xfId="9353"/>
    <cellStyle name="20% - Accent6 5" xfId="1081"/>
    <cellStyle name="20% - Accent6 5 11" xfId="9354"/>
    <cellStyle name="20% - Accent6 5 12" xfId="9355"/>
    <cellStyle name="20% - Accent6 5 2" xfId="1082"/>
    <cellStyle name="20% - Accent6 5 2 2" xfId="1083"/>
    <cellStyle name="20% - Accent6 5 3" xfId="1084"/>
    <cellStyle name="20% - Accent6 5 3 2" xfId="1085"/>
    <cellStyle name="20% - Accent6 5 3 3" xfId="1086"/>
    <cellStyle name="20% - Accent6 5 4" xfId="1087"/>
    <cellStyle name="20% - Accent6 5 6" xfId="9356"/>
    <cellStyle name="20% - Accent6 5 9" xfId="9357"/>
    <cellStyle name="20% - Accent6 6" xfId="1088"/>
    <cellStyle name="20% - Accent6 6 11" xfId="9358"/>
    <cellStyle name="20% - Accent6 6 2" xfId="1089"/>
    <cellStyle name="20% - Accent6 6 2 2" xfId="1090"/>
    <cellStyle name="20% - Accent6 6 3" xfId="1091"/>
    <cellStyle name="20% - Accent6 6 3 2" xfId="1092"/>
    <cellStyle name="20% - Accent6 6 3 3" xfId="1093"/>
    <cellStyle name="20% - Accent6 6 4" xfId="1094"/>
    <cellStyle name="20% - Accent6 7" xfId="1095"/>
    <cellStyle name="20% - Accent6 7 2" xfId="1096"/>
    <cellStyle name="20% - Accent6 7 2 2" xfId="1097"/>
    <cellStyle name="20% - Accent6 7 2 3" xfId="1098"/>
    <cellStyle name="20% - Accent6 7 3" xfId="1099"/>
    <cellStyle name="20% - Accent6 7 4" xfId="1100"/>
    <cellStyle name="20% - Accent6 7 7" xfId="9359"/>
    <cellStyle name="20% - Accent6 7 8" xfId="9360"/>
    <cellStyle name="20% - Accent6 7 9" xfId="9361"/>
    <cellStyle name="20% - Accent6 8" xfId="1101"/>
    <cellStyle name="20% - Accent6 8 2" xfId="1102"/>
    <cellStyle name="20% - Accent6 8 2 2" xfId="1103"/>
    <cellStyle name="20% - Accent6 8 3" xfId="1104"/>
    <cellStyle name="20% - Accent6 8 3 2" xfId="1105"/>
    <cellStyle name="20% - Accent6 8 3 3" xfId="1106"/>
    <cellStyle name="20% - Accent6 8 4" xfId="1107"/>
    <cellStyle name="20% - Accent6 8 5" xfId="9362"/>
    <cellStyle name="20% - Accent6 8 7" xfId="9363"/>
    <cellStyle name="20% - Accent6 8 8" xfId="9364"/>
    <cellStyle name="20% - Accent6 8 9" xfId="9365"/>
    <cellStyle name="20% - Accent6 9" xfId="1108"/>
    <cellStyle name="20% - Accent6 9 2" xfId="1109"/>
    <cellStyle name="20% - Accent6 9 3" xfId="1110"/>
    <cellStyle name="20% - Accent6 9 4" xfId="9366"/>
    <cellStyle name="20% - Accent6 9 5" xfId="9367"/>
    <cellStyle name="20% - Accent6 9 6" xfId="9368"/>
    <cellStyle name="20% - Accent6 9 7" xfId="9369"/>
    <cellStyle name="20% - Ênfase1 2" xfId="147"/>
    <cellStyle name="20% - Ênfase2 2" xfId="148"/>
    <cellStyle name="20% - Ênfase3 2" xfId="149"/>
    <cellStyle name="20% - Ênfase4 2" xfId="150"/>
    <cellStyle name="20% - Ênfase5 2" xfId="151"/>
    <cellStyle name="20% - Ênfase6 2" xfId="152"/>
    <cellStyle name="40% - Accent1" xfId="10"/>
    <cellStyle name="40% - Accent1 10" xfId="1111"/>
    <cellStyle name="40% - Accent1 10 2" xfId="9370"/>
    <cellStyle name="40% - Accent1 10 4" xfId="9371"/>
    <cellStyle name="40% - Accent1 10 5" xfId="9372"/>
    <cellStyle name="40% - Accent1 10 6" xfId="9373"/>
    <cellStyle name="40% - Accent1 10 7" xfId="9374"/>
    <cellStyle name="40% - Accent1 11 3" xfId="9375"/>
    <cellStyle name="40% - Accent1 11 4" xfId="9376"/>
    <cellStyle name="40% - Accent1 11 5" xfId="9377"/>
    <cellStyle name="40% - Accent1 12" xfId="9378"/>
    <cellStyle name="40% - Accent1 12 4" xfId="9379"/>
    <cellStyle name="40% - Accent1 12 5" xfId="9380"/>
    <cellStyle name="40% - Accent1 13 2" xfId="9381"/>
    <cellStyle name="40% - Accent1 13 4" xfId="9382"/>
    <cellStyle name="40% - Accent1 14 2" xfId="9383"/>
    <cellStyle name="40% - Accent1 14 3" xfId="9384"/>
    <cellStyle name="40% - Accent1 16" xfId="9385"/>
    <cellStyle name="40% - Accent1 16 2" xfId="9386"/>
    <cellStyle name="40% - Accent1 2" xfId="242"/>
    <cellStyle name="40% - Accent1 2 10" xfId="9387"/>
    <cellStyle name="40% - Accent1 2 11" xfId="9388"/>
    <cellStyle name="40% - Accent1 2 12" xfId="9389"/>
    <cellStyle name="40% - Accent1 2 13" xfId="9390"/>
    <cellStyle name="40% - Accent1 2 2" xfId="285"/>
    <cellStyle name="40% - Accent1 2 2 2" xfId="1112"/>
    <cellStyle name="40% - Accent1 2 2 2 2" xfId="1113"/>
    <cellStyle name="40% - Accent1 2 2 3" xfId="1114"/>
    <cellStyle name="40% - Accent1 2 2 3 2" xfId="1115"/>
    <cellStyle name="40% - Accent1 2 2 4" xfId="1116"/>
    <cellStyle name="40% - Accent1 2 3" xfId="1117"/>
    <cellStyle name="40% - Accent1 2 3 2" xfId="1118"/>
    <cellStyle name="40% - Accent1 2 4" xfId="1119"/>
    <cellStyle name="40% - Accent1 2 4 2" xfId="1120"/>
    <cellStyle name="40% - Accent1 2 5" xfId="1121"/>
    <cellStyle name="40% - Accent1 2 5 2" xfId="1122"/>
    <cellStyle name="40% - Accent1 2 6" xfId="1123"/>
    <cellStyle name="40% - Accent1 2 6 2" xfId="1124"/>
    <cellStyle name="40% - Accent1 2 7" xfId="1125"/>
    <cellStyle name="40% - Accent1 3" xfId="347"/>
    <cellStyle name="40% - Accent1 3 10" xfId="9391"/>
    <cellStyle name="40% - Accent1 3 11" xfId="9392"/>
    <cellStyle name="40% - Accent1 3 12" xfId="9393"/>
    <cellStyle name="40% - Accent1 3 13" xfId="9394"/>
    <cellStyle name="40% - Accent1 3 2" xfId="1126"/>
    <cellStyle name="40% - Accent1 3 2 2" xfId="1127"/>
    <cellStyle name="40% - Accent1 3 3" xfId="1128"/>
    <cellStyle name="40% - Accent1 3 3 2" xfId="1129"/>
    <cellStyle name="40% - Accent1 3 4" xfId="1130"/>
    <cellStyle name="40% - Accent1 3 4 2" xfId="1131"/>
    <cellStyle name="40% - Accent1 3 5" xfId="1132"/>
    <cellStyle name="40% - Accent1 3 9" xfId="9395"/>
    <cellStyle name="40% - Accent1 4" xfId="1133"/>
    <cellStyle name="40% - Accent1 4 10" xfId="9396"/>
    <cellStyle name="40% - Accent1 4 11" xfId="9397"/>
    <cellStyle name="40% - Accent1 4 12" xfId="9398"/>
    <cellStyle name="40% - Accent1 4 13" xfId="9399"/>
    <cellStyle name="40% - Accent1 4 2" xfId="1134"/>
    <cellStyle name="40% - Accent1 4 2 2" xfId="1135"/>
    <cellStyle name="40% - Accent1 4 3" xfId="1136"/>
    <cellStyle name="40% - Accent1 4 3 2" xfId="1137"/>
    <cellStyle name="40% - Accent1 4 3 3" xfId="1138"/>
    <cellStyle name="40% - Accent1 4 4" xfId="1139"/>
    <cellStyle name="40% - Accent1 4 7" xfId="9400"/>
    <cellStyle name="40% - Accent1 4 9" xfId="9401"/>
    <cellStyle name="40% - Accent1 5" xfId="1140"/>
    <cellStyle name="40% - Accent1 5 11" xfId="9402"/>
    <cellStyle name="40% - Accent1 5 12" xfId="9403"/>
    <cellStyle name="40% - Accent1 5 2" xfId="1141"/>
    <cellStyle name="40% - Accent1 5 2 2" xfId="1142"/>
    <cellStyle name="40% - Accent1 5 3" xfId="1143"/>
    <cellStyle name="40% - Accent1 5 3 2" xfId="1144"/>
    <cellStyle name="40% - Accent1 5 3 3" xfId="1145"/>
    <cellStyle name="40% - Accent1 5 4" xfId="1146"/>
    <cellStyle name="40% - Accent1 5 7" xfId="9404"/>
    <cellStyle name="40% - Accent1 5 9" xfId="9405"/>
    <cellStyle name="40% - Accent1 6" xfId="1147"/>
    <cellStyle name="40% - Accent1 6 10" xfId="9406"/>
    <cellStyle name="40% - Accent1 6 11" xfId="9407"/>
    <cellStyle name="40% - Accent1 6 2" xfId="1148"/>
    <cellStyle name="40% - Accent1 6 2 2" xfId="1149"/>
    <cellStyle name="40% - Accent1 6 20" xfId="9408"/>
    <cellStyle name="40% - Accent1 6 3" xfId="1150"/>
    <cellStyle name="40% - Accent1 6 3 2" xfId="1151"/>
    <cellStyle name="40% - Accent1 6 3 3" xfId="1152"/>
    <cellStyle name="40% - Accent1 6 4" xfId="1153"/>
    <cellStyle name="40% - Accent1 6 8" xfId="9409"/>
    <cellStyle name="40% - Accent1 6 9" xfId="9410"/>
    <cellStyle name="40% - Accent1 7" xfId="1154"/>
    <cellStyle name="40% - Accent1 7 10" xfId="9411"/>
    <cellStyle name="40% - Accent1 7 19" xfId="9412"/>
    <cellStyle name="40% - Accent1 7 2" xfId="1155"/>
    <cellStyle name="40% - Accent1 7 2 2" xfId="1156"/>
    <cellStyle name="40% - Accent1 7 2 3" xfId="1157"/>
    <cellStyle name="40% - Accent1 7 3" xfId="1158"/>
    <cellStyle name="40% - Accent1 7 4" xfId="1159"/>
    <cellStyle name="40% - Accent1 7 7" xfId="9413"/>
    <cellStyle name="40% - Accent1 7 8" xfId="9414"/>
    <cellStyle name="40% - Accent1 7 9" xfId="9415"/>
    <cellStyle name="40% - Accent1 8" xfId="1160"/>
    <cellStyle name="40% - Accent1 8 18" xfId="9416"/>
    <cellStyle name="40% - Accent1 8 2" xfId="1161"/>
    <cellStyle name="40% - Accent1 8 2 2" xfId="1162"/>
    <cellStyle name="40% - Accent1 8 3" xfId="1163"/>
    <cellStyle name="40% - Accent1 8 3 2" xfId="1164"/>
    <cellStyle name="40% - Accent1 8 3 3" xfId="1165"/>
    <cellStyle name="40% - Accent1 8 4" xfId="1166"/>
    <cellStyle name="40% - Accent1 8 7" xfId="9417"/>
    <cellStyle name="40% - Accent1 8 8" xfId="9418"/>
    <cellStyle name="40% - Accent1 8 9" xfId="9419"/>
    <cellStyle name="40% - Accent1 9" xfId="1167"/>
    <cellStyle name="40% - Accent1 9 17" xfId="9420"/>
    <cellStyle name="40% - Accent1 9 2" xfId="1168"/>
    <cellStyle name="40% - Accent1 9 3" xfId="1169"/>
    <cellStyle name="40% - Accent1 9 4" xfId="9421"/>
    <cellStyle name="40% - Accent1 9 5" xfId="9422"/>
    <cellStyle name="40% - Accent1 9 6" xfId="9423"/>
    <cellStyle name="40% - Accent1 9 7" xfId="9424"/>
    <cellStyle name="40% - Accent1 9 8" xfId="9425"/>
    <cellStyle name="40% - Accent2" xfId="11"/>
    <cellStyle name="40% - Accent2 10" xfId="1170"/>
    <cellStyle name="40% - Accent2 10 16" xfId="9426"/>
    <cellStyle name="40% - Accent2 10 2" xfId="9427"/>
    <cellStyle name="40% - Accent2 10 4" xfId="9428"/>
    <cellStyle name="40% - Accent2 10 5" xfId="9429"/>
    <cellStyle name="40% - Accent2 10 6" xfId="9430"/>
    <cellStyle name="40% - Accent2 11 3" xfId="9431"/>
    <cellStyle name="40% - Accent2 11 4" xfId="9432"/>
    <cellStyle name="40% - Accent2 11 5" xfId="9433"/>
    <cellStyle name="40% - Accent2 12 14" xfId="9434"/>
    <cellStyle name="40% - Accent2 12 3" xfId="9435"/>
    <cellStyle name="40% - Accent2 12 4" xfId="9436"/>
    <cellStyle name="40% - Accent2 12 5" xfId="9437"/>
    <cellStyle name="40% - Accent2 13" xfId="9438"/>
    <cellStyle name="40% - Accent2 13 13" xfId="9439"/>
    <cellStyle name="40% - Accent2 13 2" xfId="9440"/>
    <cellStyle name="40% - Accent2 13 3" xfId="9441"/>
    <cellStyle name="40% - Accent2 13 4" xfId="9442"/>
    <cellStyle name="40% - Accent2 14" xfId="9443"/>
    <cellStyle name="40% - Accent2 14 3" xfId="9444"/>
    <cellStyle name="40% - Accent2 15" xfId="9445"/>
    <cellStyle name="40% - Accent2 16" xfId="9446"/>
    <cellStyle name="40% - Accent2 16 2" xfId="9447"/>
    <cellStyle name="40% - Accent2 16 9" xfId="9448"/>
    <cellStyle name="40% - Accent2 2" xfId="243"/>
    <cellStyle name="40% - Accent2 2 10" xfId="9449"/>
    <cellStyle name="40% - Accent2 2 11" xfId="9450"/>
    <cellStyle name="40% - Accent2 2 12" xfId="9451"/>
    <cellStyle name="40% - Accent2 2 13" xfId="9452"/>
    <cellStyle name="40% - Accent2 2 2" xfId="286"/>
    <cellStyle name="40% - Accent2 2 2 2" xfId="1171"/>
    <cellStyle name="40% - Accent2 2 2 2 2" xfId="1172"/>
    <cellStyle name="40% - Accent2 2 2 3" xfId="1173"/>
    <cellStyle name="40% - Accent2 2 2 3 2" xfId="1174"/>
    <cellStyle name="40% - Accent2 2 2 4" xfId="1175"/>
    <cellStyle name="40% - Accent2 2 3" xfId="1176"/>
    <cellStyle name="40% - Accent2 2 3 2" xfId="1177"/>
    <cellStyle name="40% - Accent2 2 4" xfId="1178"/>
    <cellStyle name="40% - Accent2 2 4 2" xfId="1179"/>
    <cellStyle name="40% - Accent2 2 5" xfId="1180"/>
    <cellStyle name="40% - Accent2 2 5 2" xfId="1181"/>
    <cellStyle name="40% - Accent2 2 6" xfId="1182"/>
    <cellStyle name="40% - Accent2 2 6 2" xfId="1183"/>
    <cellStyle name="40% - Accent2 2 7" xfId="1184"/>
    <cellStyle name="40% - Accent2 26" xfId="9453"/>
    <cellStyle name="40% - Accent2 3" xfId="348"/>
    <cellStyle name="40% - Accent2 3 11" xfId="9454"/>
    <cellStyle name="40% - Accent2 3 12" xfId="9455"/>
    <cellStyle name="40% - Accent2 3 2" xfId="1185"/>
    <cellStyle name="40% - Accent2 3 2 2" xfId="1186"/>
    <cellStyle name="40% - Accent2 3 3" xfId="1187"/>
    <cellStyle name="40% - Accent2 3 3 2" xfId="1188"/>
    <cellStyle name="40% - Accent2 3 4" xfId="1189"/>
    <cellStyle name="40% - Accent2 3 4 2" xfId="1190"/>
    <cellStyle name="40% - Accent2 3 5" xfId="1191"/>
    <cellStyle name="40% - Accent2 4" xfId="1192"/>
    <cellStyle name="40% - Accent2 4 10" xfId="9456"/>
    <cellStyle name="40% - Accent2 4 11" xfId="9457"/>
    <cellStyle name="40% - Accent2 4 2" xfId="1193"/>
    <cellStyle name="40% - Accent2 4 2 2" xfId="1194"/>
    <cellStyle name="40% - Accent2 4 3" xfId="1195"/>
    <cellStyle name="40% - Accent2 4 3 2" xfId="1196"/>
    <cellStyle name="40% - Accent2 4 3 3" xfId="1197"/>
    <cellStyle name="40% - Accent2 4 4" xfId="1198"/>
    <cellStyle name="40% - Accent2 4 8" xfId="9458"/>
    <cellStyle name="40% - Accent2 5" xfId="1199"/>
    <cellStyle name="40% - Accent2 5 10" xfId="9459"/>
    <cellStyle name="40% - Accent2 5 11" xfId="9460"/>
    <cellStyle name="40% - Accent2 5 2" xfId="1200"/>
    <cellStyle name="40% - Accent2 5 2 2" xfId="1201"/>
    <cellStyle name="40% - Accent2 5 3" xfId="1202"/>
    <cellStyle name="40% - Accent2 5 3 2" xfId="1203"/>
    <cellStyle name="40% - Accent2 5 3 3" xfId="1204"/>
    <cellStyle name="40% - Accent2 5 4" xfId="1205"/>
    <cellStyle name="40% - Accent2 5 9" xfId="9461"/>
    <cellStyle name="40% - Accent2 6" xfId="1206"/>
    <cellStyle name="40% - Accent2 6 10" xfId="9462"/>
    <cellStyle name="40% - Accent2 6 2" xfId="1207"/>
    <cellStyle name="40% - Accent2 6 2 2" xfId="1208"/>
    <cellStyle name="40% - Accent2 6 20" xfId="9463"/>
    <cellStyle name="40% - Accent2 6 3" xfId="1209"/>
    <cellStyle name="40% - Accent2 6 3 2" xfId="1210"/>
    <cellStyle name="40% - Accent2 6 3 3" xfId="1211"/>
    <cellStyle name="40% - Accent2 6 4" xfId="1212"/>
    <cellStyle name="40% - Accent2 6 8" xfId="9464"/>
    <cellStyle name="40% - Accent2 6 9" xfId="9465"/>
    <cellStyle name="40% - Accent2 7" xfId="1213"/>
    <cellStyle name="40% - Accent2 7 19" xfId="9466"/>
    <cellStyle name="40% - Accent2 7 2" xfId="1214"/>
    <cellStyle name="40% - Accent2 7 2 2" xfId="1215"/>
    <cellStyle name="40% - Accent2 7 2 3" xfId="1216"/>
    <cellStyle name="40% - Accent2 7 3" xfId="1217"/>
    <cellStyle name="40% - Accent2 7 4" xfId="1218"/>
    <cellStyle name="40% - Accent2 7 6" xfId="9467"/>
    <cellStyle name="40% - Accent2 7 7" xfId="9468"/>
    <cellStyle name="40% - Accent2 7 8" xfId="9469"/>
    <cellStyle name="40% - Accent2 7 9" xfId="9470"/>
    <cellStyle name="40% - Accent2 8" xfId="1219"/>
    <cellStyle name="40% - Accent2 8 18" xfId="9471"/>
    <cellStyle name="40% - Accent2 8 2" xfId="1220"/>
    <cellStyle name="40% - Accent2 8 2 2" xfId="1221"/>
    <cellStyle name="40% - Accent2 8 3" xfId="1222"/>
    <cellStyle name="40% - Accent2 8 3 2" xfId="1223"/>
    <cellStyle name="40% - Accent2 8 3 3" xfId="1224"/>
    <cellStyle name="40% - Accent2 8 4" xfId="1225"/>
    <cellStyle name="40% - Accent2 8 6" xfId="9472"/>
    <cellStyle name="40% - Accent2 8 7" xfId="9473"/>
    <cellStyle name="40% - Accent2 8 8" xfId="9474"/>
    <cellStyle name="40% - Accent2 8 9" xfId="9475"/>
    <cellStyle name="40% - Accent2 9" xfId="1226"/>
    <cellStyle name="40% - Accent2 9 2" xfId="1227"/>
    <cellStyle name="40% - Accent2 9 3" xfId="1228"/>
    <cellStyle name="40% - Accent2 9 5" xfId="9476"/>
    <cellStyle name="40% - Accent2 9 6" xfId="9477"/>
    <cellStyle name="40% - Accent2 9 7" xfId="9478"/>
    <cellStyle name="40% - Accent2 9 8" xfId="9479"/>
    <cellStyle name="40% - Accent3" xfId="12"/>
    <cellStyle name="40% - Accent3 10" xfId="1229"/>
    <cellStyle name="40% - Accent3 10 16" xfId="9480"/>
    <cellStyle name="40% - Accent3 10 5" xfId="9481"/>
    <cellStyle name="40% - Accent3 10 6" xfId="9482"/>
    <cellStyle name="40% - Accent3 10 7" xfId="9483"/>
    <cellStyle name="40% - Accent3 11 14" xfId="9484"/>
    <cellStyle name="40% - Accent3 11 3" xfId="9485"/>
    <cellStyle name="40% - Accent3 11 4" xfId="9486"/>
    <cellStyle name="40% - Accent3 11 5" xfId="9487"/>
    <cellStyle name="40% - Accent3 12" xfId="9488"/>
    <cellStyle name="40% - Accent3 12 2" xfId="9489"/>
    <cellStyle name="40% - Accent3 12 3" xfId="9490"/>
    <cellStyle name="40% - Accent3 12 4" xfId="9491"/>
    <cellStyle name="40% - Accent3 12 5" xfId="9492"/>
    <cellStyle name="40% - Accent3 13 2" xfId="9493"/>
    <cellStyle name="40% - Accent3 13 3" xfId="9494"/>
    <cellStyle name="40% - Accent3 14" xfId="9495"/>
    <cellStyle name="40% - Accent3 14 2" xfId="9496"/>
    <cellStyle name="40% - Accent3 14 3" xfId="9497"/>
    <cellStyle name="40% - Accent3 15" xfId="9498"/>
    <cellStyle name="40% - Accent3 16" xfId="9499"/>
    <cellStyle name="40% - Accent3 16 9" xfId="9500"/>
    <cellStyle name="40% - Accent3 2" xfId="244"/>
    <cellStyle name="40% - Accent3 2 10" xfId="9501"/>
    <cellStyle name="40% - Accent3 2 11" xfId="9502"/>
    <cellStyle name="40% - Accent3 2 13" xfId="9503"/>
    <cellStyle name="40% - Accent3 2 2" xfId="287"/>
    <cellStyle name="40% - Accent3 2 2 2" xfId="1230"/>
    <cellStyle name="40% - Accent3 2 2 2 2" xfId="1231"/>
    <cellStyle name="40% - Accent3 2 2 3" xfId="1232"/>
    <cellStyle name="40% - Accent3 2 2 3 2" xfId="1233"/>
    <cellStyle name="40% - Accent3 2 2 4" xfId="1234"/>
    <cellStyle name="40% - Accent3 2 3" xfId="1235"/>
    <cellStyle name="40% - Accent3 2 3 2" xfId="1236"/>
    <cellStyle name="40% - Accent3 2 4" xfId="1237"/>
    <cellStyle name="40% - Accent3 2 4 2" xfId="1238"/>
    <cellStyle name="40% - Accent3 2 5" xfId="1239"/>
    <cellStyle name="40% - Accent3 2 5 2" xfId="1240"/>
    <cellStyle name="40% - Accent3 2 6" xfId="1241"/>
    <cellStyle name="40% - Accent3 2 6 2" xfId="1242"/>
    <cellStyle name="40% - Accent3 2 7" xfId="1243"/>
    <cellStyle name="40% - Accent3 26" xfId="9504"/>
    <cellStyle name="40% - Accent3 3" xfId="349"/>
    <cellStyle name="40% - Accent3 3 11" xfId="9505"/>
    <cellStyle name="40% - Accent3 3 12" xfId="9506"/>
    <cellStyle name="40% - Accent3 3 13" xfId="9507"/>
    <cellStyle name="40% - Accent3 3 2" xfId="1244"/>
    <cellStyle name="40% - Accent3 3 2 2" xfId="1245"/>
    <cellStyle name="40% - Accent3 3 3" xfId="1246"/>
    <cellStyle name="40% - Accent3 3 3 2" xfId="1247"/>
    <cellStyle name="40% - Accent3 3 4" xfId="1248"/>
    <cellStyle name="40% - Accent3 3 4 2" xfId="1249"/>
    <cellStyle name="40% - Accent3 3 5" xfId="1250"/>
    <cellStyle name="40% - Accent3 3 7" xfId="9508"/>
    <cellStyle name="40% - Accent3 3 9" xfId="9509"/>
    <cellStyle name="40% - Accent3 4" xfId="1251"/>
    <cellStyle name="40% - Accent3 4 12" xfId="9510"/>
    <cellStyle name="40% - Accent3 4 13" xfId="9511"/>
    <cellStyle name="40% - Accent3 4 2" xfId="1252"/>
    <cellStyle name="40% - Accent3 4 2 2" xfId="1253"/>
    <cellStyle name="40% - Accent3 4 3" xfId="1254"/>
    <cellStyle name="40% - Accent3 4 3 2" xfId="1255"/>
    <cellStyle name="40% - Accent3 4 3 3" xfId="1256"/>
    <cellStyle name="40% - Accent3 4 4" xfId="1257"/>
    <cellStyle name="40% - Accent3 4 7" xfId="9512"/>
    <cellStyle name="40% - Accent3 4 8" xfId="9513"/>
    <cellStyle name="40% - Accent3 4 9" xfId="9514"/>
    <cellStyle name="40% - Accent3 5" xfId="1258"/>
    <cellStyle name="40% - Accent3 5 11" xfId="9515"/>
    <cellStyle name="40% - Accent3 5 12" xfId="9516"/>
    <cellStyle name="40% - Accent3 5 2" xfId="1259"/>
    <cellStyle name="40% - Accent3 5 2 2" xfId="1260"/>
    <cellStyle name="40% - Accent3 5 3" xfId="1261"/>
    <cellStyle name="40% - Accent3 5 3 2" xfId="1262"/>
    <cellStyle name="40% - Accent3 5 3 3" xfId="1263"/>
    <cellStyle name="40% - Accent3 5 4" xfId="1264"/>
    <cellStyle name="40% - Accent3 6" xfId="1265"/>
    <cellStyle name="40% - Accent3 6 10" xfId="9517"/>
    <cellStyle name="40% - Accent3 6 11" xfId="9518"/>
    <cellStyle name="40% - Accent3 6 2" xfId="1266"/>
    <cellStyle name="40% - Accent3 6 2 2" xfId="1267"/>
    <cellStyle name="40% - Accent3 6 20" xfId="9519"/>
    <cellStyle name="40% - Accent3 6 3" xfId="1268"/>
    <cellStyle name="40% - Accent3 6 3 2" xfId="1269"/>
    <cellStyle name="40% - Accent3 6 3 3" xfId="1270"/>
    <cellStyle name="40% - Accent3 6 4" xfId="1271"/>
    <cellStyle name="40% - Accent3 6 9" xfId="9520"/>
    <cellStyle name="40% - Accent3 7" xfId="1272"/>
    <cellStyle name="40% - Accent3 7 10" xfId="9521"/>
    <cellStyle name="40% - Accent3 7 19" xfId="9522"/>
    <cellStyle name="40% - Accent3 7 2" xfId="1273"/>
    <cellStyle name="40% - Accent3 7 2 2" xfId="1274"/>
    <cellStyle name="40% - Accent3 7 2 3" xfId="1275"/>
    <cellStyle name="40% - Accent3 7 3" xfId="1276"/>
    <cellStyle name="40% - Accent3 7 4" xfId="1277"/>
    <cellStyle name="40% - Accent3 7 7" xfId="9523"/>
    <cellStyle name="40% - Accent3 7 9" xfId="9524"/>
    <cellStyle name="40% - Accent3 8" xfId="1278"/>
    <cellStyle name="40% - Accent3 8 18" xfId="9525"/>
    <cellStyle name="40% - Accent3 8 2" xfId="1279"/>
    <cellStyle name="40% - Accent3 8 2 2" xfId="1280"/>
    <cellStyle name="40% - Accent3 8 3" xfId="1281"/>
    <cellStyle name="40% - Accent3 8 3 2" xfId="1282"/>
    <cellStyle name="40% - Accent3 8 3 3" xfId="1283"/>
    <cellStyle name="40% - Accent3 8 4" xfId="1284"/>
    <cellStyle name="40% - Accent3 8 6" xfId="9526"/>
    <cellStyle name="40% - Accent3 8 7" xfId="9527"/>
    <cellStyle name="40% - Accent3 8 8" xfId="9528"/>
    <cellStyle name="40% - Accent3 9" xfId="1285"/>
    <cellStyle name="40% - Accent3 9 17" xfId="9529"/>
    <cellStyle name="40% - Accent3 9 2" xfId="1286"/>
    <cellStyle name="40% - Accent3 9 3" xfId="1287"/>
    <cellStyle name="40% - Accent3 9 5" xfId="9530"/>
    <cellStyle name="40% - Accent3 9 6" xfId="9531"/>
    <cellStyle name="40% - Accent3 9 8" xfId="9532"/>
    <cellStyle name="40% - Accent4" xfId="13"/>
    <cellStyle name="40% - Accent4 10" xfId="1288"/>
    <cellStyle name="40% - Accent4 10 16" xfId="9533"/>
    <cellStyle name="40% - Accent4 10 2" xfId="9534"/>
    <cellStyle name="40% - Accent4 10 3" xfId="9535"/>
    <cellStyle name="40% - Accent4 10 5" xfId="9536"/>
    <cellStyle name="40% - Accent4 10 7" xfId="9537"/>
    <cellStyle name="40% - Accent4 11 14" xfId="9538"/>
    <cellStyle name="40% - Accent4 11 2" xfId="9539"/>
    <cellStyle name="40% - Accent4 11 3" xfId="9540"/>
    <cellStyle name="40% - Accent4 11 4" xfId="9541"/>
    <cellStyle name="40% - Accent4 11 5" xfId="9542"/>
    <cellStyle name="40% - Accent4 12" xfId="9543"/>
    <cellStyle name="40% - Accent4 12 14" xfId="9544"/>
    <cellStyle name="40% - Accent4 12 3" xfId="9545"/>
    <cellStyle name="40% - Accent4 12 5" xfId="9546"/>
    <cellStyle name="40% - Accent4 13" xfId="9547"/>
    <cellStyle name="40% - Accent4 13 13" xfId="9548"/>
    <cellStyle name="40% - Accent4 13 2" xfId="9549"/>
    <cellStyle name="40% - Accent4 13 3" xfId="9550"/>
    <cellStyle name="40% - Accent4 13 4" xfId="9551"/>
    <cellStyle name="40% - Accent4 14" xfId="9552"/>
    <cellStyle name="40% - Accent4 14 2" xfId="9553"/>
    <cellStyle name="40% - Accent4 14 3" xfId="9554"/>
    <cellStyle name="40% - Accent4 15" xfId="9555"/>
    <cellStyle name="40% - Accent4 16 9" xfId="9556"/>
    <cellStyle name="40% - Accent4 2" xfId="245"/>
    <cellStyle name="40% - Accent4 2 10" xfId="9557"/>
    <cellStyle name="40% - Accent4 2 11" xfId="9558"/>
    <cellStyle name="40% - Accent4 2 12" xfId="9559"/>
    <cellStyle name="40% - Accent4 2 13" xfId="9560"/>
    <cellStyle name="40% - Accent4 2 2" xfId="288"/>
    <cellStyle name="40% - Accent4 2 2 2" xfId="1289"/>
    <cellStyle name="40% - Accent4 2 2 2 2" xfId="1290"/>
    <cellStyle name="40% - Accent4 2 2 3" xfId="1291"/>
    <cellStyle name="40% - Accent4 2 2 3 2" xfId="1292"/>
    <cellStyle name="40% - Accent4 2 2 4" xfId="1293"/>
    <cellStyle name="40% - Accent4 2 3" xfId="1294"/>
    <cellStyle name="40% - Accent4 2 3 2" xfId="1295"/>
    <cellStyle name="40% - Accent4 2 4" xfId="1296"/>
    <cellStyle name="40% - Accent4 2 4 2" xfId="1297"/>
    <cellStyle name="40% - Accent4 2 5" xfId="1298"/>
    <cellStyle name="40% - Accent4 2 5 2" xfId="1299"/>
    <cellStyle name="40% - Accent4 2 6" xfId="1300"/>
    <cellStyle name="40% - Accent4 2 6 2" xfId="1301"/>
    <cellStyle name="40% - Accent4 2 7" xfId="1302"/>
    <cellStyle name="40% - Accent4 26" xfId="9561"/>
    <cellStyle name="40% - Accent4 3" xfId="350"/>
    <cellStyle name="40% - Accent4 3 10" xfId="9562"/>
    <cellStyle name="40% - Accent4 3 12" xfId="9563"/>
    <cellStyle name="40% - Accent4 3 13" xfId="9564"/>
    <cellStyle name="40% - Accent4 3 2" xfId="1303"/>
    <cellStyle name="40% - Accent4 3 2 2" xfId="1304"/>
    <cellStyle name="40% - Accent4 3 3" xfId="1305"/>
    <cellStyle name="40% - Accent4 3 3 2" xfId="1306"/>
    <cellStyle name="40% - Accent4 3 4" xfId="1307"/>
    <cellStyle name="40% - Accent4 3 4 2" xfId="1308"/>
    <cellStyle name="40% - Accent4 3 5" xfId="1309"/>
    <cellStyle name="40% - Accent4 3 7" xfId="9565"/>
    <cellStyle name="40% - Accent4 4" xfId="1310"/>
    <cellStyle name="40% - Accent4 4 10" xfId="9566"/>
    <cellStyle name="40% - Accent4 4 11" xfId="9567"/>
    <cellStyle name="40% - Accent4 4 12" xfId="9568"/>
    <cellStyle name="40% - Accent4 4 13" xfId="9569"/>
    <cellStyle name="40% - Accent4 4 2" xfId="1311"/>
    <cellStyle name="40% - Accent4 4 2 2" xfId="1312"/>
    <cellStyle name="40% - Accent4 4 3" xfId="1313"/>
    <cellStyle name="40% - Accent4 4 3 2" xfId="1314"/>
    <cellStyle name="40% - Accent4 4 3 3" xfId="1315"/>
    <cellStyle name="40% - Accent4 4 4" xfId="1316"/>
    <cellStyle name="40% - Accent4 4 9" xfId="9570"/>
    <cellStyle name="40% - Accent4 5" xfId="1317"/>
    <cellStyle name="40% - Accent4 5 10" xfId="9571"/>
    <cellStyle name="40% - Accent4 5 11" xfId="9572"/>
    <cellStyle name="40% - Accent4 5 2" xfId="1318"/>
    <cellStyle name="40% - Accent4 5 2 2" xfId="1319"/>
    <cellStyle name="40% - Accent4 5 3" xfId="1320"/>
    <cellStyle name="40% - Accent4 5 3 2" xfId="1321"/>
    <cellStyle name="40% - Accent4 5 3 3" xfId="1322"/>
    <cellStyle name="40% - Accent4 5 4" xfId="1323"/>
    <cellStyle name="40% - Accent4 5 6" xfId="9573"/>
    <cellStyle name="40% - Accent4 5 7" xfId="9574"/>
    <cellStyle name="40% - Accent4 5 9" xfId="9575"/>
    <cellStyle name="40% - Accent4 6" xfId="1324"/>
    <cellStyle name="40% - Accent4 6 11" xfId="9576"/>
    <cellStyle name="40% - Accent4 6 2" xfId="1325"/>
    <cellStyle name="40% - Accent4 6 2 2" xfId="1326"/>
    <cellStyle name="40% - Accent4 6 20" xfId="9577"/>
    <cellStyle name="40% - Accent4 6 3" xfId="1327"/>
    <cellStyle name="40% - Accent4 6 3 2" xfId="1328"/>
    <cellStyle name="40% - Accent4 6 3 3" xfId="1329"/>
    <cellStyle name="40% - Accent4 6 4" xfId="1330"/>
    <cellStyle name="40% - Accent4 6 8" xfId="9578"/>
    <cellStyle name="40% - Accent4 7" xfId="1331"/>
    <cellStyle name="40% - Accent4 7 19" xfId="9579"/>
    <cellStyle name="40% - Accent4 7 2" xfId="1332"/>
    <cellStyle name="40% - Accent4 7 2 2" xfId="1333"/>
    <cellStyle name="40% - Accent4 7 2 3" xfId="1334"/>
    <cellStyle name="40% - Accent4 7 3" xfId="1335"/>
    <cellStyle name="40% - Accent4 7 4" xfId="1336"/>
    <cellStyle name="40% - Accent4 7 6" xfId="9580"/>
    <cellStyle name="40% - Accent4 7 7" xfId="9581"/>
    <cellStyle name="40% - Accent4 7 8" xfId="9582"/>
    <cellStyle name="40% - Accent4 7 9" xfId="9583"/>
    <cellStyle name="40% - Accent4 8" xfId="1337"/>
    <cellStyle name="40% - Accent4 8 18" xfId="9584"/>
    <cellStyle name="40% - Accent4 8 2" xfId="1338"/>
    <cellStyle name="40% - Accent4 8 2 2" xfId="1339"/>
    <cellStyle name="40% - Accent4 8 3" xfId="1340"/>
    <cellStyle name="40% - Accent4 8 3 2" xfId="1341"/>
    <cellStyle name="40% - Accent4 8 3 3" xfId="1342"/>
    <cellStyle name="40% - Accent4 8 4" xfId="1343"/>
    <cellStyle name="40% - Accent4 8 6" xfId="9585"/>
    <cellStyle name="40% - Accent4 8 7" xfId="9586"/>
    <cellStyle name="40% - Accent4 8 8" xfId="9587"/>
    <cellStyle name="40% - Accent4 9" xfId="1344"/>
    <cellStyle name="40% - Accent4 9 17" xfId="9588"/>
    <cellStyle name="40% - Accent4 9 2" xfId="1345"/>
    <cellStyle name="40% - Accent4 9 3" xfId="1346"/>
    <cellStyle name="40% - Accent4 9 5" xfId="9589"/>
    <cellStyle name="40% - Accent4 9 6" xfId="9590"/>
    <cellStyle name="40% - Accent4 9 8" xfId="9591"/>
    <cellStyle name="40% - Accent5" xfId="14"/>
    <cellStyle name="40% - Accent5 10" xfId="1347"/>
    <cellStyle name="40% - Accent5 10 2" xfId="9592"/>
    <cellStyle name="40% - Accent5 10 4" xfId="9593"/>
    <cellStyle name="40% - Accent5 10 5" xfId="9594"/>
    <cellStyle name="40% - Accent5 10 6" xfId="9595"/>
    <cellStyle name="40% - Accent5 10 7" xfId="9596"/>
    <cellStyle name="40% - Accent5 11 14" xfId="9597"/>
    <cellStyle name="40% - Accent5 11 3" xfId="9598"/>
    <cellStyle name="40% - Accent5 11 4" xfId="9599"/>
    <cellStyle name="40% - Accent5 12 14" xfId="9600"/>
    <cellStyle name="40% - Accent5 12 3" xfId="9601"/>
    <cellStyle name="40% - Accent5 12 4" xfId="9602"/>
    <cellStyle name="40% - Accent5 12 5" xfId="9603"/>
    <cellStyle name="40% - Accent5 13 13" xfId="9604"/>
    <cellStyle name="40% - Accent5 13 3" xfId="9605"/>
    <cellStyle name="40% - Accent5 13 4" xfId="9606"/>
    <cellStyle name="40% - Accent5 14" xfId="9607"/>
    <cellStyle name="40% - Accent5 14 2" xfId="9608"/>
    <cellStyle name="40% - Accent5 14 3" xfId="9609"/>
    <cellStyle name="40% - Accent5 15" xfId="9610"/>
    <cellStyle name="40% - Accent5 16" xfId="9611"/>
    <cellStyle name="40% - Accent5 16 9" xfId="9612"/>
    <cellStyle name="40% - Accent5 2" xfId="246"/>
    <cellStyle name="40% - Accent5 2 10" xfId="9613"/>
    <cellStyle name="40% - Accent5 2 11" xfId="9614"/>
    <cellStyle name="40% - Accent5 2 12" xfId="9615"/>
    <cellStyle name="40% - Accent5 2 13" xfId="9616"/>
    <cellStyle name="40% - Accent5 2 2" xfId="289"/>
    <cellStyle name="40% - Accent5 2 2 2" xfId="1348"/>
    <cellStyle name="40% - Accent5 2 2 2 2" xfId="1349"/>
    <cellStyle name="40% - Accent5 2 2 3" xfId="1350"/>
    <cellStyle name="40% - Accent5 2 2 3 2" xfId="1351"/>
    <cellStyle name="40% - Accent5 2 2 4" xfId="1352"/>
    <cellStyle name="40% - Accent5 2 3" xfId="1353"/>
    <cellStyle name="40% - Accent5 2 3 2" xfId="1354"/>
    <cellStyle name="40% - Accent5 2 4" xfId="1355"/>
    <cellStyle name="40% - Accent5 2 4 2" xfId="1356"/>
    <cellStyle name="40% - Accent5 2 5" xfId="1357"/>
    <cellStyle name="40% - Accent5 2 5 2" xfId="1358"/>
    <cellStyle name="40% - Accent5 2 6" xfId="1359"/>
    <cellStyle name="40% - Accent5 2 6 2" xfId="1360"/>
    <cellStyle name="40% - Accent5 2 7" xfId="1361"/>
    <cellStyle name="40% - Accent5 2 8" xfId="9617"/>
    <cellStyle name="40% - Accent5 26" xfId="9618"/>
    <cellStyle name="40% - Accent5 3" xfId="351"/>
    <cellStyle name="40% - Accent5 3 12" xfId="9619"/>
    <cellStyle name="40% - Accent5 3 13" xfId="9620"/>
    <cellStyle name="40% - Accent5 3 2" xfId="1362"/>
    <cellStyle name="40% - Accent5 3 2 2" xfId="1363"/>
    <cellStyle name="40% - Accent5 3 3" xfId="1364"/>
    <cellStyle name="40% - Accent5 3 3 2" xfId="1365"/>
    <cellStyle name="40% - Accent5 3 4" xfId="1366"/>
    <cellStyle name="40% - Accent5 3 4 2" xfId="1367"/>
    <cellStyle name="40% - Accent5 3 5" xfId="1368"/>
    <cellStyle name="40% - Accent5 4" xfId="1369"/>
    <cellStyle name="40% - Accent5 4 10" xfId="9621"/>
    <cellStyle name="40% - Accent5 4 11" xfId="9622"/>
    <cellStyle name="40% - Accent5 4 12" xfId="9623"/>
    <cellStyle name="40% - Accent5 4 13" xfId="9624"/>
    <cellStyle name="40% - Accent5 4 2" xfId="1370"/>
    <cellStyle name="40% - Accent5 4 2 2" xfId="1371"/>
    <cellStyle name="40% - Accent5 4 3" xfId="1372"/>
    <cellStyle name="40% - Accent5 4 3 2" xfId="1373"/>
    <cellStyle name="40% - Accent5 4 3 3" xfId="1374"/>
    <cellStyle name="40% - Accent5 4 4" xfId="1375"/>
    <cellStyle name="40% - Accent5 4 7" xfId="9625"/>
    <cellStyle name="40% - Accent5 4 8" xfId="9626"/>
    <cellStyle name="40% - Accent5 4 9" xfId="9627"/>
    <cellStyle name="40% - Accent5 5" xfId="1376"/>
    <cellStyle name="40% - Accent5 5 10" xfId="9628"/>
    <cellStyle name="40% - Accent5 5 11" xfId="9629"/>
    <cellStyle name="40% - Accent5 5 12" xfId="9630"/>
    <cellStyle name="40% - Accent5 5 2" xfId="1377"/>
    <cellStyle name="40% - Accent5 5 2 2" xfId="1378"/>
    <cellStyle name="40% - Accent5 5 3" xfId="1379"/>
    <cellStyle name="40% - Accent5 5 3 2" xfId="1380"/>
    <cellStyle name="40% - Accent5 5 3 3" xfId="1381"/>
    <cellStyle name="40% - Accent5 5 4" xfId="1382"/>
    <cellStyle name="40% - Accent5 5 9" xfId="9631"/>
    <cellStyle name="40% - Accent5 6" xfId="1383"/>
    <cellStyle name="40% - Accent5 6 10" xfId="9632"/>
    <cellStyle name="40% - Accent5 6 11" xfId="9633"/>
    <cellStyle name="40% - Accent5 6 2" xfId="1384"/>
    <cellStyle name="40% - Accent5 6 2 2" xfId="1385"/>
    <cellStyle name="40% - Accent5 6 20" xfId="9634"/>
    <cellStyle name="40% - Accent5 6 3" xfId="1386"/>
    <cellStyle name="40% - Accent5 6 3 2" xfId="1387"/>
    <cellStyle name="40% - Accent5 6 3 3" xfId="1388"/>
    <cellStyle name="40% - Accent5 6 4" xfId="1389"/>
    <cellStyle name="40% - Accent5 6 8" xfId="9635"/>
    <cellStyle name="40% - Accent5 6 9" xfId="9636"/>
    <cellStyle name="40% - Accent5 7" xfId="1390"/>
    <cellStyle name="40% - Accent5 7 10" xfId="9637"/>
    <cellStyle name="40% - Accent5 7 2" xfId="1391"/>
    <cellStyle name="40% - Accent5 7 2 2" xfId="1392"/>
    <cellStyle name="40% - Accent5 7 2 3" xfId="1393"/>
    <cellStyle name="40% - Accent5 7 3" xfId="1394"/>
    <cellStyle name="40% - Accent5 7 4" xfId="1395"/>
    <cellStyle name="40% - Accent5 7 6" xfId="9638"/>
    <cellStyle name="40% - Accent5 7 7" xfId="9639"/>
    <cellStyle name="40% - Accent5 7 8" xfId="9640"/>
    <cellStyle name="40% - Accent5 7 9" xfId="9641"/>
    <cellStyle name="40% - Accent5 8" xfId="1396"/>
    <cellStyle name="40% - Accent5 8 2" xfId="1397"/>
    <cellStyle name="40% - Accent5 8 2 2" xfId="1398"/>
    <cellStyle name="40% - Accent5 8 3" xfId="1399"/>
    <cellStyle name="40% - Accent5 8 3 2" xfId="1400"/>
    <cellStyle name="40% - Accent5 8 3 3" xfId="1401"/>
    <cellStyle name="40% - Accent5 8 4" xfId="1402"/>
    <cellStyle name="40% - Accent5 8 5" xfId="9642"/>
    <cellStyle name="40% - Accent5 8 6" xfId="9643"/>
    <cellStyle name="40% - Accent5 8 8" xfId="9644"/>
    <cellStyle name="40% - Accent5 8 9" xfId="9645"/>
    <cellStyle name="40% - Accent5 9" xfId="1403"/>
    <cellStyle name="40% - Accent5 9 2" xfId="1404"/>
    <cellStyle name="40% - Accent5 9 3" xfId="1405"/>
    <cellStyle name="40% - Accent5 9 4" xfId="9646"/>
    <cellStyle name="40% - Accent5 9 6" xfId="9647"/>
    <cellStyle name="40% - Accent5 9 7" xfId="9648"/>
    <cellStyle name="40% - Accent5 9 8" xfId="9649"/>
    <cellStyle name="40% - Accent6" xfId="15"/>
    <cellStyle name="40% - Accent6 10" xfId="1406"/>
    <cellStyle name="40% - Accent6 10 2" xfId="9650"/>
    <cellStyle name="40% - Accent6 10 4" xfId="9651"/>
    <cellStyle name="40% - Accent6 10 5" xfId="9652"/>
    <cellStyle name="40% - Accent6 10 6" xfId="9653"/>
    <cellStyle name="40% - Accent6 10 7" xfId="9654"/>
    <cellStyle name="40% - Accent6 11 3" xfId="9655"/>
    <cellStyle name="40% - Accent6 11 4" xfId="9656"/>
    <cellStyle name="40% - Accent6 11 5" xfId="9657"/>
    <cellStyle name="40% - Accent6 12" xfId="9658"/>
    <cellStyle name="40% - Accent6 12 14" xfId="9659"/>
    <cellStyle name="40% - Accent6 12 2" xfId="9660"/>
    <cellStyle name="40% - Accent6 12 3" xfId="9661"/>
    <cellStyle name="40% - Accent6 12 4" xfId="9662"/>
    <cellStyle name="40% - Accent6 12 5" xfId="9663"/>
    <cellStyle name="40% - Accent6 13" xfId="9664"/>
    <cellStyle name="40% - Accent6 13 3" xfId="9665"/>
    <cellStyle name="40% - Accent6 13 4" xfId="9666"/>
    <cellStyle name="40% - Accent6 16" xfId="9667"/>
    <cellStyle name="40% - Accent6 16 9" xfId="9668"/>
    <cellStyle name="40% - Accent6 2" xfId="247"/>
    <cellStyle name="40% - Accent6 2 13" xfId="9669"/>
    <cellStyle name="40% - Accent6 2 2" xfId="290"/>
    <cellStyle name="40% - Accent6 2 2 2" xfId="1407"/>
    <cellStyle name="40% - Accent6 2 2 2 2" xfId="1408"/>
    <cellStyle name="40% - Accent6 2 2 3" xfId="1409"/>
    <cellStyle name="40% - Accent6 2 2 3 2" xfId="1410"/>
    <cellStyle name="40% - Accent6 2 2 4" xfId="1411"/>
    <cellStyle name="40% - Accent6 2 3" xfId="1412"/>
    <cellStyle name="40% - Accent6 2 3 2" xfId="1413"/>
    <cellStyle name="40% - Accent6 2 4" xfId="1414"/>
    <cellStyle name="40% - Accent6 2 4 2" xfId="1415"/>
    <cellStyle name="40% - Accent6 2 5" xfId="1416"/>
    <cellStyle name="40% - Accent6 2 5 2" xfId="1417"/>
    <cellStyle name="40% - Accent6 2 6" xfId="1418"/>
    <cellStyle name="40% - Accent6 2 6 2" xfId="1419"/>
    <cellStyle name="40% - Accent6 2 7" xfId="1420"/>
    <cellStyle name="40% - Accent6 3" xfId="352"/>
    <cellStyle name="40% - Accent6 3 11" xfId="9670"/>
    <cellStyle name="40% - Accent6 3 2" xfId="1421"/>
    <cellStyle name="40% - Accent6 3 2 2" xfId="1422"/>
    <cellStyle name="40% - Accent6 3 3" xfId="1423"/>
    <cellStyle name="40% - Accent6 3 3 2" xfId="1424"/>
    <cellStyle name="40% - Accent6 3 4" xfId="1425"/>
    <cellStyle name="40% - Accent6 3 4 2" xfId="1426"/>
    <cellStyle name="40% - Accent6 3 5" xfId="1427"/>
    <cellStyle name="40% - Accent6 3 9" xfId="9671"/>
    <cellStyle name="40% - Accent6 4" xfId="1428"/>
    <cellStyle name="40% - Accent6 4 12" xfId="9672"/>
    <cellStyle name="40% - Accent6 4 13" xfId="9673"/>
    <cellStyle name="40% - Accent6 4 2" xfId="1429"/>
    <cellStyle name="40% - Accent6 4 2 2" xfId="1430"/>
    <cellStyle name="40% - Accent6 4 3" xfId="1431"/>
    <cellStyle name="40% - Accent6 4 3 2" xfId="1432"/>
    <cellStyle name="40% - Accent6 4 3 3" xfId="1433"/>
    <cellStyle name="40% - Accent6 4 4" xfId="1434"/>
    <cellStyle name="40% - Accent6 5" xfId="1435"/>
    <cellStyle name="40% - Accent6 5 2" xfId="1436"/>
    <cellStyle name="40% - Accent6 5 2 2" xfId="1437"/>
    <cellStyle name="40% - Accent6 5 3" xfId="1438"/>
    <cellStyle name="40% - Accent6 5 3 2" xfId="1439"/>
    <cellStyle name="40% - Accent6 5 3 3" xfId="1440"/>
    <cellStyle name="40% - Accent6 5 4" xfId="1441"/>
    <cellStyle name="40% - Accent6 5 6" xfId="9674"/>
    <cellStyle name="40% - Accent6 5 9" xfId="9675"/>
    <cellStyle name="40% - Accent6 6" xfId="1442"/>
    <cellStyle name="40% - Accent6 6 11" xfId="9676"/>
    <cellStyle name="40% - Accent6 6 2" xfId="1443"/>
    <cellStyle name="40% - Accent6 6 2 2" xfId="1444"/>
    <cellStyle name="40% - Accent6 6 3" xfId="1445"/>
    <cellStyle name="40% - Accent6 6 3 2" xfId="1446"/>
    <cellStyle name="40% - Accent6 6 3 3" xfId="1447"/>
    <cellStyle name="40% - Accent6 6 4" xfId="1448"/>
    <cellStyle name="40% - Accent6 6 8" xfId="9677"/>
    <cellStyle name="40% - Accent6 7" xfId="1449"/>
    <cellStyle name="40% - Accent6 7 10" xfId="9678"/>
    <cellStyle name="40% - Accent6 7 2" xfId="1450"/>
    <cellStyle name="40% - Accent6 7 2 2" xfId="1451"/>
    <cellStyle name="40% - Accent6 7 2 3" xfId="1452"/>
    <cellStyle name="40% - Accent6 7 3" xfId="1453"/>
    <cellStyle name="40% - Accent6 7 4" xfId="1454"/>
    <cellStyle name="40% - Accent6 8" xfId="1455"/>
    <cellStyle name="40% - Accent6 8 2" xfId="1456"/>
    <cellStyle name="40% - Accent6 8 2 2" xfId="1457"/>
    <cellStyle name="40% - Accent6 8 3" xfId="1458"/>
    <cellStyle name="40% - Accent6 8 3 2" xfId="1459"/>
    <cellStyle name="40% - Accent6 8 3 3" xfId="1460"/>
    <cellStyle name="40% - Accent6 8 4" xfId="1461"/>
    <cellStyle name="40% - Accent6 8 6" xfId="9679"/>
    <cellStyle name="40% - Accent6 8 7" xfId="9680"/>
    <cellStyle name="40% - Accent6 8 8" xfId="9681"/>
    <cellStyle name="40% - Accent6 9" xfId="1462"/>
    <cellStyle name="40% - Accent6 9 2" xfId="1463"/>
    <cellStyle name="40% - Accent6 9 3" xfId="1464"/>
    <cellStyle name="40% - Accent6 9 4" xfId="9682"/>
    <cellStyle name="40% - Accent6 9 5" xfId="9683"/>
    <cellStyle name="40% - Ênfase1 2" xfId="153"/>
    <cellStyle name="40% - Ênfase2 2" xfId="154"/>
    <cellStyle name="40% - Ênfase3 2" xfId="155"/>
    <cellStyle name="40% - Ênfase4 2" xfId="156"/>
    <cellStyle name="40% - Ênfase5 2" xfId="157"/>
    <cellStyle name="40% - Ênfase6 2" xfId="158"/>
    <cellStyle name="60% - Accent1" xfId="16"/>
    <cellStyle name="60% - Accent1 10 4" xfId="9684"/>
    <cellStyle name="60% - Accent1 10 7" xfId="9685"/>
    <cellStyle name="60% - Accent1 11 3" xfId="9686"/>
    <cellStyle name="60% - Accent1 11 4" xfId="9687"/>
    <cellStyle name="60% - Accent1 14 2" xfId="9688"/>
    <cellStyle name="60% - Accent1 2" xfId="248"/>
    <cellStyle name="60% - Accent1 2 10" xfId="9689"/>
    <cellStyle name="60% - Accent1 2 11" xfId="9690"/>
    <cellStyle name="60% - Accent1 2 12" xfId="9691"/>
    <cellStyle name="60% - Accent1 2 2" xfId="291"/>
    <cellStyle name="60% - Accent1 2 2 2" xfId="1465"/>
    <cellStyle name="60% - Accent1 2 2 3" xfId="1466"/>
    <cellStyle name="60% - Accent1 2 2 3 2" xfId="1467"/>
    <cellStyle name="60% - Accent1 2 3" xfId="1468"/>
    <cellStyle name="60% - Accent1 2 4" xfId="1469"/>
    <cellStyle name="60% - Accent1 2 5" xfId="1470"/>
    <cellStyle name="60% - Accent1 2 5 2" xfId="1471"/>
    <cellStyle name="60% - Accent1 2 6" xfId="1472"/>
    <cellStyle name="60% - Accent1 2 7" xfId="9692"/>
    <cellStyle name="60% - Accent1 2 9" xfId="9693"/>
    <cellStyle name="60% - Accent1 3" xfId="353"/>
    <cellStyle name="60% - Accent1 3 2" xfId="1473"/>
    <cellStyle name="60% - Accent1 3 2 2" xfId="1474"/>
    <cellStyle name="60% - Accent1 3 3" xfId="1475"/>
    <cellStyle name="60% - Accent1 3 4" xfId="1476"/>
    <cellStyle name="60% - Accent1 3 4 2" xfId="1477"/>
    <cellStyle name="60% - Accent1 3 7" xfId="9694"/>
    <cellStyle name="60% - Accent1 4" xfId="1478"/>
    <cellStyle name="60% - Accent1 4 10" xfId="9695"/>
    <cellStyle name="60% - Accent1 4 11" xfId="9696"/>
    <cellStyle name="60% - Accent1 4 13" xfId="9697"/>
    <cellStyle name="60% - Accent1 4 2" xfId="1479"/>
    <cellStyle name="60% - Accent1 4 3" xfId="1480"/>
    <cellStyle name="60% - Accent1 4 3 2" xfId="1481"/>
    <cellStyle name="60% - Accent1 4 7" xfId="9698"/>
    <cellStyle name="60% - Accent1 4 8" xfId="9699"/>
    <cellStyle name="60% - Accent1 5" xfId="1482"/>
    <cellStyle name="60% - Accent1 5 11" xfId="9700"/>
    <cellStyle name="60% - Accent1 5 6" xfId="9701"/>
    <cellStyle name="60% - Accent1 6" xfId="1483"/>
    <cellStyle name="60% - Accent1 6 10" xfId="9702"/>
    <cellStyle name="60% - Accent1 6 7" xfId="9703"/>
    <cellStyle name="60% - Accent1 6 9" xfId="9704"/>
    <cellStyle name="60% - Accent1 7" xfId="1484"/>
    <cellStyle name="60% - Accent1 7 2" xfId="1485"/>
    <cellStyle name="60% - Accent1 7 8" xfId="9705"/>
    <cellStyle name="60% - Accent1 7 9" xfId="9706"/>
    <cellStyle name="60% - Accent1 8" xfId="1486"/>
    <cellStyle name="60% - Accent1 8 2" xfId="1487"/>
    <cellStyle name="60% - Accent1 9 3" xfId="9707"/>
    <cellStyle name="60% - Accent1 9 7" xfId="9708"/>
    <cellStyle name="60% - Accent1 9 8" xfId="9709"/>
    <cellStyle name="60% - Accent2" xfId="17"/>
    <cellStyle name="60% - Accent2 10 3" xfId="9710"/>
    <cellStyle name="60% - Accent2 10 6" xfId="9711"/>
    <cellStyle name="60% - Accent2 11 14" xfId="9712"/>
    <cellStyle name="60% - Accent2 11 3" xfId="9713"/>
    <cellStyle name="60% - Accent2 12" xfId="9714"/>
    <cellStyle name="60% - Accent2 13" xfId="9715"/>
    <cellStyle name="60% - Accent2 13 13" xfId="9716"/>
    <cellStyle name="60% - Accent2 13 3" xfId="9717"/>
    <cellStyle name="60% - Accent2 13 4" xfId="9718"/>
    <cellStyle name="60% - Accent2 16" xfId="9719"/>
    <cellStyle name="60% - Accent2 2" xfId="249"/>
    <cellStyle name="60% - Accent2 2 10" xfId="9720"/>
    <cellStyle name="60% - Accent2 2 11" xfId="9721"/>
    <cellStyle name="60% - Accent2 2 2" xfId="292"/>
    <cellStyle name="60% - Accent2 2 2 2" xfId="1488"/>
    <cellStyle name="60% - Accent2 2 2 3" xfId="1489"/>
    <cellStyle name="60% - Accent2 2 2 3 2" xfId="1490"/>
    <cellStyle name="60% - Accent2 2 3" xfId="1491"/>
    <cellStyle name="60% - Accent2 2 4" xfId="1492"/>
    <cellStyle name="60% - Accent2 2 5" xfId="1493"/>
    <cellStyle name="60% - Accent2 2 5 2" xfId="1494"/>
    <cellStyle name="60% - Accent2 2 6" xfId="1495"/>
    <cellStyle name="60% - Accent2 3" xfId="354"/>
    <cellStyle name="60% - Accent2 3 11" xfId="9722"/>
    <cellStyle name="60% - Accent2 3 2" xfId="1496"/>
    <cellStyle name="60% - Accent2 3 2 2" xfId="1497"/>
    <cellStyle name="60% - Accent2 3 3" xfId="1498"/>
    <cellStyle name="60% - Accent2 3 4" xfId="1499"/>
    <cellStyle name="60% - Accent2 3 4 2" xfId="1500"/>
    <cellStyle name="60% - Accent2 4" xfId="1501"/>
    <cellStyle name="60% - Accent2 4 13" xfId="9723"/>
    <cellStyle name="60% - Accent2 4 2" xfId="1502"/>
    <cellStyle name="60% - Accent2 4 3" xfId="1503"/>
    <cellStyle name="60% - Accent2 4 3 2" xfId="1504"/>
    <cellStyle name="60% - Accent2 4 8" xfId="9724"/>
    <cellStyle name="60% - Accent2 4 9" xfId="9725"/>
    <cellStyle name="60% - Accent2 5" xfId="1505"/>
    <cellStyle name="60% - Accent2 5 11" xfId="9726"/>
    <cellStyle name="60% - Accent2 5 12" xfId="9727"/>
    <cellStyle name="60% - Accent2 5 7" xfId="9728"/>
    <cellStyle name="60% - Accent2 6" xfId="1506"/>
    <cellStyle name="60% - Accent2 7" xfId="1507"/>
    <cellStyle name="60% - Accent2 7 10" xfId="9729"/>
    <cellStyle name="60% - Accent2 7 2" xfId="1508"/>
    <cellStyle name="60% - Accent2 7 8" xfId="9730"/>
    <cellStyle name="60% - Accent2 7 9" xfId="9731"/>
    <cellStyle name="60% - Accent2 8" xfId="1509"/>
    <cellStyle name="60% - Accent2 8 2" xfId="1510"/>
    <cellStyle name="60% - Accent2 8 4" xfId="9732"/>
    <cellStyle name="60% - Accent2 8 6" xfId="9733"/>
    <cellStyle name="60% - Accent2 8 7" xfId="9734"/>
    <cellStyle name="60% - Accent2 9 17" xfId="9735"/>
    <cellStyle name="60% - Accent2 9 7" xfId="9736"/>
    <cellStyle name="60% - Accent3" xfId="18"/>
    <cellStyle name="60% - Accent3 10 2" xfId="9737"/>
    <cellStyle name="60% - Accent3 10 3" xfId="9738"/>
    <cellStyle name="60% - Accent3 11 4" xfId="9739"/>
    <cellStyle name="60% - Accent3 11 5" xfId="9740"/>
    <cellStyle name="60% - Accent3 12" xfId="9741"/>
    <cellStyle name="60% - Accent3 12 2" xfId="9742"/>
    <cellStyle name="60% - Accent3 13" xfId="9743"/>
    <cellStyle name="60% - Accent3 13 2" xfId="9744"/>
    <cellStyle name="60% - Accent3 13 3" xfId="9745"/>
    <cellStyle name="60% - Accent3 14" xfId="9746"/>
    <cellStyle name="60% - Accent3 14 3" xfId="9747"/>
    <cellStyle name="60% - Accent3 2" xfId="250"/>
    <cellStyle name="60% - Accent3 2 10" xfId="9748"/>
    <cellStyle name="60% - Accent3 2 11" xfId="9749"/>
    <cellStyle name="60% - Accent3 2 13" xfId="9750"/>
    <cellStyle name="60% - Accent3 2 2" xfId="293"/>
    <cellStyle name="60% - Accent3 2 2 2" xfId="1511"/>
    <cellStyle name="60% - Accent3 2 2 3" xfId="1512"/>
    <cellStyle name="60% - Accent3 2 2 3 2" xfId="1513"/>
    <cellStyle name="60% - Accent3 2 3" xfId="1514"/>
    <cellStyle name="60% - Accent3 2 4" xfId="1515"/>
    <cellStyle name="60% - Accent3 2 5" xfId="1516"/>
    <cellStyle name="60% - Accent3 2 5 2" xfId="1517"/>
    <cellStyle name="60% - Accent3 2 6" xfId="1518"/>
    <cellStyle name="60% - Accent3 2 7" xfId="9751"/>
    <cellStyle name="60% - Accent3 3" xfId="355"/>
    <cellStyle name="60% - Accent3 3 2" xfId="1519"/>
    <cellStyle name="60% - Accent3 3 2 2" xfId="1520"/>
    <cellStyle name="60% - Accent3 3 3" xfId="1521"/>
    <cellStyle name="60% - Accent3 3 4" xfId="1522"/>
    <cellStyle name="60% - Accent3 3 4 2" xfId="1523"/>
    <cellStyle name="60% - Accent3 3 7" xfId="9752"/>
    <cellStyle name="60% - Accent3 4" xfId="1524"/>
    <cellStyle name="60% - Accent3 4 13" xfId="9753"/>
    <cellStyle name="60% - Accent3 4 2" xfId="1525"/>
    <cellStyle name="60% - Accent3 4 3" xfId="1526"/>
    <cellStyle name="60% - Accent3 4 3 2" xfId="1527"/>
    <cellStyle name="60% - Accent3 4 8" xfId="9754"/>
    <cellStyle name="60% - Accent3 4 9" xfId="9755"/>
    <cellStyle name="60% - Accent3 5" xfId="1528"/>
    <cellStyle name="60% - Accent3 5 11" xfId="9756"/>
    <cellStyle name="60% - Accent3 5 2" xfId="9757"/>
    <cellStyle name="60% - Accent3 5 6" xfId="9758"/>
    <cellStyle name="60% - Accent3 6" xfId="1529"/>
    <cellStyle name="60% - Accent3 6 20" xfId="9759"/>
    <cellStyle name="60% - Accent3 6 9" xfId="9760"/>
    <cellStyle name="60% - Accent3 7" xfId="1530"/>
    <cellStyle name="60% - Accent3 7 2" xfId="1531"/>
    <cellStyle name="60% - Accent3 8" xfId="1532"/>
    <cellStyle name="60% - Accent3 8 18" xfId="9761"/>
    <cellStyle name="60% - Accent3 8 2" xfId="1533"/>
    <cellStyle name="60% - Accent3 8 4" xfId="9762"/>
    <cellStyle name="60% - Accent3 8 9" xfId="9763"/>
    <cellStyle name="60% - Accent3 9 7" xfId="9764"/>
    <cellStyle name="60% - Accent4" xfId="19"/>
    <cellStyle name="60% - Accent4 10 2" xfId="9765"/>
    <cellStyle name="60% - Accent4 10 3" xfId="9766"/>
    <cellStyle name="60% - Accent4 11 2" xfId="9767"/>
    <cellStyle name="60% - Accent4 11 4" xfId="9768"/>
    <cellStyle name="60% - Accent4 12 2" xfId="9769"/>
    <cellStyle name="60% - Accent4 12 3" xfId="9770"/>
    <cellStyle name="60% - Accent4 13 2" xfId="9771"/>
    <cellStyle name="60% - Accent4 14 11 2" xfId="9772"/>
    <cellStyle name="60% - Accent4 14 2" xfId="9773"/>
    <cellStyle name="60% - Accent4 14 3" xfId="9774"/>
    <cellStyle name="60% - Accent4 15 10" xfId="9775"/>
    <cellStyle name="60% - Accent4 2" xfId="251"/>
    <cellStyle name="60% - Accent4 2 13" xfId="9776"/>
    <cellStyle name="60% - Accent4 2 15 2 3" xfId="9777"/>
    <cellStyle name="60% - Accent4 2 16 2 2" xfId="9778"/>
    <cellStyle name="60% - Accent4 2 2" xfId="294"/>
    <cellStyle name="60% - Accent4 2 2 2" xfId="1534"/>
    <cellStyle name="60% - Accent4 2 2 3" xfId="1535"/>
    <cellStyle name="60% - Accent4 2 2 3 2" xfId="1536"/>
    <cellStyle name="60% - Accent4 2 3" xfId="1537"/>
    <cellStyle name="60% - Accent4 2 4" xfId="1538"/>
    <cellStyle name="60% - Accent4 2 48" xfId="9779"/>
    <cellStyle name="60% - Accent4 2 5" xfId="1539"/>
    <cellStyle name="60% - Accent4 2 5 2" xfId="1540"/>
    <cellStyle name="60% - Accent4 2 6" xfId="1541"/>
    <cellStyle name="60% - Accent4 2 7" xfId="9780"/>
    <cellStyle name="60% - Accent4 3" xfId="356"/>
    <cellStyle name="60% - Accent4 3 11" xfId="9781"/>
    <cellStyle name="60% - Accent4 3 13" xfId="9782"/>
    <cellStyle name="60% - Accent4 3 14 2" xfId="9783"/>
    <cellStyle name="60% - Accent4 3 14 2 3" xfId="9784"/>
    <cellStyle name="60% - Accent4 3 15 2 2" xfId="9785"/>
    <cellStyle name="60% - Accent4 3 2" xfId="1542"/>
    <cellStyle name="60% - Accent4 3 2 2" xfId="1543"/>
    <cellStyle name="60% - Accent4 3 3" xfId="1544"/>
    <cellStyle name="60% - Accent4 3 4" xfId="1545"/>
    <cellStyle name="60% - Accent4 3 4 2" xfId="1546"/>
    <cellStyle name="60% - Accent4 4" xfId="1547"/>
    <cellStyle name="60% - Accent4 4 2" xfId="1548"/>
    <cellStyle name="60% - Accent4 4 3" xfId="1549"/>
    <cellStyle name="60% - Accent4 4 3 2" xfId="1550"/>
    <cellStyle name="60% - Accent4 4 7" xfId="9786"/>
    <cellStyle name="60% - Accent4 5" xfId="1551"/>
    <cellStyle name="60% - Accent4 5 10" xfId="9787"/>
    <cellStyle name="60% - Accent4 5 11" xfId="9788"/>
    <cellStyle name="60% - Accent4 5 6" xfId="9789"/>
    <cellStyle name="60% - Accent4 6" xfId="1552"/>
    <cellStyle name="60% - Accent4 6 11" xfId="9790"/>
    <cellStyle name="60% - Accent4 7" xfId="1553"/>
    <cellStyle name="60% - Accent4 7 11 2" xfId="9791"/>
    <cellStyle name="60% - Accent4 7 2" xfId="1554"/>
    <cellStyle name="60% - Accent4 8" xfId="1555"/>
    <cellStyle name="60% - Accent4 8 10 2" xfId="9792"/>
    <cellStyle name="60% - Accent4 8 2" xfId="1556"/>
    <cellStyle name="60% - Accent4 8 6" xfId="9793"/>
    <cellStyle name="60% - Accent4 8 7" xfId="9794"/>
    <cellStyle name="60% - Accent4 8 8" xfId="9795"/>
    <cellStyle name="60% - Accent4 9 17" xfId="9796"/>
    <cellStyle name="60% - Accent4 9 3" xfId="9797"/>
    <cellStyle name="60% - Accent4 9 8" xfId="9798"/>
    <cellStyle name="60% - Accent4 9 9 2" xfId="9799"/>
    <cellStyle name="60% - Accent4 9 9 2 3" xfId="9800"/>
    <cellStyle name="60% - Accent5" xfId="20"/>
    <cellStyle name="60% - Accent5 10 10 2 2" xfId="9801"/>
    <cellStyle name="60% - Accent5 10 2" xfId="9802"/>
    <cellStyle name="60% - Accent5 10 6" xfId="9803"/>
    <cellStyle name="60% - Accent5 10 8 2" xfId="9804"/>
    <cellStyle name="60% - Accent5 11 14" xfId="9805"/>
    <cellStyle name="60% - Accent5 11 6 2" xfId="9806"/>
    <cellStyle name="60% - Accent5 11 8 2 2" xfId="9807"/>
    <cellStyle name="60% - Accent5 12 14" xfId="9808"/>
    <cellStyle name="60% - Accent5 12 2" xfId="9809"/>
    <cellStyle name="60% - Accent5 13 2" xfId="9810"/>
    <cellStyle name="60% - Accent5 13 3" xfId="9811"/>
    <cellStyle name="60% - Accent5 13 5 2" xfId="9812"/>
    <cellStyle name="60% - Accent5 14" xfId="9813"/>
    <cellStyle name="60% - Accent5 15 2 2" xfId="9814"/>
    <cellStyle name="60% - Accent5 15 5 2 2" xfId="9815"/>
    <cellStyle name="60% - Accent5 16" xfId="9816"/>
    <cellStyle name="60% - Accent5 16 2 2 2" xfId="9817"/>
    <cellStyle name="60% - Accent5 16 3 2 2" xfId="9818"/>
    <cellStyle name="60% - Accent5 16 3 2 3" xfId="9819"/>
    <cellStyle name="60% - Accent5 16 9" xfId="9820"/>
    <cellStyle name="60% - Accent5 18 2 2 2" xfId="9821"/>
    <cellStyle name="60% - Accent5 2" xfId="252"/>
    <cellStyle name="60% - Accent5 2 15 2 2" xfId="9822"/>
    <cellStyle name="60% - Accent5 2 2" xfId="295"/>
    <cellStyle name="60% - Accent5 2 2 2" xfId="1557"/>
    <cellStyle name="60% - Accent5 2 2 3" xfId="1558"/>
    <cellStyle name="60% - Accent5 2 2 3 2" xfId="1559"/>
    <cellStyle name="60% - Accent5 2 3" xfId="1560"/>
    <cellStyle name="60% - Accent5 2 4" xfId="1561"/>
    <cellStyle name="60% - Accent5 2 5" xfId="1562"/>
    <cellStyle name="60% - Accent5 2 5 2" xfId="1563"/>
    <cellStyle name="60% - Accent5 2 6" xfId="1564"/>
    <cellStyle name="60% - Accent5 3" xfId="357"/>
    <cellStyle name="60% - Accent5 3 10" xfId="9823"/>
    <cellStyle name="60% - Accent5 3 12" xfId="9824"/>
    <cellStyle name="60% - Accent5 3 2" xfId="1565"/>
    <cellStyle name="60% - Accent5 3 2 2" xfId="1566"/>
    <cellStyle name="60% - Accent5 3 3" xfId="1567"/>
    <cellStyle name="60% - Accent5 3 4" xfId="1568"/>
    <cellStyle name="60% - Accent5 3 4 2" xfId="1569"/>
    <cellStyle name="60% - Accent5 3 7" xfId="9825"/>
    <cellStyle name="60% - Accent5 4" xfId="1570"/>
    <cellStyle name="60% - Accent5 4 10" xfId="9826"/>
    <cellStyle name="60% - Accent5 4 12" xfId="9827"/>
    <cellStyle name="60% - Accent5 4 16 2 3" xfId="9828"/>
    <cellStyle name="60% - Accent5 4 2" xfId="1571"/>
    <cellStyle name="60% - Accent5 4 3" xfId="1572"/>
    <cellStyle name="60% - Accent5 4 3 2" xfId="1573"/>
    <cellStyle name="60% - Accent5 4 3 2 2 2 2" xfId="9829"/>
    <cellStyle name="60% - Accent5 4 48" xfId="9830"/>
    <cellStyle name="60% - Accent5 5" xfId="1574"/>
    <cellStyle name="60% - Accent5 5 12" xfId="9831"/>
    <cellStyle name="60% - Accent5 5 13 2" xfId="9832"/>
    <cellStyle name="60% - Accent5 5 13 2 3" xfId="9833"/>
    <cellStyle name="60% - Accent5 5 14 2 2" xfId="9834"/>
    <cellStyle name="60% - Accent5 5 2 2 2 2 2" xfId="9835"/>
    <cellStyle name="60% - Accent5 5 6" xfId="9836"/>
    <cellStyle name="60% - Accent5 5 7" xfId="9837"/>
    <cellStyle name="60% - Accent5 5 8" xfId="9838"/>
    <cellStyle name="60% - Accent5 5 9" xfId="9839"/>
    <cellStyle name="60% - Accent5 6" xfId="1575"/>
    <cellStyle name="60% - Accent5 6 10" xfId="9840"/>
    <cellStyle name="60% - Accent5 6 12 2" xfId="9841"/>
    <cellStyle name="60% - Accent5 6 21" xfId="9842"/>
    <cellStyle name="60% - Accent5 6 4" xfId="9843"/>
    <cellStyle name="60% - Accent5 7" xfId="1576"/>
    <cellStyle name="60% - Accent5 7 19" xfId="9844"/>
    <cellStyle name="60% - Accent5 7 2" xfId="1577"/>
    <cellStyle name="60% - Accent5 7 6" xfId="9845"/>
    <cellStyle name="60% - Accent5 7 7" xfId="9846"/>
    <cellStyle name="60% - Accent5 8" xfId="1578"/>
    <cellStyle name="60% - Accent5 8 18" xfId="9847"/>
    <cellStyle name="60% - Accent5 8 2" xfId="1579"/>
    <cellStyle name="60% - Accent5 9 11 2 2" xfId="9848"/>
    <cellStyle name="60% - Accent5 9 17" xfId="9849"/>
    <cellStyle name="60% - Accent5 9 34" xfId="9850"/>
    <cellStyle name="60% - Accent5 9 9 2" xfId="9851"/>
    <cellStyle name="60% - Accent5 9 9 2 3" xfId="9852"/>
    <cellStyle name="60% - Accent6" xfId="21"/>
    <cellStyle name="60% - Accent6 10" xfId="9853"/>
    <cellStyle name="60% - Accent6 10 16" xfId="9854"/>
    <cellStyle name="60% - Accent6 10 5" xfId="9855"/>
    <cellStyle name="60% - Accent6 10 8 2" xfId="9856"/>
    <cellStyle name="60% - Accent6 11 14" xfId="9857"/>
    <cellStyle name="60% - Accent6 11 5" xfId="9858"/>
    <cellStyle name="60% - Accent6 12 6 2" xfId="9859"/>
    <cellStyle name="60% - Accent6 12 8 2 3" xfId="9860"/>
    <cellStyle name="60% - Accent6 13 13" xfId="9861"/>
    <cellStyle name="60% - Accent6 14" xfId="9862"/>
    <cellStyle name="60% - Accent6 14 4 2" xfId="9863"/>
    <cellStyle name="60% - Accent6 15 2 2" xfId="9864"/>
    <cellStyle name="60% - Accent6 15 3 2 2" xfId="9865"/>
    <cellStyle name="60% - Accent6 15 4 2 2" xfId="9866"/>
    <cellStyle name="60% - Accent6 16 2 2 2" xfId="9867"/>
    <cellStyle name="60% - Accent6 16 4 2 2" xfId="9868"/>
    <cellStyle name="60% - Accent6 17 3 2 2" xfId="9869"/>
    <cellStyle name="60% - Accent6 2" xfId="253"/>
    <cellStyle name="60% - Accent6 2 13" xfId="9870"/>
    <cellStyle name="60% - Accent6 2 14 2" xfId="9871"/>
    <cellStyle name="60% - Accent6 2 14 2 3" xfId="9872"/>
    <cellStyle name="60% - Accent6 2 15 2 2" xfId="9873"/>
    <cellStyle name="60% - Accent6 2 2" xfId="296"/>
    <cellStyle name="60% - Accent6 2 2 2" xfId="1580"/>
    <cellStyle name="60% - Accent6 2 2 2 2 2 2" xfId="9874"/>
    <cellStyle name="60% - Accent6 2 2 3" xfId="1581"/>
    <cellStyle name="60% - Accent6 2 2 3 2" xfId="1582"/>
    <cellStyle name="60% - Accent6 2 3" xfId="1583"/>
    <cellStyle name="60% - Accent6 2 3 2 2 2 2" xfId="9875"/>
    <cellStyle name="60% - Accent6 2 4" xfId="1584"/>
    <cellStyle name="60% - Accent6 2 5" xfId="1585"/>
    <cellStyle name="60% - Accent6 2 5 2" xfId="1586"/>
    <cellStyle name="60% - Accent6 2 6" xfId="1587"/>
    <cellStyle name="60% - Accent6 2 7" xfId="9876"/>
    <cellStyle name="60% - Accent6 2 8" xfId="9877"/>
    <cellStyle name="60% - Accent6 26" xfId="9878"/>
    <cellStyle name="60% - Accent6 3" xfId="358"/>
    <cellStyle name="60% - Accent6 3 14 2" xfId="9879"/>
    <cellStyle name="60% - Accent6 3 17 2 2" xfId="9880"/>
    <cellStyle name="60% - Accent6 3 2" xfId="1588"/>
    <cellStyle name="60% - Accent6 3 2 2" xfId="1589"/>
    <cellStyle name="60% - Accent6 3 2 2 2 2 2" xfId="9881"/>
    <cellStyle name="60% - Accent6 3 3" xfId="1590"/>
    <cellStyle name="60% - Accent6 3 3 2 2 2 2" xfId="9882"/>
    <cellStyle name="60% - Accent6 3 4" xfId="1591"/>
    <cellStyle name="60% - Accent6 3 4 2" xfId="1592"/>
    <cellStyle name="60% - Accent6 4" xfId="1593"/>
    <cellStyle name="60% - Accent6 4 14 2" xfId="9883"/>
    <cellStyle name="60% - Accent6 4 15 2 2" xfId="9884"/>
    <cellStyle name="60% - Accent6 4 2" xfId="1594"/>
    <cellStyle name="60% - Accent6 4 2 2 2 2 2" xfId="9885"/>
    <cellStyle name="60% - Accent6 4 3" xfId="1595"/>
    <cellStyle name="60% - Accent6 4 3 2" xfId="1596"/>
    <cellStyle name="60% - Accent6 4 3 2 2 2 2" xfId="9886"/>
    <cellStyle name="60% - Accent6 4 7" xfId="9887"/>
    <cellStyle name="60% - Accent6 5" xfId="1597"/>
    <cellStyle name="60% - Accent6 5 13 2" xfId="9888"/>
    <cellStyle name="60% - Accent6 5 2 2 2 2 2" xfId="9889"/>
    <cellStyle name="60% - Accent6 5 6" xfId="9890"/>
    <cellStyle name="60% - Accent6 5 9" xfId="9891"/>
    <cellStyle name="60% - Accent6 6" xfId="1598"/>
    <cellStyle name="60% - Accent6 6 11" xfId="9892"/>
    <cellStyle name="60% - Accent6 6 12 2" xfId="9893"/>
    <cellStyle name="60% - Accent6 6 13 2 2" xfId="9894"/>
    <cellStyle name="60% - Accent6 6 14 2 2" xfId="9895"/>
    <cellStyle name="60% - Accent6 6 21" xfId="9896"/>
    <cellStyle name="60% - Accent6 6 7" xfId="9897"/>
    <cellStyle name="60% - Accent6 7" xfId="1599"/>
    <cellStyle name="60% - Accent6 7 11 2" xfId="9898"/>
    <cellStyle name="60% - Accent6 7 2" xfId="1600"/>
    <cellStyle name="60% - Accent6 7 6" xfId="9899"/>
    <cellStyle name="60% - Accent6 7 8" xfId="9900"/>
    <cellStyle name="60% - Accent6 7 9" xfId="9901"/>
    <cellStyle name="60% - Accent6 8" xfId="1601"/>
    <cellStyle name="60% - Accent6 8 10 2" xfId="9902"/>
    <cellStyle name="60% - Accent6 8 2" xfId="1602"/>
    <cellStyle name="60% - Accent6 8 9" xfId="9903"/>
    <cellStyle name="60% - Accent6 9 5" xfId="9904"/>
    <cellStyle name="60% - Accent6 9 7" xfId="9905"/>
    <cellStyle name="60% - Accent6 9 9 2" xfId="9906"/>
    <cellStyle name="60% - Ênfase1 2" xfId="159"/>
    <cellStyle name="60% - Ênfase2 2" xfId="160"/>
    <cellStyle name="60% - Ênfase3 2" xfId="161"/>
    <cellStyle name="60% - Ênfase4 2" xfId="162"/>
    <cellStyle name="60% - Ênfase5 2" xfId="163"/>
    <cellStyle name="60% - Ênfase6 2" xfId="164"/>
    <cellStyle name="Accent1" xfId="22"/>
    <cellStyle name="Accent1 10 2" xfId="9907"/>
    <cellStyle name="Accent1 10 5" xfId="9908"/>
    <cellStyle name="Accent1 10 8 2" xfId="9909"/>
    <cellStyle name="Accent1 11 14" xfId="9910"/>
    <cellStyle name="Accent1 11 3" xfId="9911"/>
    <cellStyle name="Accent1 11 6 2" xfId="9912"/>
    <cellStyle name="Accent1 11 8 2 2" xfId="9913"/>
    <cellStyle name="Accent1 12 14" xfId="9914"/>
    <cellStyle name="Accent1 12 3" xfId="9915"/>
    <cellStyle name="Accent1 13 13" xfId="9916"/>
    <cellStyle name="Accent1 13 5 2" xfId="9917"/>
    <cellStyle name="Accent1 13 5 2 3" xfId="9918"/>
    <cellStyle name="Accent1 13 5 2 4" xfId="9919"/>
    <cellStyle name="Accent1 13 8 2 2" xfId="9920"/>
    <cellStyle name="Accent1 14 2" xfId="9921"/>
    <cellStyle name="Accent1 14 4 2" xfId="9922"/>
    <cellStyle name="Accent1 14 4 2 3" xfId="9923"/>
    <cellStyle name="Accent1 14 5 2 2" xfId="9924"/>
    <cellStyle name="Accent1 14 6 2 2" xfId="9925"/>
    <cellStyle name="Accent1 15 3 2" xfId="9926"/>
    <cellStyle name="Accent1 15 6 2 2" xfId="9927"/>
    <cellStyle name="Accent1 16" xfId="9928"/>
    <cellStyle name="Accent1 16 2 2" xfId="9929"/>
    <cellStyle name="Accent1 16 2 2 3" xfId="9930"/>
    <cellStyle name="Accent1 16 3 2 2" xfId="9931"/>
    <cellStyle name="Accent1 16 3 2 3" xfId="9932"/>
    <cellStyle name="Accent1 18 2 2 2" xfId="9933"/>
    <cellStyle name="Accent1 2" xfId="254"/>
    <cellStyle name="Accent1 2 10" xfId="9934"/>
    <cellStyle name="Accent1 2 16 2 3" xfId="9935"/>
    <cellStyle name="Accent1 2 2" xfId="297"/>
    <cellStyle name="Accent1 2 2 2" xfId="1603"/>
    <cellStyle name="Accent1 2 2 2 2 2 2" xfId="9936"/>
    <cellStyle name="Accent1 2 2 3" xfId="1604"/>
    <cellStyle name="Accent1 2 2 3 2" xfId="1605"/>
    <cellStyle name="Accent1 2 3" xfId="1606"/>
    <cellStyle name="Accent1 2 3 2 2 2 2" xfId="9937"/>
    <cellStyle name="Accent1 2 4" xfId="1607"/>
    <cellStyle name="Accent1 2 5" xfId="1608"/>
    <cellStyle name="Accent1 2 5 2" xfId="1609"/>
    <cellStyle name="Accent1 2 6" xfId="1610"/>
    <cellStyle name="Accent1 2 8" xfId="9938"/>
    <cellStyle name="Accent1 2 9" xfId="9939"/>
    <cellStyle name="Accent1 27" xfId="9940"/>
    <cellStyle name="Accent1 3" xfId="359"/>
    <cellStyle name="Accent1 3 11" xfId="9941"/>
    <cellStyle name="Accent1 3 12" xfId="9942"/>
    <cellStyle name="Accent1 3 13" xfId="9943"/>
    <cellStyle name="Accent1 3 14 2" xfId="9944"/>
    <cellStyle name="Accent1 3 16 2 3" xfId="9945"/>
    <cellStyle name="Accent1 3 2" xfId="1611"/>
    <cellStyle name="Accent1 3 2 2" xfId="1612"/>
    <cellStyle name="Accent1 3 2 2 2 2 2" xfId="9946"/>
    <cellStyle name="Accent1 3 3" xfId="1613"/>
    <cellStyle name="Accent1 3 3 2 2 2 2" xfId="9947"/>
    <cellStyle name="Accent1 3 4" xfId="1614"/>
    <cellStyle name="Accent1 3 4 2" xfId="1615"/>
    <cellStyle name="Accent1 3 7" xfId="9948"/>
    <cellStyle name="Accent1 4" xfId="1616"/>
    <cellStyle name="Accent1 4 10" xfId="9949"/>
    <cellStyle name="Accent1 4 13" xfId="9950"/>
    <cellStyle name="Accent1 4 14 2" xfId="9951"/>
    <cellStyle name="Accent1 4 14 2 3" xfId="9952"/>
    <cellStyle name="Accent1 4 14 2 4" xfId="9953"/>
    <cellStyle name="Accent1 4 17 2 2" xfId="9954"/>
    <cellStyle name="Accent1 4 2" xfId="1617"/>
    <cellStyle name="Accent1 4 2 2 2 2 2" xfId="9955"/>
    <cellStyle name="Accent1 4 3" xfId="1618"/>
    <cellStyle name="Accent1 4 3 2" xfId="1619"/>
    <cellStyle name="Accent1 4 3 2 2 2 2" xfId="9956"/>
    <cellStyle name="Accent1 5" xfId="1620"/>
    <cellStyle name="Accent1 5 11" xfId="9957"/>
    <cellStyle name="Accent1 5 13 2" xfId="9958"/>
    <cellStyle name="Accent1 5 2 2 2 2 2" xfId="9959"/>
    <cellStyle name="Accent1 6" xfId="1621"/>
    <cellStyle name="Accent1 6 11" xfId="9960"/>
    <cellStyle name="Accent1 6 12 2" xfId="9961"/>
    <cellStyle name="Accent1 6 12 2 3" xfId="9962"/>
    <cellStyle name="Accent1 6 13 2 2" xfId="9963"/>
    <cellStyle name="Accent1 6 14 2 2" xfId="9964"/>
    <cellStyle name="Accent1 6 21" xfId="9965"/>
    <cellStyle name="Accent1 6 8" xfId="9966"/>
    <cellStyle name="Accent1 7" xfId="1622"/>
    <cellStyle name="Accent1 7 10" xfId="9967"/>
    <cellStyle name="Accent1 7 19" xfId="9968"/>
    <cellStyle name="Accent1 7 2" xfId="1623"/>
    <cellStyle name="Accent1 8" xfId="1624"/>
    <cellStyle name="Accent1 8 10 2" xfId="9969"/>
    <cellStyle name="Accent1 8 2" xfId="1625"/>
    <cellStyle name="Accent1 8 8" xfId="9970"/>
    <cellStyle name="Accent1 8 9" xfId="9971"/>
    <cellStyle name="Accent1 9 11 2 2" xfId="9972"/>
    <cellStyle name="Accent1 9 3" xfId="9973"/>
    <cellStyle name="Accent1 9 4" xfId="9974"/>
    <cellStyle name="Accent1 9 6" xfId="9975"/>
    <cellStyle name="Accent1 9 7" xfId="9976"/>
    <cellStyle name="Accent1 9 8" xfId="9977"/>
    <cellStyle name="Accent2" xfId="23"/>
    <cellStyle name="Accent2 10 16" xfId="9978"/>
    <cellStyle name="Accent2 10 2" xfId="9979"/>
    <cellStyle name="Accent2 10 5" xfId="9980"/>
    <cellStyle name="Accent2 10 6" xfId="9981"/>
    <cellStyle name="Accent2 10 8 2" xfId="9982"/>
    <cellStyle name="Accent2 11 14" xfId="9983"/>
    <cellStyle name="Accent2 11 4" xfId="9984"/>
    <cellStyle name="Accent2 11 5" xfId="9985"/>
    <cellStyle name="Accent2 11 6 2" xfId="9986"/>
    <cellStyle name="Accent2 11 7 2 2" xfId="9987"/>
    <cellStyle name="Accent2 11 8 2 2" xfId="9988"/>
    <cellStyle name="Accent2 12 14" xfId="9989"/>
    <cellStyle name="Accent2 12 5" xfId="9990"/>
    <cellStyle name="Accent2 12 6 2" xfId="9991"/>
    <cellStyle name="Accent2 12 8 2 2" xfId="9992"/>
    <cellStyle name="Accent2 13 13" xfId="9993"/>
    <cellStyle name="Accent2 13 3" xfId="9994"/>
    <cellStyle name="Accent2 13 4" xfId="9995"/>
    <cellStyle name="Accent2 13 5 2" xfId="9996"/>
    <cellStyle name="Accent2 13 5 2 4" xfId="9997"/>
    <cellStyle name="Accent2 13 8 2 2" xfId="9998"/>
    <cellStyle name="Accent2 14 2" xfId="9999"/>
    <cellStyle name="Accent2 14 3" xfId="10000"/>
    <cellStyle name="Accent2 14 4 2 3" xfId="10001"/>
    <cellStyle name="Accent2 14 5 2 2" xfId="10002"/>
    <cellStyle name="Accent2 14 6 2 2" xfId="10003"/>
    <cellStyle name="Accent2 15 2" xfId="10004"/>
    <cellStyle name="Accent2 15 3 2" xfId="10005"/>
    <cellStyle name="Accent2 15 6 2 2" xfId="10006"/>
    <cellStyle name="Accent2 16 2 2" xfId="10007"/>
    <cellStyle name="Accent2 16 3 2 2" xfId="10008"/>
    <cellStyle name="Accent2 16 4 2 2" xfId="10009"/>
    <cellStyle name="Accent2 18" xfId="10010"/>
    <cellStyle name="Accent2 18 2 2 2" xfId="10011"/>
    <cellStyle name="Accent2 18 2 2 3" xfId="10012"/>
    <cellStyle name="Accent2 2" xfId="255"/>
    <cellStyle name="Accent2 2 15 2 2" xfId="10013"/>
    <cellStyle name="Accent2 2 16 2 2" xfId="10014"/>
    <cellStyle name="Accent2 2 2" xfId="298"/>
    <cellStyle name="Accent2 2 2 2" xfId="1626"/>
    <cellStyle name="Accent2 2 2 2 2 2 2" xfId="10015"/>
    <cellStyle name="Accent2 2 2 3" xfId="1627"/>
    <cellStyle name="Accent2 2 2 3 2" xfId="1628"/>
    <cellStyle name="Accent2 2 3" xfId="1629"/>
    <cellStyle name="Accent2 2 3 2 2 2 2" xfId="10016"/>
    <cellStyle name="Accent2 2 4" xfId="1630"/>
    <cellStyle name="Accent2 2 5" xfId="1631"/>
    <cellStyle name="Accent2 2 5 2" xfId="1632"/>
    <cellStyle name="Accent2 2 6" xfId="1633"/>
    <cellStyle name="Accent2 2 7" xfId="10017"/>
    <cellStyle name="Accent2 3" xfId="360"/>
    <cellStyle name="Accent2 3 11" xfId="10018"/>
    <cellStyle name="Accent2 3 12" xfId="10019"/>
    <cellStyle name="Accent2 3 13" xfId="10020"/>
    <cellStyle name="Accent2 3 2" xfId="1634"/>
    <cellStyle name="Accent2 3 2 2" xfId="1635"/>
    <cellStyle name="Accent2 3 2 2 2 2 2" xfId="10021"/>
    <cellStyle name="Accent2 3 3" xfId="1636"/>
    <cellStyle name="Accent2 3 3 2 2 2 2" xfId="10022"/>
    <cellStyle name="Accent2 3 4" xfId="1637"/>
    <cellStyle name="Accent2 3 4 2" xfId="1638"/>
    <cellStyle name="Accent2 35" xfId="10023"/>
    <cellStyle name="Accent2 4" xfId="1639"/>
    <cellStyle name="Accent2 4 12" xfId="10024"/>
    <cellStyle name="Accent2 4 13" xfId="10025"/>
    <cellStyle name="Accent2 4 14 2" xfId="10026"/>
    <cellStyle name="Accent2 4 16 2 3" xfId="10027"/>
    <cellStyle name="Accent2 4 2" xfId="1640"/>
    <cellStyle name="Accent2 4 2 2 2 2 2" xfId="10028"/>
    <cellStyle name="Accent2 4 3" xfId="1641"/>
    <cellStyle name="Accent2 4 3 2" xfId="1642"/>
    <cellStyle name="Accent2 4 3 2 2 2 2" xfId="10029"/>
    <cellStyle name="Accent2 5" xfId="1643"/>
    <cellStyle name="Accent2 5 11" xfId="10030"/>
    <cellStyle name="Accent2 5 12" xfId="10031"/>
    <cellStyle name="Accent2 5 13 2" xfId="10032"/>
    <cellStyle name="Accent2 5 15 2 2" xfId="10033"/>
    <cellStyle name="Accent2 5 15 2 3" xfId="10034"/>
    <cellStyle name="Accent2 5 2 2 2 2 2" xfId="10035"/>
    <cellStyle name="Accent2 5 45" xfId="10036"/>
    <cellStyle name="Accent2 5 6" xfId="10037"/>
    <cellStyle name="Accent2 5 8" xfId="10038"/>
    <cellStyle name="Accent2 6" xfId="1644"/>
    <cellStyle name="Accent2 6 11" xfId="10039"/>
    <cellStyle name="Accent2 6 12 2" xfId="10040"/>
    <cellStyle name="Accent2 6 12 2 3" xfId="10041"/>
    <cellStyle name="Accent2 6 13 2 2" xfId="10042"/>
    <cellStyle name="Accent2 6 14 2 2" xfId="10043"/>
    <cellStyle name="Accent2 6 21" xfId="10044"/>
    <cellStyle name="Accent2 7" xfId="1645"/>
    <cellStyle name="Accent2 7 10" xfId="10045"/>
    <cellStyle name="Accent2 7 11 2" xfId="10046"/>
    <cellStyle name="Accent2 7 19" xfId="10047"/>
    <cellStyle name="Accent2 7 2" xfId="1646"/>
    <cellStyle name="Accent2 7 6" xfId="10048"/>
    <cellStyle name="Accent2 7 9" xfId="10049"/>
    <cellStyle name="Accent2 8" xfId="1647"/>
    <cellStyle name="Accent2 8 10 2" xfId="10050"/>
    <cellStyle name="Accent2 8 18" xfId="10051"/>
    <cellStyle name="Accent2 8 2" xfId="1648"/>
    <cellStyle name="Accent2 8 9" xfId="10052"/>
    <cellStyle name="Accent2 9 10 2 2" xfId="10053"/>
    <cellStyle name="Accent2 9 17" xfId="10054"/>
    <cellStyle name="Accent2 9 7" xfId="10055"/>
    <cellStyle name="Accent2 9 8" xfId="10056"/>
    <cellStyle name="Accent2 9 9 2" xfId="10057"/>
    <cellStyle name="Accent3" xfId="24"/>
    <cellStyle name="Accent3 10 16" xfId="10058"/>
    <cellStyle name="Accent3 10 2" xfId="10059"/>
    <cellStyle name="Accent3 10 5" xfId="10060"/>
    <cellStyle name="Accent3 10 6" xfId="10061"/>
    <cellStyle name="Accent3 10 7" xfId="10062"/>
    <cellStyle name="Accent3 10 8 2" xfId="10063"/>
    <cellStyle name="Accent3 10 9 2 2" xfId="10064"/>
    <cellStyle name="Accent3 11 14" xfId="10065"/>
    <cellStyle name="Accent3 11 2" xfId="10066"/>
    <cellStyle name="Accent3 11 3" xfId="10067"/>
    <cellStyle name="Accent3 11 4" xfId="10068"/>
    <cellStyle name="Accent3 11 5" xfId="10069"/>
    <cellStyle name="Accent3 11 6 2" xfId="10070"/>
    <cellStyle name="Accent3 11 7 2 2" xfId="10071"/>
    <cellStyle name="Accent3 11 8 2 2" xfId="10072"/>
    <cellStyle name="Accent3 12 14" xfId="10073"/>
    <cellStyle name="Accent3 12 3" xfId="10074"/>
    <cellStyle name="Accent3 12 4" xfId="10075"/>
    <cellStyle name="Accent3 12 5" xfId="10076"/>
    <cellStyle name="Accent3 12 6 2" xfId="10077"/>
    <cellStyle name="Accent3 12 7 2 2" xfId="10078"/>
    <cellStyle name="Accent3 12 8 2 2" xfId="10079"/>
    <cellStyle name="Accent3 13 13" xfId="10080"/>
    <cellStyle name="Accent3 13 3" xfId="10081"/>
    <cellStyle name="Accent3 13 4" xfId="10082"/>
    <cellStyle name="Accent3 13 5 2" xfId="10083"/>
    <cellStyle name="Accent3 14 2" xfId="10084"/>
    <cellStyle name="Accent3 14 3" xfId="10085"/>
    <cellStyle name="Accent3 14 4 2" xfId="10086"/>
    <cellStyle name="Accent3 14 4 2 3" xfId="10087"/>
    <cellStyle name="Accent3 14 5 2 2" xfId="10088"/>
    <cellStyle name="Accent3 15 2" xfId="10089"/>
    <cellStyle name="Accent3 15 3 2" xfId="10090"/>
    <cellStyle name="Accent3 16 2 2" xfId="10091"/>
    <cellStyle name="Accent3 16 3 2 2" xfId="10092"/>
    <cellStyle name="Accent3 16 4 2 2" xfId="10093"/>
    <cellStyle name="Accent3 18" xfId="10094"/>
    <cellStyle name="Accent3 18 2 2 2" xfId="10095"/>
    <cellStyle name="Accent3 2" xfId="256"/>
    <cellStyle name="Accent3 2 14" xfId="10096"/>
    <cellStyle name="Accent3 2 15 2 2" xfId="10097"/>
    <cellStyle name="Accent3 2 16 2 2" xfId="10098"/>
    <cellStyle name="Accent3 2 2" xfId="299"/>
    <cellStyle name="Accent3 2 2 2" xfId="1649"/>
    <cellStyle name="Accent3 2 2 2 2 2 2" xfId="10099"/>
    <cellStyle name="Accent3 2 2 3" xfId="1650"/>
    <cellStyle name="Accent3 2 2 3 2" xfId="1651"/>
    <cellStyle name="Accent3 2 3" xfId="1652"/>
    <cellStyle name="Accent3 2 3 2 2 2 2" xfId="10100"/>
    <cellStyle name="Accent3 2 4" xfId="1653"/>
    <cellStyle name="Accent3 2 5" xfId="1654"/>
    <cellStyle name="Accent3 2 5 2" xfId="1655"/>
    <cellStyle name="Accent3 2 6" xfId="1656"/>
    <cellStyle name="Accent3 2 7" xfId="10101"/>
    <cellStyle name="Accent3 3" xfId="361"/>
    <cellStyle name="Accent3 3 11" xfId="10102"/>
    <cellStyle name="Accent3 3 12" xfId="10103"/>
    <cellStyle name="Accent3 3 13" xfId="10104"/>
    <cellStyle name="Accent3 3 14 2" xfId="10105"/>
    <cellStyle name="Accent3 3 2" xfId="1657"/>
    <cellStyle name="Accent3 3 2 2" xfId="1658"/>
    <cellStyle name="Accent3 3 2 2 2 2 2" xfId="10106"/>
    <cellStyle name="Accent3 3 3" xfId="1659"/>
    <cellStyle name="Accent3 3 3 2 2 2 2" xfId="10107"/>
    <cellStyle name="Accent3 3 4" xfId="1660"/>
    <cellStyle name="Accent3 3 4 2" xfId="1661"/>
    <cellStyle name="Accent3 3 7" xfId="10108"/>
    <cellStyle name="Accent3 3 8" xfId="10109"/>
    <cellStyle name="Accent3 3 9" xfId="10110"/>
    <cellStyle name="Accent3 4" xfId="1662"/>
    <cellStyle name="Accent3 4 12" xfId="10111"/>
    <cellStyle name="Accent3 4 13" xfId="10112"/>
    <cellStyle name="Accent3 4 2" xfId="1663"/>
    <cellStyle name="Accent3 4 2 2 2 2 2" xfId="10113"/>
    <cellStyle name="Accent3 4 3" xfId="1664"/>
    <cellStyle name="Accent3 4 3 2" xfId="1665"/>
    <cellStyle name="Accent3 4 3 2 2 2 2" xfId="10114"/>
    <cellStyle name="Accent3 5" xfId="1666"/>
    <cellStyle name="Accent3 5 10" xfId="10115"/>
    <cellStyle name="Accent3 5 11" xfId="10116"/>
    <cellStyle name="Accent3 5 12" xfId="10117"/>
    <cellStyle name="Accent3 5 13 2" xfId="10118"/>
    <cellStyle name="Accent3 5 14 2 2" xfId="10119"/>
    <cellStyle name="Accent3 5 15 2 2" xfId="10120"/>
    <cellStyle name="Accent3 5 2 2 2 2 2" xfId="10121"/>
    <cellStyle name="Accent3 5 6" xfId="10122"/>
    <cellStyle name="Accent3 6" xfId="1667"/>
    <cellStyle name="Accent3 6 10" xfId="10123"/>
    <cellStyle name="Accent3 6 11" xfId="10124"/>
    <cellStyle name="Accent3 6 12 2 3" xfId="10125"/>
    <cellStyle name="Accent3 6 13 2 2" xfId="10126"/>
    <cellStyle name="Accent3 6 14 2 2" xfId="10127"/>
    <cellStyle name="Accent3 6 21" xfId="10128"/>
    <cellStyle name="Accent3 7" xfId="1668"/>
    <cellStyle name="Accent3 7 11 2" xfId="10129"/>
    <cellStyle name="Accent3 7 19" xfId="10130"/>
    <cellStyle name="Accent3 7 2" xfId="1669"/>
    <cellStyle name="Accent3 7 8" xfId="10131"/>
    <cellStyle name="Accent3 7 9" xfId="10132"/>
    <cellStyle name="Accent3 8" xfId="1670"/>
    <cellStyle name="Accent3 8 10 2" xfId="10133"/>
    <cellStyle name="Accent3 8 18" xfId="10134"/>
    <cellStyle name="Accent3 8 2" xfId="1671"/>
    <cellStyle name="Accent3 8 5" xfId="10135"/>
    <cellStyle name="Accent3 8 6" xfId="10136"/>
    <cellStyle name="Accent3 8 8" xfId="10137"/>
    <cellStyle name="Accent3 8 9" xfId="10138"/>
    <cellStyle name="Accent3 9 3" xfId="10139"/>
    <cellStyle name="Accent3 9 5" xfId="10140"/>
    <cellStyle name="Accent3 9 7" xfId="10141"/>
    <cellStyle name="Accent3 9 8" xfId="10142"/>
    <cellStyle name="Accent3 9 9 2" xfId="10143"/>
    <cellStyle name="Accent4" xfId="25"/>
    <cellStyle name="Accent4 10 10 2 2" xfId="10144"/>
    <cellStyle name="Accent4 10 16" xfId="10145"/>
    <cellStyle name="Accent4 10 2" xfId="10146"/>
    <cellStyle name="Accent4 10 6" xfId="10147"/>
    <cellStyle name="Accent4 10 7" xfId="10148"/>
    <cellStyle name="Accent4 10 8 2" xfId="10149"/>
    <cellStyle name="Accent4 10 8 2 3" xfId="10150"/>
    <cellStyle name="Accent4 10 9 2 2" xfId="10151"/>
    <cellStyle name="Accent4 11 5" xfId="10152"/>
    <cellStyle name="Accent4 11 6 2" xfId="10153"/>
    <cellStyle name="Accent4 11 6 2 3" xfId="10154"/>
    <cellStyle name="Accent4 11 7 2 2" xfId="10155"/>
    <cellStyle name="Accent4 11 8 2 2" xfId="10156"/>
    <cellStyle name="Accent4 12 14" xfId="10157"/>
    <cellStyle name="Accent4 12 3" xfId="10158"/>
    <cellStyle name="Accent4 12 4" xfId="10159"/>
    <cellStyle name="Accent4 12 5" xfId="10160"/>
    <cellStyle name="Accent4 12 6 2" xfId="10161"/>
    <cellStyle name="Accent4 12 6 2 3" xfId="10162"/>
    <cellStyle name="Accent4 12 7 2 2" xfId="10163"/>
    <cellStyle name="Accent4 13 13" xfId="10164"/>
    <cellStyle name="Accent4 13 2" xfId="10165"/>
    <cellStyle name="Accent4 13 3" xfId="10166"/>
    <cellStyle name="Accent4 13 4" xfId="10167"/>
    <cellStyle name="Accent4 13 5 2" xfId="10168"/>
    <cellStyle name="Accent4 14" xfId="10169"/>
    <cellStyle name="Accent4 14 3" xfId="10170"/>
    <cellStyle name="Accent4 14 4 2" xfId="10171"/>
    <cellStyle name="Accent4 14 4 2 3" xfId="10172"/>
    <cellStyle name="Accent4 15" xfId="10173"/>
    <cellStyle name="Accent4 15 2" xfId="10174"/>
    <cellStyle name="Accent4 15 3 2" xfId="10175"/>
    <cellStyle name="Accent4 16 2 2 3" xfId="10176"/>
    <cellStyle name="Accent4 16 3 2 2" xfId="10177"/>
    <cellStyle name="Accent4 18" xfId="10178"/>
    <cellStyle name="Accent4 18 2 2 2" xfId="10179"/>
    <cellStyle name="Accent4 2" xfId="257"/>
    <cellStyle name="Accent4 2 11" xfId="10180"/>
    <cellStyle name="Accent4 2 15 2 2" xfId="10181"/>
    <cellStyle name="Accent4 2 16 2 2" xfId="10182"/>
    <cellStyle name="Accent4 2 2" xfId="300"/>
    <cellStyle name="Accent4 2 2 2" xfId="1672"/>
    <cellStyle name="Accent4 2 2 2 2 2 2" xfId="10183"/>
    <cellStyle name="Accent4 2 2 3" xfId="1673"/>
    <cellStyle name="Accent4 2 2 3 2" xfId="1674"/>
    <cellStyle name="Accent4 2 3" xfId="1675"/>
    <cellStyle name="Accent4 2 3 2 2 2 2" xfId="10184"/>
    <cellStyle name="Accent4 2 4" xfId="1676"/>
    <cellStyle name="Accent4 2 5" xfId="1677"/>
    <cellStyle name="Accent4 2 5 2" xfId="1678"/>
    <cellStyle name="Accent4 2 6" xfId="1679"/>
    <cellStyle name="Accent4 2 7" xfId="10185"/>
    <cellStyle name="Accent4 2 8" xfId="10186"/>
    <cellStyle name="Accent4 2 9" xfId="10187"/>
    <cellStyle name="Accent4 3" xfId="362"/>
    <cellStyle name="Accent4 3 10" xfId="10188"/>
    <cellStyle name="Accent4 3 13" xfId="10189"/>
    <cellStyle name="Accent4 3 14 2" xfId="10190"/>
    <cellStyle name="Accent4 3 16 2 2" xfId="10191"/>
    <cellStyle name="Accent4 3 2" xfId="1680"/>
    <cellStyle name="Accent4 3 2 2" xfId="1681"/>
    <cellStyle name="Accent4 3 2 2 2 2 2" xfId="10192"/>
    <cellStyle name="Accent4 3 3" xfId="1682"/>
    <cellStyle name="Accent4 3 3 2 2 2 2" xfId="10193"/>
    <cellStyle name="Accent4 3 4" xfId="1683"/>
    <cellStyle name="Accent4 3 4 2" xfId="1684"/>
    <cellStyle name="Accent4 3 7" xfId="10194"/>
    <cellStyle name="Accent4 3 8" xfId="10195"/>
    <cellStyle name="Accent4 4" xfId="1685"/>
    <cellStyle name="Accent4 4 12" xfId="10196"/>
    <cellStyle name="Accent4 4 13" xfId="10197"/>
    <cellStyle name="Accent4 4 2" xfId="1686"/>
    <cellStyle name="Accent4 4 2 2 2 2 2" xfId="10198"/>
    <cellStyle name="Accent4 4 3" xfId="1687"/>
    <cellStyle name="Accent4 4 3 2" xfId="1688"/>
    <cellStyle name="Accent4 4 3 2 2 2 2" xfId="10199"/>
    <cellStyle name="Accent4 4 48" xfId="10200"/>
    <cellStyle name="Accent4 4 7" xfId="10201"/>
    <cellStyle name="Accent4 4 8" xfId="10202"/>
    <cellStyle name="Accent4 5" xfId="1689"/>
    <cellStyle name="Accent4 5 12" xfId="10203"/>
    <cellStyle name="Accent4 5 2 2 2 2 2" xfId="10204"/>
    <cellStyle name="Accent4 5 6" xfId="10205"/>
    <cellStyle name="Accent4 6" xfId="1690"/>
    <cellStyle name="Accent4 6 11" xfId="10206"/>
    <cellStyle name="Accent4 7" xfId="1691"/>
    <cellStyle name="Accent4 7 10" xfId="10207"/>
    <cellStyle name="Accent4 7 2" xfId="1692"/>
    <cellStyle name="Accent4 7 8" xfId="10208"/>
    <cellStyle name="Accent4 7 9" xfId="10209"/>
    <cellStyle name="Accent4 8" xfId="1693"/>
    <cellStyle name="Accent4 8 2" xfId="1694"/>
    <cellStyle name="Accent4 8 5" xfId="10210"/>
    <cellStyle name="Accent4 8 8" xfId="10211"/>
    <cellStyle name="Accent4 8 9" xfId="10212"/>
    <cellStyle name="Accent4 9 4" xfId="10213"/>
    <cellStyle name="Accent4 9 7" xfId="10214"/>
    <cellStyle name="Accent4 9 8" xfId="10215"/>
    <cellStyle name="Accent5" xfId="26"/>
    <cellStyle name="Accent5 10 2" xfId="10216"/>
    <cellStyle name="Accent5 10 5" xfId="10217"/>
    <cellStyle name="Accent5 10 6" xfId="10218"/>
    <cellStyle name="Accent5 11 3" xfId="10219"/>
    <cellStyle name="Accent5 11 4" xfId="10220"/>
    <cellStyle name="Accent5 11 5" xfId="10221"/>
    <cellStyle name="Accent5 12" xfId="10222"/>
    <cellStyle name="Accent5 12 4" xfId="10223"/>
    <cellStyle name="Accent5 12 5" xfId="10224"/>
    <cellStyle name="Accent5 13" xfId="10225"/>
    <cellStyle name="Accent5 13 3" xfId="10226"/>
    <cellStyle name="Accent5 14 2" xfId="10227"/>
    <cellStyle name="Accent5 14 3" xfId="10228"/>
    <cellStyle name="Accent5 15 2" xfId="10229"/>
    <cellStyle name="Accent5 15 7 2" xfId="10230"/>
    <cellStyle name="Accent5 17" xfId="10231"/>
    <cellStyle name="Accent5 18" xfId="10232"/>
    <cellStyle name="Accent5 2" xfId="258"/>
    <cellStyle name="Accent5 2 13" xfId="10233"/>
    <cellStyle name="Accent5 2 14" xfId="10234"/>
    <cellStyle name="Accent5 2 2" xfId="301"/>
    <cellStyle name="Accent5 2 2 2" xfId="1695"/>
    <cellStyle name="Accent5 2 2 2 2 2 2" xfId="10235"/>
    <cellStyle name="Accent5 2 2 3" xfId="1696"/>
    <cellStyle name="Accent5 2 2 3 2" xfId="1697"/>
    <cellStyle name="Accent5 2 3" xfId="1698"/>
    <cellStyle name="Accent5 2 3 2 2 2 2" xfId="10236"/>
    <cellStyle name="Accent5 2 4" xfId="1699"/>
    <cellStyle name="Accent5 2 5" xfId="1700"/>
    <cellStyle name="Accent5 2 5 2" xfId="1701"/>
    <cellStyle name="Accent5 2 6" xfId="1702"/>
    <cellStyle name="Accent5 2 7" xfId="10237"/>
    <cellStyle name="Accent5 2 8 5" xfId="10238"/>
    <cellStyle name="Accent5 20 2 2" xfId="10239"/>
    <cellStyle name="Accent5 3" xfId="363"/>
    <cellStyle name="Accent5 3 12" xfId="10240"/>
    <cellStyle name="Accent5 3 13" xfId="10241"/>
    <cellStyle name="Accent5 3 2" xfId="1703"/>
    <cellStyle name="Accent5 3 2 2" xfId="1704"/>
    <cellStyle name="Accent5 3 2 2 2 2 2" xfId="10242"/>
    <cellStyle name="Accent5 3 3" xfId="1705"/>
    <cellStyle name="Accent5 3 3 2 2 2 2" xfId="10243"/>
    <cellStyle name="Accent5 3 3 5" xfId="10244"/>
    <cellStyle name="Accent5 3 4" xfId="1706"/>
    <cellStyle name="Accent5 3 4 2" xfId="1707"/>
    <cellStyle name="Accent5 3 7 5" xfId="10245"/>
    <cellStyle name="Accent5 3 9" xfId="10246"/>
    <cellStyle name="Accent5 4" xfId="1708"/>
    <cellStyle name="Accent5 4 10" xfId="10247"/>
    <cellStyle name="Accent5 4 12" xfId="10248"/>
    <cellStyle name="Accent5 4 13" xfId="10249"/>
    <cellStyle name="Accent5 4 18 2" xfId="10250"/>
    <cellStyle name="Accent5 4 2" xfId="1709"/>
    <cellStyle name="Accent5 4 2 2 2 2 2" xfId="10251"/>
    <cellStyle name="Accent5 4 3" xfId="1710"/>
    <cellStyle name="Accent5 4 3 2" xfId="1711"/>
    <cellStyle name="Accent5 4 3 2 2 2 2" xfId="10252"/>
    <cellStyle name="Accent5 5" xfId="1712"/>
    <cellStyle name="Accent5 5 11" xfId="10253"/>
    <cellStyle name="Accent5 5 12" xfId="10254"/>
    <cellStyle name="Accent5 5 13 6" xfId="10255"/>
    <cellStyle name="Accent5 5 2 2 2 2 2" xfId="10256"/>
    <cellStyle name="Accent5 5 6" xfId="10257"/>
    <cellStyle name="Accent5 5 9" xfId="10258"/>
    <cellStyle name="Accent5 6" xfId="1713"/>
    <cellStyle name="Accent5 6 10" xfId="10259"/>
    <cellStyle name="Accent5 6 11" xfId="10260"/>
    <cellStyle name="Accent5 6 11 5" xfId="10261"/>
    <cellStyle name="Accent5 6 9 5" xfId="10262"/>
    <cellStyle name="Accent5 7" xfId="1714"/>
    <cellStyle name="Accent5 7 10" xfId="10263"/>
    <cellStyle name="Accent5 7 2" xfId="1715"/>
    <cellStyle name="Accent5 7 7" xfId="10264"/>
    <cellStyle name="Accent5 7 9" xfId="10265"/>
    <cellStyle name="Accent5 7 9 5" xfId="10266"/>
    <cellStyle name="Accent5 8" xfId="1716"/>
    <cellStyle name="Accent5 8 2" xfId="1717"/>
    <cellStyle name="Accent5 8 6" xfId="10267"/>
    <cellStyle name="Accent5 8 8" xfId="10268"/>
    <cellStyle name="Accent5 8 9" xfId="10269"/>
    <cellStyle name="Accent5 9 4" xfId="10270"/>
    <cellStyle name="Accent5 9 6" xfId="10271"/>
    <cellStyle name="Accent5 9 7" xfId="10272"/>
    <cellStyle name="Accent5 9 8" xfId="10273"/>
    <cellStyle name="Accent6" xfId="27"/>
    <cellStyle name="Accent6 10 2 5" xfId="10274"/>
    <cellStyle name="Accent6 10 4 5" xfId="10275"/>
    <cellStyle name="Accent6 10 6" xfId="10276"/>
    <cellStyle name="Accent6 10 7" xfId="10277"/>
    <cellStyle name="Accent6 11 2 5" xfId="10278"/>
    <cellStyle name="Accent6 11 4" xfId="10279"/>
    <cellStyle name="Accent6 12" xfId="10280"/>
    <cellStyle name="Accent6 12 4" xfId="10281"/>
    <cellStyle name="Accent6 12 5" xfId="10282"/>
    <cellStyle name="Accent6 13" xfId="10283"/>
    <cellStyle name="Accent6 13 3" xfId="10284"/>
    <cellStyle name="Accent6 13 4" xfId="10285"/>
    <cellStyle name="Accent6 14" xfId="10286"/>
    <cellStyle name="Accent6 14 2" xfId="10287"/>
    <cellStyle name="Accent6 14 3" xfId="10288"/>
    <cellStyle name="Accent6 15 2" xfId="10289"/>
    <cellStyle name="Accent6 15 3 6" xfId="10290"/>
    <cellStyle name="Accent6 18" xfId="10291"/>
    <cellStyle name="Accent6 2" xfId="259"/>
    <cellStyle name="Accent6 2 2" xfId="302"/>
    <cellStyle name="Accent6 2 2 2" xfId="1718"/>
    <cellStyle name="Accent6 2 2 2 2 2 2" xfId="10292"/>
    <cellStyle name="Accent6 2 2 3" xfId="1719"/>
    <cellStyle name="Accent6 2 2 3 2" xfId="1720"/>
    <cellStyle name="Accent6 2 24" xfId="10293"/>
    <cellStyle name="Accent6 2 3" xfId="1721"/>
    <cellStyle name="Accent6 2 3 2 2 2 2" xfId="10294"/>
    <cellStyle name="Accent6 2 4" xfId="1722"/>
    <cellStyle name="Accent6 2 49" xfId="10295"/>
    <cellStyle name="Accent6 2 5" xfId="1723"/>
    <cellStyle name="Accent6 2 5 2" xfId="1724"/>
    <cellStyle name="Accent6 2 6" xfId="1725"/>
    <cellStyle name="Accent6 20 7" xfId="10296"/>
    <cellStyle name="Accent6 3" xfId="364"/>
    <cellStyle name="Accent6 3 10 5" xfId="10297"/>
    <cellStyle name="Accent6 3 11 5" xfId="10298"/>
    <cellStyle name="Accent6 3 12" xfId="10299"/>
    <cellStyle name="Accent6 3 13" xfId="10300"/>
    <cellStyle name="Accent6 3 2" xfId="1726"/>
    <cellStyle name="Accent6 3 2 2" xfId="1727"/>
    <cellStyle name="Accent6 3 2 2 2 2 2" xfId="10301"/>
    <cellStyle name="Accent6 3 3" xfId="1728"/>
    <cellStyle name="Accent6 3 3 2 2 2 2" xfId="10302"/>
    <cellStyle name="Accent6 3 4" xfId="1729"/>
    <cellStyle name="Accent6 3 4 2" xfId="1730"/>
    <cellStyle name="Accent6 4" xfId="1731"/>
    <cellStyle name="Accent6 4 10" xfId="10303"/>
    <cellStyle name="Accent6 4 10 5" xfId="10304"/>
    <cellStyle name="Accent6 4 11" xfId="10305"/>
    <cellStyle name="Accent6 4 12" xfId="10306"/>
    <cellStyle name="Accent6 4 13" xfId="10307"/>
    <cellStyle name="Accent6 4 13 5" xfId="10308"/>
    <cellStyle name="Accent6 4 2" xfId="1732"/>
    <cellStyle name="Accent6 4 2 2 2 2 2" xfId="10309"/>
    <cellStyle name="Accent6 4 3" xfId="1733"/>
    <cellStyle name="Accent6 4 3 2" xfId="1734"/>
    <cellStyle name="Accent6 4 3 2 2 2 2" xfId="10310"/>
    <cellStyle name="Accent6 4 7" xfId="10311"/>
    <cellStyle name="Accent6 4 8" xfId="10312"/>
    <cellStyle name="Accent6 4 9" xfId="10313"/>
    <cellStyle name="Accent6 5" xfId="1735"/>
    <cellStyle name="Accent6 5 10" xfId="10314"/>
    <cellStyle name="Accent6 5 11" xfId="10315"/>
    <cellStyle name="Accent6 5 12" xfId="10316"/>
    <cellStyle name="Accent6 5 12 5" xfId="10317"/>
    <cellStyle name="Accent6 5 15 4" xfId="10318"/>
    <cellStyle name="Accent6 5 2 2 2 2 2" xfId="10319"/>
    <cellStyle name="Accent6 5 6" xfId="10320"/>
    <cellStyle name="Accent6 6" xfId="1736"/>
    <cellStyle name="Accent6 6 10" xfId="10321"/>
    <cellStyle name="Accent6 6 11" xfId="10322"/>
    <cellStyle name="Accent6 6 13 4" xfId="10323"/>
    <cellStyle name="Accent6 6 24" xfId="10324"/>
    <cellStyle name="Accent6 6 7" xfId="10325"/>
    <cellStyle name="Accent6 6 7 5" xfId="10326"/>
    <cellStyle name="Accent6 7" xfId="1737"/>
    <cellStyle name="Accent6 7 10" xfId="10327"/>
    <cellStyle name="Accent6 7 2" xfId="1738"/>
    <cellStyle name="Accent6 7 8" xfId="10328"/>
    <cellStyle name="Accent6 7 9" xfId="10329"/>
    <cellStyle name="Accent6 8" xfId="1739"/>
    <cellStyle name="Accent6 8 2" xfId="1740"/>
    <cellStyle name="Accent6 8 8" xfId="10330"/>
    <cellStyle name="Accent6 8 9" xfId="10331"/>
    <cellStyle name="Accent6 9 11 4" xfId="10332"/>
    <cellStyle name="Accent6 9 3" xfId="10333"/>
    <cellStyle name="Accent6 9 3 5" xfId="10334"/>
    <cellStyle name="Accent6 9 4" xfId="10335"/>
    <cellStyle name="Accent6 9 7" xfId="10336"/>
    <cellStyle name="Accent6 9 8" xfId="10337"/>
    <cellStyle name="Bad" xfId="28"/>
    <cellStyle name="Bad 10 2" xfId="10338"/>
    <cellStyle name="Bad 10 4 5" xfId="10339"/>
    <cellStyle name="Bad 10 6" xfId="10340"/>
    <cellStyle name="Bad 10 7" xfId="10341"/>
    <cellStyle name="Bad 11 2" xfId="10342"/>
    <cellStyle name="Bad 11 4" xfId="10343"/>
    <cellStyle name="Bad 11 5" xfId="10344"/>
    <cellStyle name="Bad 11 7 4" xfId="10345"/>
    <cellStyle name="Bad 12 3" xfId="10346"/>
    <cellStyle name="Bad 12 4" xfId="10347"/>
    <cellStyle name="Bad 12 5" xfId="10348"/>
    <cellStyle name="Bad 13" xfId="10349"/>
    <cellStyle name="Bad 13 2" xfId="10350"/>
    <cellStyle name="Bad 13 2 5" xfId="10351"/>
    <cellStyle name="Bad 13 4" xfId="10352"/>
    <cellStyle name="Bad 13 6 4" xfId="10353"/>
    <cellStyle name="Bad 14" xfId="10354"/>
    <cellStyle name="Bad 14 14" xfId="10355"/>
    <cellStyle name="Bad 14 2" xfId="10356"/>
    <cellStyle name="Bad 14 3" xfId="10357"/>
    <cellStyle name="Bad 14 6 4" xfId="10358"/>
    <cellStyle name="Bad 15 2 6" xfId="10359"/>
    <cellStyle name="Bad 16" xfId="10360"/>
    <cellStyle name="Bad 16 4 3" xfId="10361"/>
    <cellStyle name="Bad 17 3 3" xfId="10362"/>
    <cellStyle name="Bad 2" xfId="260"/>
    <cellStyle name="Bad 2 10" xfId="10363"/>
    <cellStyle name="Bad 2 11" xfId="10364"/>
    <cellStyle name="Bad 2 12" xfId="10365"/>
    <cellStyle name="Bad 2 13" xfId="10366"/>
    <cellStyle name="Bad 2 18 2" xfId="10367"/>
    <cellStyle name="Bad 2 2" xfId="303"/>
    <cellStyle name="Bad 2 2 2" xfId="1741"/>
    <cellStyle name="Bad 2 2 2 2 2 2" xfId="10368"/>
    <cellStyle name="Bad 2 2 3" xfId="1742"/>
    <cellStyle name="Bad 2 2 3 2" xfId="1743"/>
    <cellStyle name="Bad 2 3" xfId="1744"/>
    <cellStyle name="Bad 2 3 2 2 2 2" xfId="10369"/>
    <cellStyle name="Bad 2 4" xfId="1745"/>
    <cellStyle name="Bad 2 5" xfId="1746"/>
    <cellStyle name="Bad 2 5 2" xfId="1747"/>
    <cellStyle name="Bad 2 5 5" xfId="10370"/>
    <cellStyle name="Bad 2 6" xfId="1748"/>
    <cellStyle name="Bad 3" xfId="365"/>
    <cellStyle name="Bad 3 11" xfId="10371"/>
    <cellStyle name="Bad 3 12" xfId="10372"/>
    <cellStyle name="Bad 3 13" xfId="10373"/>
    <cellStyle name="Bad 3 2" xfId="1749"/>
    <cellStyle name="Bad 3 2 2" xfId="1750"/>
    <cellStyle name="Bad 3 2 2 2 2 2" xfId="10374"/>
    <cellStyle name="Bad 3 3" xfId="1751"/>
    <cellStyle name="Bad 3 3 2 2 2 2" xfId="10375"/>
    <cellStyle name="Bad 3 4" xfId="1752"/>
    <cellStyle name="Bad 3 4 2" xfId="1753"/>
    <cellStyle name="Bad 3 9 5" xfId="10376"/>
    <cellStyle name="Bad 4" xfId="1754"/>
    <cellStyle name="Bad 4 12" xfId="10377"/>
    <cellStyle name="Bad 4 13" xfId="10378"/>
    <cellStyle name="Bad 4 2" xfId="1755"/>
    <cellStyle name="Bad 4 2 2 2 2 2" xfId="10379"/>
    <cellStyle name="Bad 4 3" xfId="1756"/>
    <cellStyle name="Bad 4 3 2" xfId="1757"/>
    <cellStyle name="Bad 4 3 2 2 2 2" xfId="10380"/>
    <cellStyle name="Bad 4 7" xfId="10381"/>
    <cellStyle name="Bad 4 8" xfId="10382"/>
    <cellStyle name="Bad 5" xfId="1758"/>
    <cellStyle name="Bad 5 10" xfId="10383"/>
    <cellStyle name="Bad 5 11" xfId="10384"/>
    <cellStyle name="Bad 5 12" xfId="10385"/>
    <cellStyle name="Bad 5 2 2 2 2 2" xfId="10386"/>
    <cellStyle name="Bad 5 6" xfId="10387"/>
    <cellStyle name="Bad 5 8" xfId="10388"/>
    <cellStyle name="Bad 5 9" xfId="10389"/>
    <cellStyle name="Bad 6" xfId="1759"/>
    <cellStyle name="Bad 6 10" xfId="10390"/>
    <cellStyle name="Bad 6 11" xfId="10391"/>
    <cellStyle name="Bad 6 11 6" xfId="10392"/>
    <cellStyle name="Bad 6 24" xfId="10393"/>
    <cellStyle name="Bad 6 8" xfId="10394"/>
    <cellStyle name="Bad 6 9" xfId="10395"/>
    <cellStyle name="Bad 7" xfId="1760"/>
    <cellStyle name="Bad 7 11 6" xfId="10396"/>
    <cellStyle name="Bad 7 2" xfId="1761"/>
    <cellStyle name="Bad 7 8" xfId="10397"/>
    <cellStyle name="Bad 8" xfId="1762"/>
    <cellStyle name="Bad 8 2" xfId="1763"/>
    <cellStyle name="Bad 8 6" xfId="10398"/>
    <cellStyle name="Bad 8 7" xfId="10399"/>
    <cellStyle name="Bad 9 10 4" xfId="10400"/>
    <cellStyle name="Bad 9 3" xfId="10401"/>
    <cellStyle name="Bad 9 5" xfId="10402"/>
    <cellStyle name="Bad 9 6" xfId="10403"/>
    <cellStyle name="Board report 1" xfId="29"/>
    <cellStyle name="Bom 2" xfId="165"/>
    <cellStyle name="Calc Currency (0)" xfId="30"/>
    <cellStyle name="Calc Currency (2)" xfId="31"/>
    <cellStyle name="Calc Percent (0)" xfId="32"/>
    <cellStyle name="Calc Percent (1)" xfId="33"/>
    <cellStyle name="Calc Percent (2)" xfId="34"/>
    <cellStyle name="Calc Units (0)" xfId="35"/>
    <cellStyle name="Calc Units (1)" xfId="36"/>
    <cellStyle name="Calc Units (2)" xfId="37"/>
    <cellStyle name="Calculation" xfId="38"/>
    <cellStyle name="Calculation 10" xfId="12137"/>
    <cellStyle name="Calculation 10 12 2" xfId="10404"/>
    <cellStyle name="Calculation 10 2" xfId="10405"/>
    <cellStyle name="Calculation 10 3" xfId="10406"/>
    <cellStyle name="Calculation 10 4" xfId="10407"/>
    <cellStyle name="Calculation 10 5" xfId="10408"/>
    <cellStyle name="Calculation 10 5 6" xfId="10409"/>
    <cellStyle name="Calculation 10 7 6" xfId="10410"/>
    <cellStyle name="Calculation 11 2" xfId="10411"/>
    <cellStyle name="Calculation 11 3" xfId="10412"/>
    <cellStyle name="Calculation 11 31" xfId="10413"/>
    <cellStyle name="Calculation 11 9 3" xfId="10414"/>
    <cellStyle name="Calculation 12 3" xfId="10415"/>
    <cellStyle name="Calculation 13" xfId="10416"/>
    <cellStyle name="Calculation 13 2" xfId="10417"/>
    <cellStyle name="Calculation 13 6 3" xfId="10418"/>
    <cellStyle name="Calculation 14 4 5" xfId="10419"/>
    <cellStyle name="Calculation 15" xfId="10420"/>
    <cellStyle name="Calculation 15 2 5" xfId="10421"/>
    <cellStyle name="Calculation 15 4 3" xfId="10422"/>
    <cellStyle name="Calculation 16 11" xfId="10423"/>
    <cellStyle name="Calculation 17 3 2" xfId="10424"/>
    <cellStyle name="Calculation 18 2 2" xfId="10425"/>
    <cellStyle name="Calculation 2" xfId="261"/>
    <cellStyle name="Calculation 2 10" xfId="10426"/>
    <cellStyle name="Calculation 2 10 5" xfId="10427"/>
    <cellStyle name="Calculation 2 11" xfId="10428"/>
    <cellStyle name="Calculation 2 11 5" xfId="10429"/>
    <cellStyle name="Calculation 2 12" xfId="12014"/>
    <cellStyle name="Calculation 2 13" xfId="12161"/>
    <cellStyle name="Calculation 2 13 5" xfId="10430"/>
    <cellStyle name="Calculation 2 14 5" xfId="10431"/>
    <cellStyle name="Calculation 2 2" xfId="304"/>
    <cellStyle name="Calculation 2 2 2" xfId="1764"/>
    <cellStyle name="Calculation 2 2 2 2 2 2" xfId="10432"/>
    <cellStyle name="Calculation 2 2 3" xfId="1765"/>
    <cellStyle name="Calculation 2 2 3 2" xfId="1766"/>
    <cellStyle name="Calculation 2 2 3 2 2" xfId="12103"/>
    <cellStyle name="Calculation 2 2 3 2 3" xfId="12251"/>
    <cellStyle name="Calculation 2 2 3 3" xfId="12102"/>
    <cellStyle name="Calculation 2 2 3 4" xfId="12250"/>
    <cellStyle name="Calculation 2 2 4" xfId="12017"/>
    <cellStyle name="Calculation 2 2 5" xfId="12165"/>
    <cellStyle name="Calculation 2 24" xfId="10433"/>
    <cellStyle name="Calculation 2 3" xfId="456"/>
    <cellStyle name="Calculation 2 3 2" xfId="12070"/>
    <cellStyle name="Calculation 2 3 2 2 2 2" xfId="10434"/>
    <cellStyle name="Calculation 2 3 3" xfId="12218"/>
    <cellStyle name="Calculation 2 4" xfId="419"/>
    <cellStyle name="Calculation 2 4 2" xfId="12051"/>
    <cellStyle name="Calculation 2 4 3" xfId="12199"/>
    <cellStyle name="Calculation 2 5" xfId="409"/>
    <cellStyle name="Calculation 2 5 2" xfId="1767"/>
    <cellStyle name="Calculation 2 5 2 2" xfId="12104"/>
    <cellStyle name="Calculation 2 5 2 3" xfId="12252"/>
    <cellStyle name="Calculation 2 5 3" xfId="12044"/>
    <cellStyle name="Calculation 2 5 4" xfId="12192"/>
    <cellStyle name="Calculation 2 6" xfId="514"/>
    <cellStyle name="Calculation 2 6 2" xfId="12100"/>
    <cellStyle name="Calculation 2 6 3" xfId="12248"/>
    <cellStyle name="Calculation 2 6 5" xfId="10435"/>
    <cellStyle name="Calculation 2 7" xfId="462"/>
    <cellStyle name="Calculation 2 7 2" xfId="12074"/>
    <cellStyle name="Calculation 2 7 3" xfId="12222"/>
    <cellStyle name="Calculation 2 8" xfId="10436"/>
    <cellStyle name="Calculation 2 9" xfId="10437"/>
    <cellStyle name="Calculation 3" xfId="366"/>
    <cellStyle name="Calculation 3 10" xfId="10438"/>
    <cellStyle name="Calculation 3 10 5" xfId="10439"/>
    <cellStyle name="Calculation 3 11" xfId="10440"/>
    <cellStyle name="Calculation 3 11 5" xfId="10441"/>
    <cellStyle name="Calculation 3 12 5" xfId="10442"/>
    <cellStyle name="Calculation 3 13 5" xfId="10443"/>
    <cellStyle name="Calculation 3 14 5" xfId="10444"/>
    <cellStyle name="Calculation 3 15 3" xfId="10445"/>
    <cellStyle name="Calculation 3 2" xfId="1768"/>
    <cellStyle name="Calculation 3 2 2" xfId="1769"/>
    <cellStyle name="Calculation 3 2 2 2" xfId="12106"/>
    <cellStyle name="Calculation 3 2 2 2 2 2" xfId="10446"/>
    <cellStyle name="Calculation 3 2 2 3" xfId="12254"/>
    <cellStyle name="Calculation 3 2 3" xfId="12105"/>
    <cellStyle name="Calculation 3 2 4" xfId="12253"/>
    <cellStyle name="Calculation 3 2 5" xfId="10447"/>
    <cellStyle name="Calculation 3 24" xfId="10448"/>
    <cellStyle name="Calculation 3 3" xfId="1770"/>
    <cellStyle name="Calculation 3 3 2 2 2 2" xfId="10449"/>
    <cellStyle name="Calculation 3 3 5" xfId="10450"/>
    <cellStyle name="Calculation 3 4" xfId="1771"/>
    <cellStyle name="Calculation 3 4 2" xfId="1772"/>
    <cellStyle name="Calculation 3 4 2 2" xfId="12108"/>
    <cellStyle name="Calculation 3 4 2 3" xfId="12256"/>
    <cellStyle name="Calculation 3 4 3" xfId="12107"/>
    <cellStyle name="Calculation 3 4 4" xfId="12255"/>
    <cellStyle name="Calculation 3 4 5" xfId="10451"/>
    <cellStyle name="Calculation 3 5" xfId="12029"/>
    <cellStyle name="Calculation 3 6" xfId="12177"/>
    <cellStyle name="Calculation 4" xfId="389"/>
    <cellStyle name="Calculation 4 10" xfId="10452"/>
    <cellStyle name="Calculation 4 11" xfId="10453"/>
    <cellStyle name="Calculation 4 14 5" xfId="10454"/>
    <cellStyle name="Calculation 4 2" xfId="1773"/>
    <cellStyle name="Calculation 4 2 2 2 2 2" xfId="10455"/>
    <cellStyle name="Calculation 4 2 5" xfId="10456"/>
    <cellStyle name="Calculation 4 3" xfId="1774"/>
    <cellStyle name="Calculation 4 3 2" xfId="1775"/>
    <cellStyle name="Calculation 4 3 2 2 2" xfId="10457"/>
    <cellStyle name="Calculation 4 4" xfId="12035"/>
    <cellStyle name="Calculation 4 4 5" xfId="10458"/>
    <cellStyle name="Calculation 4 5" xfId="12183"/>
    <cellStyle name="Calculation 4 5 5" xfId="10459"/>
    <cellStyle name="Calculation 4 6 5" xfId="10460"/>
    <cellStyle name="Calculation 4 7" xfId="10461"/>
    <cellStyle name="Calculation 4 8" xfId="10462"/>
    <cellStyle name="Calculation 4 8 5" xfId="10463"/>
    <cellStyle name="Calculation 4 9" xfId="10464"/>
    <cellStyle name="Calculation 4 9 5" xfId="10465"/>
    <cellStyle name="Calculation 5" xfId="445"/>
    <cellStyle name="Calculation 5 10 5" xfId="10466"/>
    <cellStyle name="Calculation 5 12 5" xfId="10467"/>
    <cellStyle name="Calculation 5 2" xfId="12066"/>
    <cellStyle name="Calculation 5 2 2 2 2" xfId="10468"/>
    <cellStyle name="Calculation 5 3" xfId="12214"/>
    <cellStyle name="Calculation 5 6" xfId="10469"/>
    <cellStyle name="Calculation 5 7" xfId="10470"/>
    <cellStyle name="Calculation 5 8" xfId="10471"/>
    <cellStyle name="Calculation 5 9" xfId="10472"/>
    <cellStyle name="Calculation 5 9 5" xfId="10473"/>
    <cellStyle name="Calculation 6" xfId="388"/>
    <cellStyle name="Calculation 6 10 5" xfId="10474"/>
    <cellStyle name="Calculation 6 12 6" xfId="10475"/>
    <cellStyle name="Calculation 6 13 3" xfId="10476"/>
    <cellStyle name="Calculation 6 14 3" xfId="10477"/>
    <cellStyle name="Calculation 6 14 4" xfId="10478"/>
    <cellStyle name="Calculation 6 15 2" xfId="10479"/>
    <cellStyle name="Calculation 6 2" xfId="12034"/>
    <cellStyle name="Calculation 6 2 5" xfId="10480"/>
    <cellStyle name="Calculation 6 23" xfId="10481"/>
    <cellStyle name="Calculation 6 3" xfId="12182"/>
    <cellStyle name="Calculation 6 3 6" xfId="10482"/>
    <cellStyle name="Calculation 6 7" xfId="10483"/>
    <cellStyle name="Calculation 6 8" xfId="10484"/>
    <cellStyle name="Calculation 6 9" xfId="10485"/>
    <cellStyle name="Calculation 6 9 5" xfId="10486"/>
    <cellStyle name="Calculation 7" xfId="427"/>
    <cellStyle name="Calculation 7 12 3" xfId="10487"/>
    <cellStyle name="Calculation 7 13 3" xfId="10488"/>
    <cellStyle name="Calculation 7 14 2" xfId="10489"/>
    <cellStyle name="Calculation 7 2" xfId="1776"/>
    <cellStyle name="Calculation 7 2 6" xfId="10490"/>
    <cellStyle name="Calculation 7 21" xfId="10491"/>
    <cellStyle name="Calculation 7 3" xfId="12057"/>
    <cellStyle name="Calculation 7 4" xfId="12205"/>
    <cellStyle name="Calculation 7 6" xfId="10492"/>
    <cellStyle name="Calculation 7 7" xfId="10493"/>
    <cellStyle name="Calculation 7 8" xfId="10494"/>
    <cellStyle name="Calculation 7 8 5" xfId="10495"/>
    <cellStyle name="Calculation 8" xfId="390"/>
    <cellStyle name="Calculation 8 11 3" xfId="10496"/>
    <cellStyle name="Calculation 8 11 4" xfId="10497"/>
    <cellStyle name="Calculation 8 13 2" xfId="10498"/>
    <cellStyle name="Calculation 8 2" xfId="1777"/>
    <cellStyle name="Calculation 8 2 2" xfId="12109"/>
    <cellStyle name="Calculation 8 2 3" xfId="12257"/>
    <cellStyle name="Calculation 8 2 5" xfId="10499"/>
    <cellStyle name="Calculation 8 20" xfId="10500"/>
    <cellStyle name="Calculation 8 3" xfId="12036"/>
    <cellStyle name="Calculation 8 4" xfId="12184"/>
    <cellStyle name="Calculation 8 5" xfId="10501"/>
    <cellStyle name="Calculation 8 5 5" xfId="10502"/>
    <cellStyle name="Calculation 8 6" xfId="10503"/>
    <cellStyle name="Calculation 8 7" xfId="10504"/>
    <cellStyle name="Calculation 9" xfId="12003"/>
    <cellStyle name="Calculation 9 11 3" xfId="10505"/>
    <cellStyle name="Calculation 9 12 2" xfId="10506"/>
    <cellStyle name="Calculation 9 19" xfId="10507"/>
    <cellStyle name="Calculation 9 2 5" xfId="10508"/>
    <cellStyle name="Calculation 9 3" xfId="10509"/>
    <cellStyle name="Calculation 9 3 5" xfId="10510"/>
    <cellStyle name="Calculation 9 3 6" xfId="10511"/>
    <cellStyle name="Calculation 9 34" xfId="10512"/>
    <cellStyle name="Calculation 9 4" xfId="10513"/>
    <cellStyle name="Calculation 9 5" xfId="10514"/>
    <cellStyle name="Calculation 9 5 6" xfId="10515"/>
    <cellStyle name="Cálculo 2" xfId="166"/>
    <cellStyle name="Cálculo 2 10" xfId="12006"/>
    <cellStyle name="Cálculo 2 11" xfId="12144"/>
    <cellStyle name="Cálculo 2 2" xfId="167"/>
    <cellStyle name="Cálculo 2 2 2" xfId="325"/>
    <cellStyle name="Cálculo 2 2 2 2" xfId="12022"/>
    <cellStyle name="Cálculo 2 2 2 3" xfId="12170"/>
    <cellStyle name="Cálculo 2 2 3" xfId="421"/>
    <cellStyle name="Cálculo 2 2 3 2" xfId="12053"/>
    <cellStyle name="Cálculo 2 2 3 3" xfId="12201"/>
    <cellStyle name="Cálculo 2 2 4" xfId="458"/>
    <cellStyle name="Cálculo 2 2 4 2" xfId="12071"/>
    <cellStyle name="Cálculo 2 2 4 3" xfId="12219"/>
    <cellStyle name="Cálculo 2 2 5" xfId="482"/>
    <cellStyle name="Cálculo 2 2 5 2" xfId="12085"/>
    <cellStyle name="Cálculo 2 2 5 3" xfId="12233"/>
    <cellStyle name="Cálculo 2 2 6" xfId="423"/>
    <cellStyle name="Cálculo 2 2 6 2" xfId="12055"/>
    <cellStyle name="Cálculo 2 2 6 3" xfId="12203"/>
    <cellStyle name="Cálculo 2 2 7" xfId="411"/>
    <cellStyle name="Cálculo 2 2 7 2" xfId="12046"/>
    <cellStyle name="Cálculo 2 2 7 3" xfId="12194"/>
    <cellStyle name="Cálculo 2 2 8" xfId="12007"/>
    <cellStyle name="Cálculo 2 2 9" xfId="12145"/>
    <cellStyle name="Cálculo 2 3" xfId="168"/>
    <cellStyle name="Cálculo 2 3 2" xfId="326"/>
    <cellStyle name="Cálculo 2 3 2 2" xfId="12023"/>
    <cellStyle name="Cálculo 2 3 2 3" xfId="12171"/>
    <cellStyle name="Cálculo 2 3 3" xfId="422"/>
    <cellStyle name="Cálculo 2 3 3 2" xfId="12054"/>
    <cellStyle name="Cálculo 2 3 3 3" xfId="12202"/>
    <cellStyle name="Cálculo 2 3 4" xfId="396"/>
    <cellStyle name="Cálculo 2 3 4 2" xfId="12038"/>
    <cellStyle name="Cálculo 2 3 4 3" xfId="12186"/>
    <cellStyle name="Cálculo 2 3 5" xfId="495"/>
    <cellStyle name="Cálculo 2 3 5 2" xfId="12091"/>
    <cellStyle name="Cálculo 2 3 5 3" xfId="12239"/>
    <cellStyle name="Cálculo 2 3 6" xfId="401"/>
    <cellStyle name="Cálculo 2 3 6 2" xfId="12040"/>
    <cellStyle name="Cálculo 2 3 6 3" xfId="12188"/>
    <cellStyle name="Cálculo 2 3 7" xfId="515"/>
    <cellStyle name="Cálculo 2 3 7 2" xfId="12101"/>
    <cellStyle name="Cálculo 2 3 7 3" xfId="12249"/>
    <cellStyle name="Cálculo 2 3 8" xfId="12008"/>
    <cellStyle name="Cálculo 2 3 9" xfId="12146"/>
    <cellStyle name="Cálculo 2 4" xfId="324"/>
    <cellStyle name="Cálculo 2 4 2" xfId="12021"/>
    <cellStyle name="Cálculo 2 4 3" xfId="12169"/>
    <cellStyle name="Cálculo 2 5" xfId="420"/>
    <cellStyle name="Cálculo 2 5 2" xfId="12052"/>
    <cellStyle name="Cálculo 2 5 3" xfId="12200"/>
    <cellStyle name="Cálculo 2 6" xfId="470"/>
    <cellStyle name="Cálculo 2 6 2" xfId="12078"/>
    <cellStyle name="Cálculo 2 6 3" xfId="12226"/>
    <cellStyle name="Cálculo 2 7" xfId="493"/>
    <cellStyle name="Cálculo 2 7 2" xfId="12089"/>
    <cellStyle name="Cálculo 2 7 3" xfId="12237"/>
    <cellStyle name="Cálculo 2 8" xfId="424"/>
    <cellStyle name="Cálculo 2 8 2" xfId="12056"/>
    <cellStyle name="Cálculo 2 8 3" xfId="12204"/>
    <cellStyle name="Cálculo 2 9" xfId="503"/>
    <cellStyle name="Cálculo 2 9 2" xfId="12094"/>
    <cellStyle name="Cálculo 2 9 3" xfId="12242"/>
    <cellStyle name="Célula de Verificação 2" xfId="169"/>
    <cellStyle name="Célula Vinculada 2" xfId="170"/>
    <cellStyle name="Check Cell" xfId="39"/>
    <cellStyle name="Check Cell 10 2 5" xfId="10516"/>
    <cellStyle name="Check Cell 10 3" xfId="10517"/>
    <cellStyle name="Check Cell 10 3 5" xfId="10518"/>
    <cellStyle name="Check Cell 10 4 5" xfId="10519"/>
    <cellStyle name="Check Cell 10 5" xfId="10520"/>
    <cellStyle name="Check Cell 11 2" xfId="10521"/>
    <cellStyle name="Check Cell 11 3" xfId="10522"/>
    <cellStyle name="Check Cell 11 6 5" xfId="10523"/>
    <cellStyle name="Check Cell 11 7 3" xfId="10524"/>
    <cellStyle name="Check Cell 12" xfId="10525"/>
    <cellStyle name="Check Cell 12 3" xfId="10526"/>
    <cellStyle name="Check Cell 13" xfId="10527"/>
    <cellStyle name="Check Cell 13 2" xfId="10528"/>
    <cellStyle name="Check Cell 13 4 6" xfId="10529"/>
    <cellStyle name="Check Cell 13 5 5" xfId="10530"/>
    <cellStyle name="Check Cell 13 6 3" xfId="10531"/>
    <cellStyle name="Check Cell 13 8 3" xfId="10532"/>
    <cellStyle name="Check Cell 14 3 6" xfId="10533"/>
    <cellStyle name="Check Cell 15 2 5" xfId="10534"/>
    <cellStyle name="Check Cell 15 4 3" xfId="10535"/>
    <cellStyle name="Check Cell 16 11" xfId="10536"/>
    <cellStyle name="Check Cell 16 2 3" xfId="10537"/>
    <cellStyle name="Check Cell 17 9" xfId="10538"/>
    <cellStyle name="Check Cell 19 6" xfId="10539"/>
    <cellStyle name="Check Cell 2" xfId="262"/>
    <cellStyle name="Check Cell 2 10" xfId="10540"/>
    <cellStyle name="Check Cell 2 10 5" xfId="10541"/>
    <cellStyle name="Check Cell 2 11" xfId="10542"/>
    <cellStyle name="Check Cell 2 12 5" xfId="10543"/>
    <cellStyle name="Check Cell 2 2" xfId="305"/>
    <cellStyle name="Check Cell 2 2 2" xfId="1778"/>
    <cellStyle name="Check Cell 2 2 2 2 2 2" xfId="10544"/>
    <cellStyle name="Check Cell 2 2 3" xfId="1779"/>
    <cellStyle name="Check Cell 2 2 3 2" xfId="1780"/>
    <cellStyle name="Check Cell 2 2 6" xfId="10545"/>
    <cellStyle name="Check Cell 2 3" xfId="1781"/>
    <cellStyle name="Check Cell 2 3 2 2 2 2" xfId="10546"/>
    <cellStyle name="Check Cell 2 4" xfId="1782"/>
    <cellStyle name="Check Cell 2 5" xfId="1783"/>
    <cellStyle name="Check Cell 2 5 2" xfId="1784"/>
    <cellStyle name="Check Cell 2 6" xfId="1785"/>
    <cellStyle name="Check Cell 2 6 6" xfId="10547"/>
    <cellStyle name="Check Cell 2 9" xfId="10548"/>
    <cellStyle name="Check Cell 3" xfId="367"/>
    <cellStyle name="Check Cell 3 2" xfId="1786"/>
    <cellStyle name="Check Cell 3 2 2" xfId="1787"/>
    <cellStyle name="Check Cell 3 2 2 2 2 2" xfId="10549"/>
    <cellStyle name="Check Cell 3 3" xfId="1788"/>
    <cellStyle name="Check Cell 3 3 2 2 2" xfId="10550"/>
    <cellStyle name="Check Cell 3 4" xfId="1789"/>
    <cellStyle name="Check Cell 3 4 2" xfId="1790"/>
    <cellStyle name="Check Cell 3 5 6" xfId="10551"/>
    <cellStyle name="Check Cell 3 8" xfId="10552"/>
    <cellStyle name="Check Cell 3 9" xfId="10553"/>
    <cellStyle name="Check Cell 3 9 6" xfId="10554"/>
    <cellStyle name="Check Cell 4" xfId="1791"/>
    <cellStyle name="Check Cell 4 2" xfId="1792"/>
    <cellStyle name="Check Cell 4 2 2 2 2 2" xfId="10555"/>
    <cellStyle name="Check Cell 4 3" xfId="1793"/>
    <cellStyle name="Check Cell 4 3 2" xfId="1794"/>
    <cellStyle name="Check Cell 4 3 2 2 2" xfId="10556"/>
    <cellStyle name="Check Cell 4 5 6" xfId="10557"/>
    <cellStyle name="Check Cell 4 7" xfId="10558"/>
    <cellStyle name="Check Cell 4 8" xfId="10559"/>
    <cellStyle name="Check Cell 4 9" xfId="10560"/>
    <cellStyle name="Check Cell 5" xfId="1795"/>
    <cellStyle name="Check Cell 5 10" xfId="10561"/>
    <cellStyle name="Check Cell 5 16 2" xfId="10562"/>
    <cellStyle name="Check Cell 5 2 2 2 2" xfId="10563"/>
    <cellStyle name="Check Cell 5 6" xfId="10564"/>
    <cellStyle name="Check Cell 5 7" xfId="10565"/>
    <cellStyle name="Check Cell 5 9" xfId="10566"/>
    <cellStyle name="Check Cell 6" xfId="1796"/>
    <cellStyle name="Check Cell 6 24" xfId="10567"/>
    <cellStyle name="Check Cell 6 7 5" xfId="10568"/>
    <cellStyle name="Check Cell 6 8" xfId="10569"/>
    <cellStyle name="Check Cell 6 9" xfId="10570"/>
    <cellStyle name="Check Cell 6 9 5" xfId="10571"/>
    <cellStyle name="Check Cell 7" xfId="1797"/>
    <cellStyle name="Check Cell 7 10 5" xfId="10572"/>
    <cellStyle name="Check Cell 7 2" xfId="1798"/>
    <cellStyle name="Check Cell 7 2 6" xfId="10573"/>
    <cellStyle name="Check Cell 7 21" xfId="10574"/>
    <cellStyle name="Check Cell 7 6" xfId="10575"/>
    <cellStyle name="Check Cell 7 7" xfId="10576"/>
    <cellStyle name="Check Cell 7 7 7" xfId="10577"/>
    <cellStyle name="Check Cell 7 8" xfId="10578"/>
    <cellStyle name="Check Cell 8" xfId="1799"/>
    <cellStyle name="Check Cell 8 11 4" xfId="10579"/>
    <cellStyle name="Check Cell 8 2" xfId="1800"/>
    <cellStyle name="Check Cell 8 3 5" xfId="10580"/>
    <cellStyle name="Check Cell 8 5" xfId="10581"/>
    <cellStyle name="Check Cell 8 5 5" xfId="10582"/>
    <cellStyle name="Check Cell 8 6" xfId="10583"/>
    <cellStyle name="Check Cell 8 7 5" xfId="10584"/>
    <cellStyle name="Check Cell 8 8 5" xfId="10585"/>
    <cellStyle name="Check Cell 8 9 5" xfId="10586"/>
    <cellStyle name="Check Cell 9 10 3" xfId="10587"/>
    <cellStyle name="Check Cell 9 12 2" xfId="10588"/>
    <cellStyle name="Check Cell 9 13 2" xfId="10589"/>
    <cellStyle name="Check Cell 9 3" xfId="10590"/>
    <cellStyle name="Check Cell 9 4" xfId="10591"/>
    <cellStyle name="Check Cell 9 4 5" xfId="10592"/>
    <cellStyle name="Check Cell 9 5" xfId="10593"/>
    <cellStyle name="Check Cell 9 6" xfId="10594"/>
    <cellStyle name="Comma [00]" xfId="40"/>
    <cellStyle name="Comma 11 6" xfId="10595"/>
    <cellStyle name="Comma 13 6" xfId="10596"/>
    <cellStyle name="Comma 19 6" xfId="10597"/>
    <cellStyle name="Comma 2" xfId="1801"/>
    <cellStyle name="Comma 2 10" xfId="10598"/>
    <cellStyle name="Comma 2 10 5" xfId="10599"/>
    <cellStyle name="Comma 2 12 5" xfId="10600"/>
    <cellStyle name="Comma 2 13" xfId="10601"/>
    <cellStyle name="Comma 2 14 5" xfId="10602"/>
    <cellStyle name="Comma 2 15 5" xfId="10603"/>
    <cellStyle name="Comma 2 16 5" xfId="10604"/>
    <cellStyle name="Comma 2 18 5" xfId="10605"/>
    <cellStyle name="Comma 2 19 3" xfId="10606"/>
    <cellStyle name="Comma 2 2" xfId="1802"/>
    <cellStyle name="Comma 2 2 2 2 12" xfId="10607"/>
    <cellStyle name="Comma 2 2 2 2 13" xfId="10608"/>
    <cellStyle name="Comma 2 2 6" xfId="10609"/>
    <cellStyle name="Comma 2 3 2 2 2 2" xfId="10610"/>
    <cellStyle name="Comma 2 4 2 2 2 2" xfId="10611"/>
    <cellStyle name="Comma 2 5 2 2 2 2" xfId="10612"/>
    <cellStyle name="Comma 2 5 6" xfId="10613"/>
    <cellStyle name="Comma 2 6 2 2 2 2" xfId="10614"/>
    <cellStyle name="Comma 2 6 5" xfId="10615"/>
    <cellStyle name="Comma 21 6" xfId="10616"/>
    <cellStyle name="Comma 21 7" xfId="10617"/>
    <cellStyle name="Comma 22 6" xfId="10618"/>
    <cellStyle name="Comma 23 6" xfId="10619"/>
    <cellStyle name="Comma 24 6" xfId="10620"/>
    <cellStyle name="Comma 3" xfId="10621"/>
    <cellStyle name="Comma 3 10" xfId="10622"/>
    <cellStyle name="Comma 3 10 5" xfId="10623"/>
    <cellStyle name="Comma 3 11" xfId="10624"/>
    <cellStyle name="Comma 3 11 6" xfId="10625"/>
    <cellStyle name="Comma 3 12" xfId="10626"/>
    <cellStyle name="Comma 3 12 5" xfId="10627"/>
    <cellStyle name="Comma 3 13" xfId="10628"/>
    <cellStyle name="Comma 3 13 5" xfId="10629"/>
    <cellStyle name="Comma 3 14 5" xfId="10630"/>
    <cellStyle name="Comma 3 15 5" xfId="10631"/>
    <cellStyle name="Comma 3 16 5" xfId="10632"/>
    <cellStyle name="Comma 3 16 6" xfId="10633"/>
    <cellStyle name="Comma 3 2 2 2 2 2" xfId="10634"/>
    <cellStyle name="Comma 3 2 6" xfId="10635"/>
    <cellStyle name="Comma 3 26" xfId="10636"/>
    <cellStyle name="Comma 3 27" xfId="10637"/>
    <cellStyle name="Comma 3 3 2 2 2 2" xfId="10638"/>
    <cellStyle name="Comma 3 4 2 2 2 2" xfId="10639"/>
    <cellStyle name="Comma 3 5 2 2 2" xfId="10640"/>
    <cellStyle name="Comma 3 5 6" xfId="10641"/>
    <cellStyle name="Comma 3 8 5" xfId="10642"/>
    <cellStyle name="Comma 3 8 7" xfId="10643"/>
    <cellStyle name="Comma 3 9" xfId="10644"/>
    <cellStyle name="Comma 4" xfId="10645"/>
    <cellStyle name="Comma 4 10" xfId="10646"/>
    <cellStyle name="Comma 4 11" xfId="10647"/>
    <cellStyle name="Comma 4 11 5" xfId="10648"/>
    <cellStyle name="Comma 4 12" xfId="10649"/>
    <cellStyle name="Comma 4 13" xfId="10650"/>
    <cellStyle name="Comma 4 13 5" xfId="10651"/>
    <cellStyle name="Comma 4 14 6" xfId="10652"/>
    <cellStyle name="Comma 4 15 5" xfId="10653"/>
    <cellStyle name="Comma 4 16 5" xfId="10654"/>
    <cellStyle name="Comma 4 17 3" xfId="10655"/>
    <cellStyle name="Comma 4 2 2 2 2 2" xfId="10656"/>
    <cellStyle name="Comma 4 3 2 2 2 2" xfId="10657"/>
    <cellStyle name="Comma 4 4 2 2 2 2" xfId="10658"/>
    <cellStyle name="Comma 4 4 5" xfId="10659"/>
    <cellStyle name="Comma 4 5 2 2 2" xfId="10660"/>
    <cellStyle name="Comma 4 9 6" xfId="10661"/>
    <cellStyle name="Comma 5 4 3" xfId="10662"/>
    <cellStyle name="Currency [00]" xfId="41"/>
    <cellStyle name="Currency 2" xfId="10663"/>
    <cellStyle name="Currency 2 10" xfId="10664"/>
    <cellStyle name="Currency 2 10 5" xfId="10665"/>
    <cellStyle name="Currency 2 11" xfId="10666"/>
    <cellStyle name="Currency 2 11 5" xfId="10667"/>
    <cellStyle name="Currency 2 11 6" xfId="10668"/>
    <cellStyle name="Currency 2 12" xfId="10669"/>
    <cellStyle name="Currency 2 12 5" xfId="10670"/>
    <cellStyle name="Currency 2 13" xfId="10671"/>
    <cellStyle name="Currency 2 13 6" xfId="10672"/>
    <cellStyle name="Currency 2 14 5" xfId="10673"/>
    <cellStyle name="Currency 2 15 5" xfId="10674"/>
    <cellStyle name="Currency 2 16 5" xfId="10675"/>
    <cellStyle name="Currency 2 17 3" xfId="10676"/>
    <cellStyle name="Currency 2 18 3" xfId="10677"/>
    <cellStyle name="Currency 2 2 2 2 2 2" xfId="10678"/>
    <cellStyle name="Currency 2 3 2 2 2 2" xfId="10679"/>
    <cellStyle name="Currency 2 4 2 2 2 2" xfId="10680"/>
    <cellStyle name="Currency 2 5 2 2 2" xfId="10681"/>
    <cellStyle name="Currency 2 8 5" xfId="10682"/>
    <cellStyle name="Currency 2 9" xfId="10683"/>
    <cellStyle name="Currency 2 9 5" xfId="10684"/>
    <cellStyle name="DATE" xfId="42"/>
    <cellStyle name="Date Short" xfId="43"/>
    <cellStyle name="DELTA" xfId="44"/>
    <cellStyle name="Ênfase1 2" xfId="171"/>
    <cellStyle name="Ênfase2 2" xfId="172"/>
    <cellStyle name="Ênfase3 2" xfId="173"/>
    <cellStyle name="Ênfase4 2" xfId="174"/>
    <cellStyle name="Ênfase5 2" xfId="175"/>
    <cellStyle name="Ênfase6 2" xfId="176"/>
    <cellStyle name="Enter Currency (0)" xfId="45"/>
    <cellStyle name="Enter Currency (2)" xfId="46"/>
    <cellStyle name="Enter Units (0)" xfId="47"/>
    <cellStyle name="Enter Units (1)" xfId="48"/>
    <cellStyle name="Enter Units (2)" xfId="49"/>
    <cellStyle name="Entrada 2" xfId="177"/>
    <cellStyle name="Entrada 2 10" xfId="12009"/>
    <cellStyle name="Entrada 2 11" xfId="12147"/>
    <cellStyle name="Entrada 2 2" xfId="178"/>
    <cellStyle name="Entrada 2 2 2" xfId="328"/>
    <cellStyle name="Entrada 2 2 2 2" xfId="12025"/>
    <cellStyle name="Entrada 2 2 2 3" xfId="12173"/>
    <cellStyle name="Entrada 2 2 3" xfId="429"/>
    <cellStyle name="Entrada 2 2 3 2" xfId="12059"/>
    <cellStyle name="Entrada 2 2 3 3" xfId="12207"/>
    <cellStyle name="Entrada 2 2 4" xfId="477"/>
    <cellStyle name="Entrada 2 2 4 2" xfId="12083"/>
    <cellStyle name="Entrada 2 2 4 3" xfId="12231"/>
    <cellStyle name="Entrada 2 2 5" xfId="393"/>
    <cellStyle name="Entrada 2 2 5 2" xfId="12037"/>
    <cellStyle name="Entrada 2 2 5 3" xfId="12185"/>
    <cellStyle name="Entrada 2 2 6" xfId="510"/>
    <cellStyle name="Entrada 2 2 6 2" xfId="12097"/>
    <cellStyle name="Entrada 2 2 6 3" xfId="12245"/>
    <cellStyle name="Entrada 2 2 7" xfId="451"/>
    <cellStyle name="Entrada 2 2 7 2" xfId="12069"/>
    <cellStyle name="Entrada 2 2 7 3" xfId="12217"/>
    <cellStyle name="Entrada 2 2 8" xfId="12010"/>
    <cellStyle name="Entrada 2 2 9" xfId="12148"/>
    <cellStyle name="Entrada 2 3" xfId="179"/>
    <cellStyle name="Entrada 2 3 2" xfId="329"/>
    <cellStyle name="Entrada 2 3 2 2" xfId="12026"/>
    <cellStyle name="Entrada 2 3 2 3" xfId="12174"/>
    <cellStyle name="Entrada 2 3 3" xfId="430"/>
    <cellStyle name="Entrada 2 3 3 2" xfId="12060"/>
    <cellStyle name="Entrada 2 3 3 3" xfId="12208"/>
    <cellStyle name="Entrada 2 3 4" xfId="431"/>
    <cellStyle name="Entrada 2 3 4 2" xfId="12061"/>
    <cellStyle name="Entrada 2 3 4 3" xfId="12209"/>
    <cellStyle name="Entrada 2 3 5" xfId="492"/>
    <cellStyle name="Entrada 2 3 5 2" xfId="12088"/>
    <cellStyle name="Entrada 2 3 5 3" xfId="12236"/>
    <cellStyle name="Entrada 2 3 6" xfId="498"/>
    <cellStyle name="Entrada 2 3 6 2" xfId="12092"/>
    <cellStyle name="Entrada 2 3 6 3" xfId="12240"/>
    <cellStyle name="Entrada 2 3 7" xfId="499"/>
    <cellStyle name="Entrada 2 3 7 2" xfId="12093"/>
    <cellStyle name="Entrada 2 3 7 3" xfId="12241"/>
    <cellStyle name="Entrada 2 3 8" xfId="12011"/>
    <cellStyle name="Entrada 2 3 9" xfId="12149"/>
    <cellStyle name="Entrada 2 4" xfId="327"/>
    <cellStyle name="Entrada 2 4 2" xfId="12024"/>
    <cellStyle name="Entrada 2 4 3" xfId="12172"/>
    <cellStyle name="Entrada 2 5" xfId="428"/>
    <cellStyle name="Entrada 2 5 2" xfId="12058"/>
    <cellStyle name="Entrada 2 5 3" xfId="12206"/>
    <cellStyle name="Entrada 2 6" xfId="468"/>
    <cellStyle name="Entrada 2 6 2" xfId="12077"/>
    <cellStyle name="Entrada 2 6 3" xfId="12225"/>
    <cellStyle name="Entrada 2 7" xfId="380"/>
    <cellStyle name="Entrada 2 7 2" xfId="12032"/>
    <cellStyle name="Entrada 2 7 3" xfId="12180"/>
    <cellStyle name="Entrada 2 8" xfId="417"/>
    <cellStyle name="Entrada 2 8 2" xfId="12050"/>
    <cellStyle name="Entrada 2 8 3" xfId="12198"/>
    <cellStyle name="Entrada 2 9" xfId="513"/>
    <cellStyle name="Entrada 2 9 2" xfId="12099"/>
    <cellStyle name="Entrada 2 9 3" xfId="12247"/>
    <cellStyle name="Estilo 1" xfId="263"/>
    <cellStyle name="Excel Built-in Normal" xfId="1803"/>
    <cellStyle name="Excel Built-in Normal 2" xfId="1804"/>
    <cellStyle name="Excel Built-in Normal 2 2" xfId="1805"/>
    <cellStyle name="Excel Built-in Normal 3" xfId="1806"/>
    <cellStyle name="Excel Built-in Normal 3 2" xfId="1807"/>
    <cellStyle name="Excel Built-in Normal 4" xfId="1808"/>
    <cellStyle name="Explanatory Text" xfId="50"/>
    <cellStyle name="Explanatory Text 10 10 3" xfId="10685"/>
    <cellStyle name="Explanatory Text 10 11 2" xfId="10686"/>
    <cellStyle name="Explanatory Text 10 2" xfId="10687"/>
    <cellStyle name="Explanatory Text 10 3" xfId="10688"/>
    <cellStyle name="Explanatory Text 10 4" xfId="10689"/>
    <cellStyle name="Explanatory Text 10 5" xfId="10690"/>
    <cellStyle name="Explanatory Text 10 8 5" xfId="10691"/>
    <cellStyle name="Explanatory Text 11 17" xfId="10692"/>
    <cellStyle name="Explanatory Text 11 2" xfId="10693"/>
    <cellStyle name="Explanatory Text 11 2 5" xfId="10694"/>
    <cellStyle name="Explanatory Text 11 3" xfId="10695"/>
    <cellStyle name="Explanatory Text 11 4 5" xfId="10696"/>
    <cellStyle name="Explanatory Text 11 4 6" xfId="10697"/>
    <cellStyle name="Explanatory Text 11 6 5" xfId="10698"/>
    <cellStyle name="Explanatory Text 12" xfId="10699"/>
    <cellStyle name="Explanatory Text 12 16" xfId="10700"/>
    <cellStyle name="Explanatory Text 12 2" xfId="10701"/>
    <cellStyle name="Explanatory Text 12 3" xfId="10702"/>
    <cellStyle name="Explanatory Text 12 6 5" xfId="10703"/>
    <cellStyle name="Explanatory Text 12 8 3" xfId="10704"/>
    <cellStyle name="Explanatory Text 12 8 4" xfId="10705"/>
    <cellStyle name="Explanatory Text 12 9 2" xfId="10706"/>
    <cellStyle name="Explanatory Text 13" xfId="10707"/>
    <cellStyle name="Explanatory Text 13 15" xfId="10708"/>
    <cellStyle name="Explanatory Text 13 2" xfId="10709"/>
    <cellStyle name="Explanatory Text 14" xfId="10710"/>
    <cellStyle name="Explanatory Text 14 4 5" xfId="10711"/>
    <cellStyle name="Explanatory Text 14 7 2" xfId="10712"/>
    <cellStyle name="Explanatory Text 15" xfId="10713"/>
    <cellStyle name="Explanatory Text 16 4 3" xfId="10714"/>
    <cellStyle name="Explanatory Text 17 2 3" xfId="10715"/>
    <cellStyle name="Explanatory Text 17 2 4" xfId="10716"/>
    <cellStyle name="Explanatory Text 17 3 2" xfId="10717"/>
    <cellStyle name="Explanatory Text 17 9" xfId="10718"/>
    <cellStyle name="Explanatory Text 2" xfId="1809"/>
    <cellStyle name="Explanatory Text 2 10" xfId="10719"/>
    <cellStyle name="Explanatory Text 2 11" xfId="10720"/>
    <cellStyle name="Explanatory Text 2 2" xfId="1810"/>
    <cellStyle name="Explanatory Text 2 2 2" xfId="1811"/>
    <cellStyle name="Explanatory Text 2 2 2 2 2 2" xfId="10721"/>
    <cellStyle name="Explanatory Text 2 2 3" xfId="1812"/>
    <cellStyle name="Explanatory Text 2 2 3 2" xfId="1813"/>
    <cellStyle name="Explanatory Text 2 3" xfId="1814"/>
    <cellStyle name="Explanatory Text 2 3 2 2 2 2" xfId="10722"/>
    <cellStyle name="Explanatory Text 2 3 6" xfId="10723"/>
    <cellStyle name="Explanatory Text 2 4" xfId="1815"/>
    <cellStyle name="Explanatory Text 2 4 5" xfId="10724"/>
    <cellStyle name="Explanatory Text 2 5" xfId="1816"/>
    <cellStyle name="Explanatory Text 2 5 2" xfId="1817"/>
    <cellStyle name="Explanatory Text 2 5 5" xfId="10725"/>
    <cellStyle name="Explanatory Text 2 5 6" xfId="10726"/>
    <cellStyle name="Explanatory Text 2 6" xfId="1818"/>
    <cellStyle name="Explanatory Text 2 7" xfId="10727"/>
    <cellStyle name="Explanatory Text 2 9" xfId="10728"/>
    <cellStyle name="Explanatory Text 3" xfId="1819"/>
    <cellStyle name="Explanatory Text 3 10" xfId="10729"/>
    <cellStyle name="Explanatory Text 3 11" xfId="10730"/>
    <cellStyle name="Explanatory Text 3 14 5" xfId="10731"/>
    <cellStyle name="Explanatory Text 3 16 3" xfId="10732"/>
    <cellStyle name="Explanatory Text 3 2" xfId="1820"/>
    <cellStyle name="Explanatory Text 3 2 2" xfId="1821"/>
    <cellStyle name="Explanatory Text 3 2 2 2 2 2" xfId="10733"/>
    <cellStyle name="Explanatory Text 3 2 5" xfId="10734"/>
    <cellStyle name="Explanatory Text 3 3" xfId="1822"/>
    <cellStyle name="Explanatory Text 3 3 2 2 2" xfId="10735"/>
    <cellStyle name="Explanatory Text 3 4" xfId="1823"/>
    <cellStyle name="Explanatory Text 3 4 2" xfId="1824"/>
    <cellStyle name="Explanatory Text 3 8" xfId="10736"/>
    <cellStyle name="Explanatory Text 3 9" xfId="10737"/>
    <cellStyle name="Explanatory Text 4" xfId="1825"/>
    <cellStyle name="Explanatory Text 4 10 5" xfId="10738"/>
    <cellStyle name="Explanatory Text 4 11" xfId="10739"/>
    <cellStyle name="Explanatory Text 4 12 5" xfId="10740"/>
    <cellStyle name="Explanatory Text 4 14 5" xfId="10741"/>
    <cellStyle name="Explanatory Text 4 2" xfId="1826"/>
    <cellStyle name="Explanatory Text 4 2 2 2 2 2" xfId="10742"/>
    <cellStyle name="Explanatory Text 4 3" xfId="1827"/>
    <cellStyle name="Explanatory Text 4 3 2" xfId="1828"/>
    <cellStyle name="Explanatory Text 4 3 2 2 2" xfId="10743"/>
    <cellStyle name="Explanatory Text 4 6 6" xfId="10744"/>
    <cellStyle name="Explanatory Text 4 7" xfId="10745"/>
    <cellStyle name="Explanatory Text 4 9" xfId="10746"/>
    <cellStyle name="Explanatory Text 4 9 5" xfId="10747"/>
    <cellStyle name="Explanatory Text 4 9 6" xfId="10748"/>
    <cellStyle name="Explanatory Text 5" xfId="1829"/>
    <cellStyle name="Explanatory Text 5 10" xfId="10749"/>
    <cellStyle name="Explanatory Text 5 2 2 2 2" xfId="10750"/>
    <cellStyle name="Explanatory Text 5 23" xfId="10751"/>
    <cellStyle name="Explanatory Text 5 3 6" xfId="10752"/>
    <cellStyle name="Explanatory Text 5 6" xfId="10753"/>
    <cellStyle name="Explanatory Text 5 7" xfId="10754"/>
    <cellStyle name="Explanatory Text 5 7 6" xfId="10755"/>
    <cellStyle name="Explanatory Text 5 8" xfId="10756"/>
    <cellStyle name="Explanatory Text 6" xfId="1830"/>
    <cellStyle name="Explanatory Text 6 10 6" xfId="10757"/>
    <cellStyle name="Explanatory Text 6 2 6" xfId="10758"/>
    <cellStyle name="Explanatory Text 6 5 6" xfId="10759"/>
    <cellStyle name="Explanatory Text 6 7" xfId="10760"/>
    <cellStyle name="Explanatory Text 6 8" xfId="10761"/>
    <cellStyle name="Explanatory Text 6 9" xfId="10762"/>
    <cellStyle name="Explanatory Text 7" xfId="1831"/>
    <cellStyle name="Explanatory Text 7 2" xfId="1832"/>
    <cellStyle name="Explanatory Text 7 6" xfId="10763"/>
    <cellStyle name="Explanatory Text 7 7" xfId="10764"/>
    <cellStyle name="Explanatory Text 7 8" xfId="10765"/>
    <cellStyle name="Explanatory Text 8" xfId="1833"/>
    <cellStyle name="Explanatory Text 8 11 3" xfId="10766"/>
    <cellStyle name="Explanatory Text 8 12 4" xfId="10767"/>
    <cellStyle name="Explanatory Text 8 2" xfId="1834"/>
    <cellStyle name="Explanatory Text 8 20" xfId="10768"/>
    <cellStyle name="Explanatory Text 8 21" xfId="10769"/>
    <cellStyle name="Explanatory Text 8 5" xfId="10770"/>
    <cellStyle name="Explanatory Text 8 6" xfId="10771"/>
    <cellStyle name="Explanatory Text 8 7" xfId="10772"/>
    <cellStyle name="Explanatory Text 8 9 5" xfId="10773"/>
    <cellStyle name="Explanatory Text 9 20" xfId="10774"/>
    <cellStyle name="Explanatory Text 9 3" xfId="10775"/>
    <cellStyle name="Explanatory Text 9 4" xfId="10776"/>
    <cellStyle name="Explanatory Text 9 5" xfId="10777"/>
    <cellStyle name="Explanatory Text 9 5 5" xfId="10778"/>
    <cellStyle name="Explanatory Text 9 6" xfId="10779"/>
    <cellStyle name="Explanatory Text 9 6 5" xfId="10780"/>
    <cellStyle name="Explanatory Text 9 8 5" xfId="10781"/>
    <cellStyle name="Explanatory Text 9 9 5" xfId="10782"/>
    <cellStyle name="Good" xfId="51"/>
    <cellStyle name="Good 10 2" xfId="10783"/>
    <cellStyle name="Good 10 3" xfId="10784"/>
    <cellStyle name="Good 10 4" xfId="10785"/>
    <cellStyle name="Good 11 2" xfId="10786"/>
    <cellStyle name="Good 11 3 6" xfId="10787"/>
    <cellStyle name="Good 11 5 7" xfId="10788"/>
    <cellStyle name="Good 11 6 5" xfId="10789"/>
    <cellStyle name="Good 11 9 3" xfId="10790"/>
    <cellStyle name="Good 12 10 2" xfId="10791"/>
    <cellStyle name="Good 12 16" xfId="10792"/>
    <cellStyle name="Good 12 2" xfId="10793"/>
    <cellStyle name="Good 12 2 6" xfId="10794"/>
    <cellStyle name="Good 12 3" xfId="10795"/>
    <cellStyle name="Good 12 3 5" xfId="10796"/>
    <cellStyle name="Good 12 4 5" xfId="10797"/>
    <cellStyle name="Good 12 5 5" xfId="10798"/>
    <cellStyle name="Good 12 9 2" xfId="10799"/>
    <cellStyle name="Good 13" xfId="10800"/>
    <cellStyle name="Good 13 2" xfId="10801"/>
    <cellStyle name="Good 13 7 3" xfId="10802"/>
    <cellStyle name="Good 14" xfId="10803"/>
    <cellStyle name="Good 14 2 5" xfId="10804"/>
    <cellStyle name="Good 14 4 5" xfId="10805"/>
    <cellStyle name="Good 14 6 3" xfId="10806"/>
    <cellStyle name="Good 14 7 3" xfId="10807"/>
    <cellStyle name="Good 15" xfId="10808"/>
    <cellStyle name="Good 15 12" xfId="10809"/>
    <cellStyle name="Good 15 3 3" xfId="10810"/>
    <cellStyle name="Good 15 3 4" xfId="10811"/>
    <cellStyle name="Good 15 5 2" xfId="10812"/>
    <cellStyle name="Good 16 2 3" xfId="10813"/>
    <cellStyle name="Good 16 4 2" xfId="10814"/>
    <cellStyle name="Good 17 2 3" xfId="10815"/>
    <cellStyle name="Good 17 9" xfId="10816"/>
    <cellStyle name="Good 18 8" xfId="10817"/>
    <cellStyle name="Good 19 6" xfId="10818"/>
    <cellStyle name="Good 2" xfId="264"/>
    <cellStyle name="Good 2 10" xfId="10819"/>
    <cellStyle name="Good 2 11" xfId="10820"/>
    <cellStyle name="Good 2 11 5" xfId="10821"/>
    <cellStyle name="Good 2 17 3" xfId="10822"/>
    <cellStyle name="Good 2 2" xfId="307"/>
    <cellStyle name="Good 2 2 2" xfId="1835"/>
    <cellStyle name="Good 2 2 2 2 2 2" xfId="10823"/>
    <cellStyle name="Good 2 2 3" xfId="1836"/>
    <cellStyle name="Good 2 2 3 2" xfId="1837"/>
    <cellStyle name="Good 2 2 5" xfId="10824"/>
    <cellStyle name="Good 2 3" xfId="1838"/>
    <cellStyle name="Good 2 3 2 2 2 2" xfId="10825"/>
    <cellStyle name="Good 2 3 5" xfId="10826"/>
    <cellStyle name="Good 2 4" xfId="1839"/>
    <cellStyle name="Good 2 4 5" xfId="10827"/>
    <cellStyle name="Good 2 5" xfId="1840"/>
    <cellStyle name="Good 2 5 2" xfId="1841"/>
    <cellStyle name="Good 2 5 5" xfId="10828"/>
    <cellStyle name="Good 2 6" xfId="1842"/>
    <cellStyle name="Good 2 6 5" xfId="10829"/>
    <cellStyle name="Good 2 7 5" xfId="10830"/>
    <cellStyle name="Good 2 8" xfId="10831"/>
    <cellStyle name="Good 2 8 5" xfId="10832"/>
    <cellStyle name="Good 2 9" xfId="10833"/>
    <cellStyle name="Good 2 9 5" xfId="10834"/>
    <cellStyle name="Good 28" xfId="10835"/>
    <cellStyle name="Good 3" xfId="368"/>
    <cellStyle name="Good 3 10" xfId="10836"/>
    <cellStyle name="Good 3 10 5" xfId="10837"/>
    <cellStyle name="Good 3 11" xfId="10838"/>
    <cellStyle name="Good 3 11 5" xfId="10839"/>
    <cellStyle name="Good 3 2" xfId="1843"/>
    <cellStyle name="Good 3 2 2" xfId="1844"/>
    <cellStyle name="Good 3 2 2 2 2 2" xfId="10840"/>
    <cellStyle name="Good 3 24" xfId="10841"/>
    <cellStyle name="Good 3 3" xfId="1845"/>
    <cellStyle name="Good 3 3 2 2 2" xfId="10842"/>
    <cellStyle name="Good 3 4" xfId="1846"/>
    <cellStyle name="Good 3 4 2" xfId="1847"/>
    <cellStyle name="Good 3 4 5" xfId="10843"/>
    <cellStyle name="Good 3 8 5" xfId="10844"/>
    <cellStyle name="Good 3 9 6" xfId="10845"/>
    <cellStyle name="Good 4" xfId="1848"/>
    <cellStyle name="Good 4 10" xfId="10846"/>
    <cellStyle name="Good 4 11 5" xfId="10847"/>
    <cellStyle name="Good 4 13 5" xfId="10848"/>
    <cellStyle name="Good 4 14 5" xfId="10849"/>
    <cellStyle name="Good 4 15 3" xfId="10850"/>
    <cellStyle name="Good 4 17 2" xfId="10851"/>
    <cellStyle name="Good 4 18 2" xfId="10852"/>
    <cellStyle name="Good 4 2" xfId="1849"/>
    <cellStyle name="Good 4 2 2 2 2 2" xfId="10853"/>
    <cellStyle name="Good 4 2 5" xfId="10854"/>
    <cellStyle name="Good 4 24" xfId="10855"/>
    <cellStyle name="Good 4 3" xfId="1850"/>
    <cellStyle name="Good 4 3 2" xfId="1851"/>
    <cellStyle name="Good 4 3 2 2 2" xfId="10856"/>
    <cellStyle name="Good 4 3 6" xfId="10857"/>
    <cellStyle name="Good 4 4 6" xfId="10858"/>
    <cellStyle name="Good 4 7" xfId="10859"/>
    <cellStyle name="Good 4 8" xfId="10860"/>
    <cellStyle name="Good 4 9" xfId="10861"/>
    <cellStyle name="Good 5" xfId="1852"/>
    <cellStyle name="Good 5 10" xfId="10862"/>
    <cellStyle name="Good 5 13 6" xfId="10863"/>
    <cellStyle name="Good 5 15 3" xfId="10864"/>
    <cellStyle name="Good 5 15 4" xfId="10865"/>
    <cellStyle name="Good 5 2 2 2 2" xfId="10866"/>
    <cellStyle name="Good 5 2 5" xfId="10867"/>
    <cellStyle name="Good 5 3 5" xfId="10868"/>
    <cellStyle name="Good 5 4 5" xfId="10869"/>
    <cellStyle name="Good 5 5 5" xfId="10870"/>
    <cellStyle name="Good 5 6" xfId="10871"/>
    <cellStyle name="Good 5 6 5" xfId="10872"/>
    <cellStyle name="Good 5 7 5" xfId="10873"/>
    <cellStyle name="Good 5 8" xfId="10874"/>
    <cellStyle name="Good 5 8 5" xfId="10875"/>
    <cellStyle name="Good 5 9" xfId="10876"/>
    <cellStyle name="Good 6" xfId="1853"/>
    <cellStyle name="Good 6 14 3" xfId="10877"/>
    <cellStyle name="Good 6 15 2" xfId="10878"/>
    <cellStyle name="Good 6 3 5" xfId="10879"/>
    <cellStyle name="Good 6 4 5" xfId="10880"/>
    <cellStyle name="Good 6 6 5" xfId="10881"/>
    <cellStyle name="Good 6 7" xfId="10882"/>
    <cellStyle name="Good 6 8" xfId="10883"/>
    <cellStyle name="Good 6 9" xfId="10884"/>
    <cellStyle name="Good 7" xfId="1854"/>
    <cellStyle name="Good 7 2" xfId="1855"/>
    <cellStyle name="Good 7 3 5" xfId="10885"/>
    <cellStyle name="Good 7 5 5" xfId="10886"/>
    <cellStyle name="Good 7 6" xfId="10887"/>
    <cellStyle name="Good 7 7" xfId="10888"/>
    <cellStyle name="Good 7 7 6" xfId="10889"/>
    <cellStyle name="Good 7 8" xfId="10890"/>
    <cellStyle name="Good 8" xfId="1856"/>
    <cellStyle name="Good 8 10 5" xfId="10891"/>
    <cellStyle name="Good 8 11 3" xfId="10892"/>
    <cellStyle name="Good 8 13 2" xfId="10893"/>
    <cellStyle name="Good 8 2" xfId="1857"/>
    <cellStyle name="Good 8 3 5" xfId="10894"/>
    <cellStyle name="Good 8 5" xfId="10895"/>
    <cellStyle name="Good 8 6" xfId="10896"/>
    <cellStyle name="Good 8 7" xfId="10897"/>
    <cellStyle name="Good 8 8 5" xfId="10898"/>
    <cellStyle name="Good 8 8 6" xfId="10899"/>
    <cellStyle name="Good 9 4" xfId="10900"/>
    <cellStyle name="Good 9 5" xfId="10901"/>
    <cellStyle name="Good 9 5 5" xfId="10902"/>
    <cellStyle name="Good 9 8 5" xfId="10903"/>
    <cellStyle name="Good 9 9 5" xfId="10904"/>
    <cellStyle name="Grey" xfId="52"/>
    <cellStyle name="Grey 2" xfId="53"/>
    <cellStyle name="Header1" xfId="54"/>
    <cellStyle name="Header1 2" xfId="180"/>
    <cellStyle name="Header1 3" xfId="181"/>
    <cellStyle name="Header2" xfId="55"/>
    <cellStyle name="Header2 2" xfId="182"/>
    <cellStyle name="Header2 2 2" xfId="330"/>
    <cellStyle name="Header2 2 3" xfId="432"/>
    <cellStyle name="Header2 2 4" xfId="394"/>
    <cellStyle name="Header2 2 5" xfId="442"/>
    <cellStyle name="Header2 2 6" xfId="502"/>
    <cellStyle name="Header2 2 7" xfId="517"/>
    <cellStyle name="Header2 2 8" xfId="12150"/>
    <cellStyle name="Header2 3" xfId="308"/>
    <cellStyle name="Header2 4" xfId="395"/>
    <cellStyle name="Header2 5" xfId="403"/>
    <cellStyle name="Header2 6" xfId="497"/>
    <cellStyle name="Header2 7" xfId="425"/>
    <cellStyle name="Header2 8" xfId="476"/>
    <cellStyle name="Header2 9" xfId="12138"/>
    <cellStyle name="Heading 1" xfId="56"/>
    <cellStyle name="Heading 1 10 2" xfId="10905"/>
    <cellStyle name="Heading 1 10 5" xfId="10906"/>
    <cellStyle name="Heading 1 10 6 5" xfId="10907"/>
    <cellStyle name="Heading 1 10 7 5" xfId="10908"/>
    <cellStyle name="Heading 1 10 8 5" xfId="10909"/>
    <cellStyle name="Heading 1 11 2" xfId="10910"/>
    <cellStyle name="Heading 1 11 3" xfId="10911"/>
    <cellStyle name="Heading 1 12" xfId="10912"/>
    <cellStyle name="Heading 1 12 2" xfId="10913"/>
    <cellStyle name="Heading 1 12 2 5" xfId="10914"/>
    <cellStyle name="Heading 1 12 3" xfId="10915"/>
    <cellStyle name="Heading 1 12 4 5" xfId="10916"/>
    <cellStyle name="Heading 1 12 5 5" xfId="10917"/>
    <cellStyle name="Heading 1 12 6 5" xfId="10918"/>
    <cellStyle name="Heading 1 12 7 3" xfId="10919"/>
    <cellStyle name="Heading 1 13 6 3" xfId="10920"/>
    <cellStyle name="Heading 1 13 8 2" xfId="10921"/>
    <cellStyle name="Heading 1 14" xfId="10922"/>
    <cellStyle name="Heading 1 14 2 5" xfId="10923"/>
    <cellStyle name="Heading 1 14 4 5" xfId="10924"/>
    <cellStyle name="Heading 1 15" xfId="10925"/>
    <cellStyle name="Heading 1 15 4 3" xfId="10926"/>
    <cellStyle name="Heading 1 16 11" xfId="10927"/>
    <cellStyle name="Heading 1 16 3 3" xfId="10928"/>
    <cellStyle name="Heading 1 17 10" xfId="10929"/>
    <cellStyle name="Heading 1 17 4 2" xfId="10930"/>
    <cellStyle name="Heading 1 2" xfId="265"/>
    <cellStyle name="Heading 1 2 10" xfId="10931"/>
    <cellStyle name="Heading 1 2 11" xfId="10932"/>
    <cellStyle name="Heading 1 2 13 5" xfId="10933"/>
    <cellStyle name="Heading 1 2 14 5" xfId="10934"/>
    <cellStyle name="Heading 1 2 15 4" xfId="10935"/>
    <cellStyle name="Heading 1 2 2" xfId="309"/>
    <cellStyle name="Heading 1 2 2 2" xfId="1858"/>
    <cellStyle name="Heading 1 2 2 2 2 2 2" xfId="10936"/>
    <cellStyle name="Heading 1 2 2 3" xfId="1859"/>
    <cellStyle name="Heading 1 2 2 3 2" xfId="1860"/>
    <cellStyle name="Heading 1 2 3" xfId="1861"/>
    <cellStyle name="Heading 1 2 3 2 2 2 2" xfId="10937"/>
    <cellStyle name="Heading 1 2 4" xfId="1862"/>
    <cellStyle name="Heading 1 2 5" xfId="1863"/>
    <cellStyle name="Heading 1 2 5 2" xfId="1864"/>
    <cellStyle name="Heading 1 2 6" xfId="1865"/>
    <cellStyle name="Heading 1 2 8" xfId="10938"/>
    <cellStyle name="Heading 1 3" xfId="369"/>
    <cellStyle name="Heading 1 3 10" xfId="10939"/>
    <cellStyle name="Heading 1 3 11" xfId="10940"/>
    <cellStyle name="Heading 1 3 2" xfId="1866"/>
    <cellStyle name="Heading 1 3 2 2" xfId="1867"/>
    <cellStyle name="Heading 1 3 2 2 2 2 2" xfId="10941"/>
    <cellStyle name="Heading 1 3 3" xfId="1868"/>
    <cellStyle name="Heading 1 3 3 2 2 2" xfId="10942"/>
    <cellStyle name="Heading 1 3 4" xfId="1869"/>
    <cellStyle name="Heading 1 3 4 2" xfId="1870"/>
    <cellStyle name="Heading 1 3 7" xfId="10943"/>
    <cellStyle name="Heading 1 3 8" xfId="10944"/>
    <cellStyle name="Heading 1 3 9" xfId="10945"/>
    <cellStyle name="Heading 1 4" xfId="1871"/>
    <cellStyle name="Heading 1 4 10" xfId="10946"/>
    <cellStyle name="Heading 1 4 11" xfId="10947"/>
    <cellStyle name="Heading 1 4 14 6" xfId="10948"/>
    <cellStyle name="Heading 1 4 2" xfId="1872"/>
    <cellStyle name="Heading 1 4 2 2 2 2 2" xfId="10949"/>
    <cellStyle name="Heading 1 4 3" xfId="1873"/>
    <cellStyle name="Heading 1 4 3 2" xfId="1874"/>
    <cellStyle name="Heading 1 4 3 2 2 2" xfId="10950"/>
    <cellStyle name="Heading 1 4 8 5" xfId="10951"/>
    <cellStyle name="Heading 1 4 9 5" xfId="10952"/>
    <cellStyle name="Heading 1 5" xfId="1875"/>
    <cellStyle name="Heading 1 5 2 2 2 2" xfId="10953"/>
    <cellStyle name="Heading 1 5 23" xfId="10954"/>
    <cellStyle name="Heading 1 5 4 5" xfId="10955"/>
    <cellStyle name="Heading 1 5 6" xfId="10956"/>
    <cellStyle name="Heading 1 5 7" xfId="10957"/>
    <cellStyle name="Heading 1 5 8" xfId="10958"/>
    <cellStyle name="Heading 1 5 9" xfId="10959"/>
    <cellStyle name="Heading 1 6" xfId="1876"/>
    <cellStyle name="Heading 1 6 11 5" xfId="10960"/>
    <cellStyle name="Heading 1 6 2 5" xfId="10961"/>
    <cellStyle name="Heading 1 6 23" xfId="10962"/>
    <cellStyle name="Heading 1 6 3 5" xfId="10963"/>
    <cellStyle name="Heading 1 6 4 5" xfId="10964"/>
    <cellStyle name="Heading 1 6 7" xfId="10965"/>
    <cellStyle name="Heading 1 6 8" xfId="10966"/>
    <cellStyle name="Heading 1 6 9" xfId="10967"/>
    <cellStyle name="Heading 1 7" xfId="1877"/>
    <cellStyle name="Heading 1 7 2" xfId="1878"/>
    <cellStyle name="Heading 1 7 5 5" xfId="10968"/>
    <cellStyle name="Heading 1 7 6" xfId="10969"/>
    <cellStyle name="Heading 1 7 7" xfId="10970"/>
    <cellStyle name="Heading 1 7 7 5" xfId="10971"/>
    <cellStyle name="Heading 1 7 8" xfId="10972"/>
    <cellStyle name="Heading 1 8" xfId="1879"/>
    <cellStyle name="Heading 1 8 12 3" xfId="10973"/>
    <cellStyle name="Heading 1 8 13 2" xfId="10974"/>
    <cellStyle name="Heading 1 8 2" xfId="1880"/>
    <cellStyle name="Heading 1 8 4" xfId="10975"/>
    <cellStyle name="Heading 1 8 6" xfId="10976"/>
    <cellStyle name="Heading 1 8 6 5" xfId="10977"/>
    <cellStyle name="Heading 1 8 7" xfId="10978"/>
    <cellStyle name="Heading 1 9 10 3" xfId="10979"/>
    <cellStyle name="Heading 1 9 12 2" xfId="10980"/>
    <cellStyle name="Heading 1 9 4" xfId="10981"/>
    <cellStyle name="Heading 1 9 4 5" xfId="10982"/>
    <cellStyle name="Heading 1 9 5" xfId="10983"/>
    <cellStyle name="Heading 1 9 5 6" xfId="10984"/>
    <cellStyle name="Heading 1 9 6" xfId="10985"/>
    <cellStyle name="Heading 1 9 6 5" xfId="10986"/>
    <cellStyle name="Heading 2" xfId="57"/>
    <cellStyle name="Heading 2 10 10 3" xfId="10987"/>
    <cellStyle name="Heading 2 10 2" xfId="10988"/>
    <cellStyle name="Heading 2 10 2 5" xfId="10989"/>
    <cellStyle name="Heading 2 10 3" xfId="10990"/>
    <cellStyle name="Heading 2 10 4" xfId="10991"/>
    <cellStyle name="Heading 2 10 4 6" xfId="10992"/>
    <cellStyle name="Heading 2 10 5" xfId="10993"/>
    <cellStyle name="Heading 2 10 6 6" xfId="10994"/>
    <cellStyle name="Heading 2 10 7 5" xfId="10995"/>
    <cellStyle name="Heading 2 10 8 5" xfId="10996"/>
    <cellStyle name="Heading 2 11 2" xfId="10997"/>
    <cellStyle name="Heading 2 11 3" xfId="10998"/>
    <cellStyle name="Heading 2 11 3 5" xfId="10999"/>
    <cellStyle name="Heading 2 11 4 5" xfId="11000"/>
    <cellStyle name="Heading 2 12" xfId="11001"/>
    <cellStyle name="Heading 2 12 16" xfId="11002"/>
    <cellStyle name="Heading 2 12 2" xfId="11003"/>
    <cellStyle name="Heading 2 12 5 5" xfId="11004"/>
    <cellStyle name="Heading 2 12 6 5" xfId="11005"/>
    <cellStyle name="Heading 2 12 7 3" xfId="11006"/>
    <cellStyle name="Heading 2 12 8 3" xfId="11007"/>
    <cellStyle name="Heading 2 12 9 2" xfId="11008"/>
    <cellStyle name="Heading 2 13" xfId="11009"/>
    <cellStyle name="Heading 2 13 2" xfId="11010"/>
    <cellStyle name="Heading 2 13 4 5" xfId="11011"/>
    <cellStyle name="Heading 2 14" xfId="11012"/>
    <cellStyle name="Heading 2 14 4 5" xfId="11013"/>
    <cellStyle name="Heading 2 15" xfId="11014"/>
    <cellStyle name="Heading 2 15 12" xfId="11015"/>
    <cellStyle name="Heading 2 15 3 3" xfId="11016"/>
    <cellStyle name="Heading 2 15 5 2" xfId="11017"/>
    <cellStyle name="Heading 2 16 3 4" xfId="11018"/>
    <cellStyle name="Heading 2 16 4 2" xfId="11019"/>
    <cellStyle name="Heading 2 17 9" xfId="11020"/>
    <cellStyle name="Heading 2 18 2 2" xfId="11021"/>
    <cellStyle name="Heading 2 18 8" xfId="11022"/>
    <cellStyle name="Heading 2 2" xfId="266"/>
    <cellStyle name="Heading 2 2 10" xfId="11023"/>
    <cellStyle name="Heading 2 2 11" xfId="11024"/>
    <cellStyle name="Heading 2 2 11 6" xfId="11025"/>
    <cellStyle name="Heading 2 2 2" xfId="310"/>
    <cellStyle name="Heading 2 2 2 2" xfId="1881"/>
    <cellStyle name="Heading 2 2 2 2 2 2 2" xfId="11026"/>
    <cellStyle name="Heading 2 2 2 3" xfId="1882"/>
    <cellStyle name="Heading 2 2 2 3 2" xfId="1883"/>
    <cellStyle name="Heading 2 2 3" xfId="1884"/>
    <cellStyle name="Heading 2 2 3 2 2 2 2" xfId="11027"/>
    <cellStyle name="Heading 2 2 4" xfId="1885"/>
    <cellStyle name="Heading 2 2 5" xfId="1886"/>
    <cellStyle name="Heading 2 2 5 2" xfId="1887"/>
    <cellStyle name="Heading 2 2 5 5" xfId="11028"/>
    <cellStyle name="Heading 2 2 6" xfId="1888"/>
    <cellStyle name="Heading 2 2 6 5" xfId="11029"/>
    <cellStyle name="Heading 2 2 7" xfId="11030"/>
    <cellStyle name="Heading 2 2 7 5" xfId="11031"/>
    <cellStyle name="Heading 2 2 8" xfId="11032"/>
    <cellStyle name="Heading 2 2 8 5" xfId="11033"/>
    <cellStyle name="Heading 2 2 9 5" xfId="11034"/>
    <cellStyle name="Heading 2 28" xfId="11035"/>
    <cellStyle name="Heading 2 3" xfId="370"/>
    <cellStyle name="Heading 2 3 10 5" xfId="11036"/>
    <cellStyle name="Heading 2 3 11" xfId="11037"/>
    <cellStyle name="Heading 2 3 11 5" xfId="11038"/>
    <cellStyle name="Heading 2 3 17 2" xfId="11039"/>
    <cellStyle name="Heading 2 3 2" xfId="1889"/>
    <cellStyle name="Heading 2 3 2 2" xfId="1890"/>
    <cellStyle name="Heading 2 3 2 2 2 2 2" xfId="11040"/>
    <cellStyle name="Heading 2 3 25" xfId="11041"/>
    <cellStyle name="Heading 2 3 3" xfId="1891"/>
    <cellStyle name="Heading 2 3 3 2 2 2" xfId="11042"/>
    <cellStyle name="Heading 2 3 3 5" xfId="11043"/>
    <cellStyle name="Heading 2 3 4" xfId="1892"/>
    <cellStyle name="Heading 2 3 4 2" xfId="1893"/>
    <cellStyle name="Heading 2 3 4 5" xfId="11044"/>
    <cellStyle name="Heading 2 3 5 5" xfId="11045"/>
    <cellStyle name="Heading 2 3 7 5" xfId="11046"/>
    <cellStyle name="Heading 2 3 8" xfId="11047"/>
    <cellStyle name="Heading 2 3 9" xfId="11048"/>
    <cellStyle name="Heading 2 4" xfId="1894"/>
    <cellStyle name="Heading 2 4 10" xfId="11049"/>
    <cellStyle name="Heading 2 4 11" xfId="11050"/>
    <cellStyle name="Heading 2 4 11 5" xfId="11051"/>
    <cellStyle name="Heading 2 4 14 5" xfId="11052"/>
    <cellStyle name="Heading 2 4 17 2" xfId="11053"/>
    <cellStyle name="Heading 2 4 2" xfId="1895"/>
    <cellStyle name="Heading 2 4 2 2 2 2 2" xfId="11054"/>
    <cellStyle name="Heading 2 4 3" xfId="1896"/>
    <cellStyle name="Heading 2 4 3 2" xfId="1897"/>
    <cellStyle name="Heading 2 4 3 2 2 2" xfId="11055"/>
    <cellStyle name="Heading 2 4 3 5" xfId="11056"/>
    <cellStyle name="Heading 2 4 8" xfId="11057"/>
    <cellStyle name="Heading 2 4 9" xfId="11058"/>
    <cellStyle name="Heading 2 5" xfId="1898"/>
    <cellStyle name="Heading 2 5 10" xfId="11059"/>
    <cellStyle name="Heading 2 5 10 5" xfId="11060"/>
    <cellStyle name="Heading 2 5 11 5" xfId="11061"/>
    <cellStyle name="Heading 2 5 13 5" xfId="11062"/>
    <cellStyle name="Heading 2 5 15 3" xfId="11063"/>
    <cellStyle name="Heading 2 5 2 2 2 2" xfId="11064"/>
    <cellStyle name="Heading 2 5 2 5" xfId="11065"/>
    <cellStyle name="Heading 2 5 3 5" xfId="11066"/>
    <cellStyle name="Heading 2 5 4 5" xfId="11067"/>
    <cellStyle name="Heading 2 5 5 5" xfId="11068"/>
    <cellStyle name="Heading 2 5 6" xfId="11069"/>
    <cellStyle name="Heading 2 5 7" xfId="11070"/>
    <cellStyle name="Heading 2 5 8" xfId="11071"/>
    <cellStyle name="Heading 2 5 9" xfId="11072"/>
    <cellStyle name="Heading 2 6" xfId="1899"/>
    <cellStyle name="Heading 2 6 11 5" xfId="11073"/>
    <cellStyle name="Heading 2 6 13 3" xfId="11074"/>
    <cellStyle name="Heading 2 6 14 3" xfId="11075"/>
    <cellStyle name="Heading 2 6 15 2" xfId="11076"/>
    <cellStyle name="Heading 2 6 2 5" xfId="11077"/>
    <cellStyle name="Heading 2 6 7" xfId="11078"/>
    <cellStyle name="Heading 2 6 8" xfId="11079"/>
    <cellStyle name="Heading 2 7" xfId="1900"/>
    <cellStyle name="Heading 2 7 11 5" xfId="11080"/>
    <cellStyle name="Heading 2 7 12 3" xfId="11081"/>
    <cellStyle name="Heading 2 7 13 3" xfId="11082"/>
    <cellStyle name="Heading 2 7 14 2" xfId="11083"/>
    <cellStyle name="Heading 2 7 15 2" xfId="11084"/>
    <cellStyle name="Heading 2 7 2" xfId="1901"/>
    <cellStyle name="Heading 2 7 21" xfId="11085"/>
    <cellStyle name="Heading 2 7 6" xfId="11086"/>
    <cellStyle name="Heading 2 7 8" xfId="11087"/>
    <cellStyle name="Heading 2 8" xfId="1902"/>
    <cellStyle name="Heading 2 8 13 2" xfId="11088"/>
    <cellStyle name="Heading 2 8 2" xfId="1903"/>
    <cellStyle name="Heading 2 8 2 5" xfId="11089"/>
    <cellStyle name="Heading 2 8 2 6" xfId="11090"/>
    <cellStyle name="Heading 2 8 3 5" xfId="11091"/>
    <cellStyle name="Heading 2 8 5" xfId="11092"/>
    <cellStyle name="Heading 2 8 6" xfId="11093"/>
    <cellStyle name="Heading 2 8 7 6" xfId="11094"/>
    <cellStyle name="Heading 2 9 11 3" xfId="11095"/>
    <cellStyle name="Heading 2 9 19" xfId="11096"/>
    <cellStyle name="Heading 2 9 2 5" xfId="11097"/>
    <cellStyle name="Heading 2 9 4 5" xfId="11098"/>
    <cellStyle name="Heading 3" xfId="58"/>
    <cellStyle name="Heading 3 10 18" xfId="11099"/>
    <cellStyle name="Heading 3 10 2" xfId="11100"/>
    <cellStyle name="Heading 3 10 3" xfId="11101"/>
    <cellStyle name="Heading 3 10 3 5" xfId="11102"/>
    <cellStyle name="Heading 3 10 4" xfId="11103"/>
    <cellStyle name="Heading 3 10 5" xfId="11104"/>
    <cellStyle name="Heading 3 10 9 4" xfId="11105"/>
    <cellStyle name="Heading 3 11 2" xfId="11106"/>
    <cellStyle name="Heading 3 11 3" xfId="11107"/>
    <cellStyle name="Heading 3 11 6 5" xfId="11108"/>
    <cellStyle name="Heading 3 11 8 3" xfId="11109"/>
    <cellStyle name="Heading 3 11 9 3" xfId="11110"/>
    <cellStyle name="Heading 3 12 2" xfId="11111"/>
    <cellStyle name="Heading 3 12 3" xfId="11112"/>
    <cellStyle name="Heading 3 13" xfId="11113"/>
    <cellStyle name="Heading 3 13 2" xfId="11114"/>
    <cellStyle name="Heading 3 14" xfId="11115"/>
    <cellStyle name="Heading 3 14 6 4" xfId="11116"/>
    <cellStyle name="Heading 3 15" xfId="11117"/>
    <cellStyle name="Heading 3 2" xfId="267"/>
    <cellStyle name="Heading 3 2 10" xfId="11118"/>
    <cellStyle name="Heading 3 2 11" xfId="11119"/>
    <cellStyle name="Heading 3 2 12 5" xfId="11120"/>
    <cellStyle name="Heading 3 2 13 5" xfId="11121"/>
    <cellStyle name="Heading 3 2 14 5" xfId="11122"/>
    <cellStyle name="Heading 3 2 2" xfId="311"/>
    <cellStyle name="Heading 3 2 2 2" xfId="1904"/>
    <cellStyle name="Heading 3 2 2 2 2 2 2" xfId="11123"/>
    <cellStyle name="Heading 3 2 2 3" xfId="1905"/>
    <cellStyle name="Heading 3 2 2 3 2" xfId="1906"/>
    <cellStyle name="Heading 3 2 3" xfId="1907"/>
    <cellStyle name="Heading 3 2 3 2 2 2 2" xfId="11124"/>
    <cellStyle name="Heading 3 2 4" xfId="1908"/>
    <cellStyle name="Heading 3 2 5" xfId="1909"/>
    <cellStyle name="Heading 3 2 5 2" xfId="1910"/>
    <cellStyle name="Heading 3 2 6" xfId="1911"/>
    <cellStyle name="Heading 3 2 7" xfId="11125"/>
    <cellStyle name="Heading 3 3" xfId="371"/>
    <cellStyle name="Heading 3 3 10" xfId="11126"/>
    <cellStyle name="Heading 3 3 13 6" xfId="11127"/>
    <cellStyle name="Heading 3 3 14 5" xfId="11128"/>
    <cellStyle name="Heading 3 3 16 3" xfId="11129"/>
    <cellStyle name="Heading 3 3 2" xfId="1912"/>
    <cellStyle name="Heading 3 3 2 2" xfId="1913"/>
    <cellStyle name="Heading 3 3 2 2 2 2 2" xfId="11130"/>
    <cellStyle name="Heading 3 3 2 5" xfId="11131"/>
    <cellStyle name="Heading 3 3 3" xfId="1914"/>
    <cellStyle name="Heading 3 3 3 2 2 2" xfId="11132"/>
    <cellStyle name="Heading 3 3 3 5" xfId="11133"/>
    <cellStyle name="Heading 3 3 4" xfId="1915"/>
    <cellStyle name="Heading 3 3 4 2" xfId="1916"/>
    <cellStyle name="Heading 3 3 5 5" xfId="11134"/>
    <cellStyle name="Heading 3 3 6 5" xfId="11135"/>
    <cellStyle name="Heading 3 3 7" xfId="11136"/>
    <cellStyle name="Heading 3 3 8" xfId="11137"/>
    <cellStyle name="Heading 3 3 9" xfId="11138"/>
    <cellStyle name="Heading 3 4" xfId="1917"/>
    <cellStyle name="Heading 3 4 10" xfId="11139"/>
    <cellStyle name="Heading 3 4 11" xfId="11140"/>
    <cellStyle name="Heading 3 4 2" xfId="1918"/>
    <cellStyle name="Heading 3 4 2 2 2 2 2" xfId="11141"/>
    <cellStyle name="Heading 3 4 3" xfId="1919"/>
    <cellStyle name="Heading 3 4 3 2" xfId="1920"/>
    <cellStyle name="Heading 3 4 3 2 2 2" xfId="11142"/>
    <cellStyle name="Heading 3 4 3 5" xfId="11143"/>
    <cellStyle name="Heading 3 4 7" xfId="11144"/>
    <cellStyle name="Heading 3 4 7 5" xfId="11145"/>
    <cellStyle name="Heading 3 4 8" xfId="11146"/>
    <cellStyle name="Heading 3 4 9 5" xfId="11147"/>
    <cellStyle name="Heading 3 5" xfId="1921"/>
    <cellStyle name="Heading 3 5 10 5" xfId="11148"/>
    <cellStyle name="Heading 3 5 12 5" xfId="11149"/>
    <cellStyle name="Heading 3 5 2 2 2 2" xfId="11150"/>
    <cellStyle name="Heading 3 5 3 5" xfId="11151"/>
    <cellStyle name="Heading 3 5 45" xfId="11152"/>
    <cellStyle name="Heading 3 5 6 5" xfId="11153"/>
    <cellStyle name="Heading 3 5 7" xfId="11154"/>
    <cellStyle name="Heading 3 5 8" xfId="11155"/>
    <cellStyle name="Heading 3 5 8 5" xfId="11156"/>
    <cellStyle name="Heading 3 5 9" xfId="11157"/>
    <cellStyle name="Heading 3 6" xfId="1922"/>
    <cellStyle name="Heading 3 6 12 5" xfId="11158"/>
    <cellStyle name="Heading 3 6 14 3" xfId="11159"/>
    <cellStyle name="Heading 3 6 2 5" xfId="11160"/>
    <cellStyle name="Heading 3 6 23" xfId="11161"/>
    <cellStyle name="Heading 3 6 4 5" xfId="11162"/>
    <cellStyle name="Heading 3 6 6 5" xfId="11163"/>
    <cellStyle name="Heading 3 6 7" xfId="11164"/>
    <cellStyle name="Heading 3 6 8" xfId="11165"/>
    <cellStyle name="Heading 3 6 8 5" xfId="11166"/>
    <cellStyle name="Heading 3 7" xfId="1923"/>
    <cellStyle name="Heading 3 7 11 5" xfId="11167"/>
    <cellStyle name="Heading 3 7 12 3" xfId="11168"/>
    <cellStyle name="Heading 3 7 2" xfId="1924"/>
    <cellStyle name="Heading 3 7 21" xfId="11169"/>
    <cellStyle name="Heading 3 7 4 5" xfId="11170"/>
    <cellStyle name="Heading 3 7 6" xfId="11171"/>
    <cellStyle name="Heading 3 7 6 6" xfId="11172"/>
    <cellStyle name="Heading 3 7 7" xfId="11173"/>
    <cellStyle name="Heading 3 7 8" xfId="11174"/>
    <cellStyle name="Heading 3 7 9 5" xfId="11175"/>
    <cellStyle name="Heading 3 8" xfId="1925"/>
    <cellStyle name="Heading 3 8 10 5" xfId="11176"/>
    <cellStyle name="Heading 3 8 13 2" xfId="11177"/>
    <cellStyle name="Heading 3 8 2" xfId="1926"/>
    <cellStyle name="Heading 3 8 3 5" xfId="11178"/>
    <cellStyle name="Heading 3 8 3 6" xfId="11179"/>
    <cellStyle name="Heading 3 8 5" xfId="11180"/>
    <cellStyle name="Heading 3 8 6" xfId="11181"/>
    <cellStyle name="Heading 3 8 6 5" xfId="11182"/>
    <cellStyle name="Heading 3 8 7" xfId="11183"/>
    <cellStyle name="Heading 3 8 7 5" xfId="11184"/>
    <cellStyle name="Heading 3 8 7 6" xfId="11185"/>
    <cellStyle name="Heading 3 8 9 6" xfId="11186"/>
    <cellStyle name="Heading 3 9 20" xfId="11187"/>
    <cellStyle name="Heading 3 9 3" xfId="11188"/>
    <cellStyle name="Heading 3 9 4" xfId="11189"/>
    <cellStyle name="Heading 3 9 5" xfId="11190"/>
    <cellStyle name="Heading 4" xfId="59"/>
    <cellStyle name="Heading 4 10 11 2" xfId="11191"/>
    <cellStyle name="Heading 4 10 2 5" xfId="11192"/>
    <cellStyle name="Heading 4 10 3" xfId="11193"/>
    <cellStyle name="Heading 4 10 3 5" xfId="11194"/>
    <cellStyle name="Heading 4 10 5" xfId="11195"/>
    <cellStyle name="Heading 4 10 5 5" xfId="11196"/>
    <cellStyle name="Heading 4 10 6 5" xfId="11197"/>
    <cellStyle name="Heading 4 10 8 5" xfId="11198"/>
    <cellStyle name="Heading 4 11 16" xfId="11199"/>
    <cellStyle name="Heading 4 11 2" xfId="11200"/>
    <cellStyle name="Heading 4 11 3" xfId="11201"/>
    <cellStyle name="Heading 4 12" xfId="11202"/>
    <cellStyle name="Heading 4 12 2" xfId="11203"/>
    <cellStyle name="Heading 4 12 3" xfId="11204"/>
    <cellStyle name="Heading 4 12 5 5" xfId="11205"/>
    <cellStyle name="Heading 4 12 6 5" xfId="11206"/>
    <cellStyle name="Heading 4 12 7 3" xfId="11207"/>
    <cellStyle name="Heading 4 12 8 3" xfId="11208"/>
    <cellStyle name="Heading 4 12 9 2" xfId="11209"/>
    <cellStyle name="Heading 4 13" xfId="11210"/>
    <cellStyle name="Heading 4 13 15" xfId="11211"/>
    <cellStyle name="Heading 4 13 2 5" xfId="11212"/>
    <cellStyle name="Heading 4 13 3 5" xfId="11213"/>
    <cellStyle name="Heading 4 14" xfId="11214"/>
    <cellStyle name="Heading 4 14 3 5" xfId="11215"/>
    <cellStyle name="Heading 4 15" xfId="11216"/>
    <cellStyle name="Heading 4 15 3 3" xfId="11217"/>
    <cellStyle name="Heading 4 16 11" xfId="11218"/>
    <cellStyle name="Heading 4 16 3 3" xfId="11219"/>
    <cellStyle name="Heading 4 2" xfId="268"/>
    <cellStyle name="Heading 4 2 10" xfId="11220"/>
    <cellStyle name="Heading 4 2 11" xfId="11221"/>
    <cellStyle name="Heading 4 2 16 3" xfId="11222"/>
    <cellStyle name="Heading 4 2 2" xfId="312"/>
    <cellStyle name="Heading 4 2 2 2" xfId="1927"/>
    <cellStyle name="Heading 4 2 2 2 2 2 2" xfId="11223"/>
    <cellStyle name="Heading 4 2 2 3" xfId="1928"/>
    <cellStyle name="Heading 4 2 2 3 2" xfId="1929"/>
    <cellStyle name="Heading 4 2 3" xfId="1930"/>
    <cellStyle name="Heading 4 2 3 2 2 2 2" xfId="11224"/>
    <cellStyle name="Heading 4 2 4" xfId="1931"/>
    <cellStyle name="Heading 4 2 5" xfId="1932"/>
    <cellStyle name="Heading 4 2 5 2" xfId="1933"/>
    <cellStyle name="Heading 4 2 6" xfId="1934"/>
    <cellStyle name="Heading 4 2 8" xfId="11225"/>
    <cellStyle name="Heading 4 2 9" xfId="11226"/>
    <cellStyle name="Heading 4 3" xfId="372"/>
    <cellStyle name="Heading 4 3 10" xfId="11227"/>
    <cellStyle name="Heading 4 3 11" xfId="11228"/>
    <cellStyle name="Heading 4 3 14 5" xfId="11229"/>
    <cellStyle name="Heading 4 3 2" xfId="1935"/>
    <cellStyle name="Heading 4 3 2 2" xfId="1936"/>
    <cellStyle name="Heading 4 3 2 2 2 2 2" xfId="11230"/>
    <cellStyle name="Heading 4 3 3" xfId="1937"/>
    <cellStyle name="Heading 4 3 3 2 2 2" xfId="11231"/>
    <cellStyle name="Heading 4 3 4" xfId="1938"/>
    <cellStyle name="Heading 4 3 4 2" xfId="1939"/>
    <cellStyle name="Heading 4 4" xfId="1940"/>
    <cellStyle name="Heading 4 4 11" xfId="11232"/>
    <cellStyle name="Heading 4 4 2" xfId="1941"/>
    <cellStyle name="Heading 4 4 2 2 2 2 2" xfId="11233"/>
    <cellStyle name="Heading 4 4 3" xfId="1942"/>
    <cellStyle name="Heading 4 4 3 2" xfId="1943"/>
    <cellStyle name="Heading 4 4 3 2 2 2" xfId="11234"/>
    <cellStyle name="Heading 4 4 7" xfId="11235"/>
    <cellStyle name="Heading 4 4 8" xfId="11236"/>
    <cellStyle name="Heading 4 4 8 5" xfId="11237"/>
    <cellStyle name="Heading 4 4 9" xfId="11238"/>
    <cellStyle name="Heading 4 5" xfId="1944"/>
    <cellStyle name="Heading 4 5 10" xfId="11239"/>
    <cellStyle name="Heading 4 5 2 2 2 2" xfId="11240"/>
    <cellStyle name="Heading 4 5 6" xfId="11241"/>
    <cellStyle name="Heading 4 5 9" xfId="11242"/>
    <cellStyle name="Heading 4 6" xfId="1945"/>
    <cellStyle name="Heading 4 6 23" xfId="11243"/>
    <cellStyle name="Heading 4 6 4 5" xfId="11244"/>
    <cellStyle name="Heading 4 6 7" xfId="11245"/>
    <cellStyle name="Heading 4 6 8" xfId="11246"/>
    <cellStyle name="Heading 4 6 9" xfId="11247"/>
    <cellStyle name="Heading 4 7" xfId="1946"/>
    <cellStyle name="Heading 4 7 13 4" xfId="11248"/>
    <cellStyle name="Heading 4 7 2" xfId="1947"/>
    <cellStyle name="Heading 4 7 21" xfId="11249"/>
    <cellStyle name="Heading 4 7 6" xfId="11250"/>
    <cellStyle name="Heading 4 7 7" xfId="11251"/>
    <cellStyle name="Heading 4 7 8" xfId="11252"/>
    <cellStyle name="Heading 4 8" xfId="1948"/>
    <cellStyle name="Heading 4 8 2" xfId="1949"/>
    <cellStyle name="Heading 4 8 6" xfId="11253"/>
    <cellStyle name="Heading 4 8 7" xfId="11254"/>
    <cellStyle name="Heading 4 9 5" xfId="11255"/>
    <cellStyle name="Heading 4 9 6" xfId="11256"/>
    <cellStyle name="Hiperlink" xfId="9135" builtinId="8"/>
    <cellStyle name="Hiperlink 2" xfId="1950"/>
    <cellStyle name="Hiperlink 2 2" xfId="9136"/>
    <cellStyle name="Hiperlink 3" xfId="12135"/>
    <cellStyle name="Hiperlink 4" xfId="12002"/>
    <cellStyle name="Hyperlink 2" xfId="1951"/>
    <cellStyle name="Hyperlink 2 2" xfId="1952"/>
    <cellStyle name="Hyperlink 2 2 2" xfId="1953"/>
    <cellStyle name="Hyperlink 2 3" xfId="1954"/>
    <cellStyle name="Hyperlink 3" xfId="1955"/>
    <cellStyle name="Hyperlink 3 2" xfId="1956"/>
    <cellStyle name="Hyperlink 4" xfId="1957"/>
    <cellStyle name="Hyperlink 4 2" xfId="1958"/>
    <cellStyle name="Incorreto 2" xfId="183"/>
    <cellStyle name="Input" xfId="60"/>
    <cellStyle name="Input [yellow]" xfId="61"/>
    <cellStyle name="Input [yellow] 10" xfId="483"/>
    <cellStyle name="Input [yellow] 11" xfId="12140"/>
    <cellStyle name="Input [yellow] 2" xfId="62"/>
    <cellStyle name="Input [yellow] 2 10" xfId="12141"/>
    <cellStyle name="Input [yellow] 2 2" xfId="184"/>
    <cellStyle name="Input [yellow] 2 2 2" xfId="331"/>
    <cellStyle name="Input [yellow] 2 2 3" xfId="433"/>
    <cellStyle name="Input [yellow] 2 2 4" xfId="485"/>
    <cellStyle name="Input [yellow] 2 2 5" xfId="463"/>
    <cellStyle name="Input [yellow] 2 2 6" xfId="512"/>
    <cellStyle name="Input [yellow] 2 2 7" xfId="480"/>
    <cellStyle name="Input [yellow] 2 2 8" xfId="12151"/>
    <cellStyle name="Input [yellow] 2 3" xfId="185"/>
    <cellStyle name="Input [yellow] 2 3 2" xfId="332"/>
    <cellStyle name="Input [yellow] 2 3 3" xfId="434"/>
    <cellStyle name="Input [yellow] 2 3 4" xfId="467"/>
    <cellStyle name="Input [yellow] 2 3 5" xfId="383"/>
    <cellStyle name="Input [yellow] 2 3 6" xfId="501"/>
    <cellStyle name="Input [yellow] 2 3 7" xfId="385"/>
    <cellStyle name="Input [yellow] 2 3 8" xfId="12152"/>
    <cellStyle name="Input [yellow] 2 4" xfId="315"/>
    <cellStyle name="Input [yellow] 2 5" xfId="399"/>
    <cellStyle name="Input [yellow] 2 6" xfId="439"/>
    <cellStyle name="Input [yellow] 2 7" xfId="379"/>
    <cellStyle name="Input [yellow] 2 8" xfId="478"/>
    <cellStyle name="Input [yellow] 2 9" xfId="516"/>
    <cellStyle name="Input [yellow] 3" xfId="186"/>
    <cellStyle name="Input [yellow] 3 2" xfId="333"/>
    <cellStyle name="Input [yellow] 3 3" xfId="435"/>
    <cellStyle name="Input [yellow] 3 4" xfId="457"/>
    <cellStyle name="Input [yellow] 3 5" xfId="402"/>
    <cellStyle name="Input [yellow] 3 6" xfId="412"/>
    <cellStyle name="Input [yellow] 3 7" xfId="472"/>
    <cellStyle name="Input [yellow] 3 8" xfId="12153"/>
    <cellStyle name="Input [yellow] 4" xfId="187"/>
    <cellStyle name="Input [yellow] 4 2" xfId="334"/>
    <cellStyle name="Input [yellow] 4 3" xfId="436"/>
    <cellStyle name="Input [yellow] 4 4" xfId="392"/>
    <cellStyle name="Input [yellow] 4 5" xfId="491"/>
    <cellStyle name="Input [yellow] 4 6" xfId="509"/>
    <cellStyle name="Input [yellow] 4 7" xfId="518"/>
    <cellStyle name="Input [yellow] 4 8" xfId="12154"/>
    <cellStyle name="Input [yellow] 5" xfId="314"/>
    <cellStyle name="Input [yellow] 6" xfId="398"/>
    <cellStyle name="Input [yellow] 7" xfId="440"/>
    <cellStyle name="Input [yellow] 8" xfId="496"/>
    <cellStyle name="Input [yellow] 9" xfId="505"/>
    <cellStyle name="Input 10" xfId="9137"/>
    <cellStyle name="Input 10 2" xfId="11257"/>
    <cellStyle name="Input 10 4" xfId="11258"/>
    <cellStyle name="Input 10 5" xfId="11259"/>
    <cellStyle name="Input 10 9 3" xfId="11260"/>
    <cellStyle name="Input 11" xfId="12004"/>
    <cellStyle name="Input 11 2" xfId="11261"/>
    <cellStyle name="Input 11 3" xfId="11262"/>
    <cellStyle name="Input 12" xfId="12136"/>
    <cellStyle name="Input 12 2" xfId="11263"/>
    <cellStyle name="Input 12 3" xfId="11264"/>
    <cellStyle name="Input 13" xfId="11265"/>
    <cellStyle name="Input 13 2" xfId="11266"/>
    <cellStyle name="Input 13 8 2" xfId="11267"/>
    <cellStyle name="Input 14" xfId="11268"/>
    <cellStyle name="Input 14 15" xfId="11269"/>
    <cellStyle name="Input 14 2 5" xfId="11270"/>
    <cellStyle name="Input 15" xfId="12139"/>
    <cellStyle name="Input 2" xfId="269"/>
    <cellStyle name="Input 2 10" xfId="12015"/>
    <cellStyle name="Input 2 11" xfId="11271"/>
    <cellStyle name="Input 2 12" xfId="12162"/>
    <cellStyle name="Input 2 17 3" xfId="11272"/>
    <cellStyle name="Input 2 2" xfId="313"/>
    <cellStyle name="Input 2 2 2" xfId="1959"/>
    <cellStyle name="Input 2 2 2 2 2 2" xfId="11273"/>
    <cellStyle name="Input 2 2 3" xfId="1960"/>
    <cellStyle name="Input 2 2 3 2" xfId="1961"/>
    <cellStyle name="Input 2 2 3 2 2" xfId="12111"/>
    <cellStyle name="Input 2 2 3 2 3" xfId="12259"/>
    <cellStyle name="Input 2 2 3 3" xfId="12110"/>
    <cellStyle name="Input 2 2 3 4" xfId="12258"/>
    <cellStyle name="Input 2 2 4" xfId="12019"/>
    <cellStyle name="Input 2 2 5" xfId="12167"/>
    <cellStyle name="Input 2 3" xfId="459"/>
    <cellStyle name="Input 2 3 2" xfId="12072"/>
    <cellStyle name="Input 2 3 2 2 2 2" xfId="11274"/>
    <cellStyle name="Input 2 3 3" xfId="12220"/>
    <cellStyle name="Input 2 4" xfId="465"/>
    <cellStyle name="Input 2 4 2" xfId="12076"/>
    <cellStyle name="Input 2 4 3" xfId="12224"/>
    <cellStyle name="Input 2 5" xfId="410"/>
    <cellStyle name="Input 2 5 2" xfId="1962"/>
    <cellStyle name="Input 2 5 2 2" xfId="12112"/>
    <cellStyle name="Input 2 5 2 3" xfId="12260"/>
    <cellStyle name="Input 2 5 3" xfId="12045"/>
    <cellStyle name="Input 2 5 4" xfId="12193"/>
    <cellStyle name="Input 2 6" xfId="449"/>
    <cellStyle name="Input 2 6 2" xfId="12068"/>
    <cellStyle name="Input 2 6 3" xfId="12216"/>
    <cellStyle name="Input 2 7" xfId="382"/>
    <cellStyle name="Input 2 7 2" xfId="12033"/>
    <cellStyle name="Input 2 7 3" xfId="12181"/>
    <cellStyle name="Input 2 7 6" xfId="11275"/>
    <cellStyle name="Input 2 8" xfId="11276"/>
    <cellStyle name="Input 2 9" xfId="11277"/>
    <cellStyle name="Input 3" xfId="373"/>
    <cellStyle name="Input 3 10" xfId="11278"/>
    <cellStyle name="Input 3 11" xfId="11279"/>
    <cellStyle name="Input 3 2" xfId="1963"/>
    <cellStyle name="Input 3 2 2" xfId="1964"/>
    <cellStyle name="Input 3 2 2 2" xfId="12114"/>
    <cellStyle name="Input 3 2 2 2 2 2" xfId="11280"/>
    <cellStyle name="Input 3 2 2 3" xfId="12262"/>
    <cellStyle name="Input 3 2 3" xfId="12113"/>
    <cellStyle name="Input 3 2 4" xfId="12261"/>
    <cellStyle name="Input 3 3" xfId="1965"/>
    <cellStyle name="Input 3 3 2 2 2" xfId="11281"/>
    <cellStyle name="Input 3 4" xfId="1966"/>
    <cellStyle name="Input 3 4 2" xfId="1967"/>
    <cellStyle name="Input 3 4 2 2" xfId="12116"/>
    <cellStyle name="Input 3 4 2 3" xfId="12264"/>
    <cellStyle name="Input 3 4 3" xfId="12115"/>
    <cellStyle name="Input 3 4 4" xfId="12263"/>
    <cellStyle name="Input 3 4 5" xfId="11282"/>
    <cellStyle name="Input 3 5" xfId="12030"/>
    <cellStyle name="Input 3 5 5" xfId="11283"/>
    <cellStyle name="Input 3 6" xfId="12178"/>
    <cellStyle name="Input 3 6 5" xfId="11284"/>
    <cellStyle name="Input 3 8" xfId="11285"/>
    <cellStyle name="Input 3 8 5" xfId="11286"/>
    <cellStyle name="Input 3 9" xfId="11287"/>
    <cellStyle name="Input 4" xfId="306"/>
    <cellStyle name="Input 4 10" xfId="11288"/>
    <cellStyle name="Input 4 11" xfId="11289"/>
    <cellStyle name="Input 4 2" xfId="1968"/>
    <cellStyle name="Input 4 2 2 2 2 2" xfId="11290"/>
    <cellStyle name="Input 4 3" xfId="1969"/>
    <cellStyle name="Input 4 3 2" xfId="1970"/>
    <cellStyle name="Input 4 3 2 2 2" xfId="11291"/>
    <cellStyle name="Input 4 4" xfId="12018"/>
    <cellStyle name="Input 4 5" xfId="12166"/>
    <cellStyle name="Input 4 5 5" xfId="11292"/>
    <cellStyle name="Input 4 8" xfId="11293"/>
    <cellStyle name="Input 5" xfId="397"/>
    <cellStyle name="Input 5 10" xfId="11294"/>
    <cellStyle name="Input 5 14 3" xfId="11295"/>
    <cellStyle name="Input 5 2" xfId="12039"/>
    <cellStyle name="Input 5 2 2 2 2" xfId="11296"/>
    <cellStyle name="Input 5 3" xfId="12187"/>
    <cellStyle name="Input 5 6" xfId="11297"/>
    <cellStyle name="Input 5 7" xfId="11298"/>
    <cellStyle name="Input 5 8" xfId="11299"/>
    <cellStyle name="Input 5 9" xfId="11300"/>
    <cellStyle name="Input 6" xfId="441"/>
    <cellStyle name="Input 6 2" xfId="12063"/>
    <cellStyle name="Input 6 2 5" xfId="11301"/>
    <cellStyle name="Input 6 3" xfId="12211"/>
    <cellStyle name="Input 6 7" xfId="11302"/>
    <cellStyle name="Input 6 7 5" xfId="11303"/>
    <cellStyle name="Input 6 8" xfId="11304"/>
    <cellStyle name="Input 6 9" xfId="11305"/>
    <cellStyle name="Input 6 9 5" xfId="11306"/>
    <cellStyle name="Input 7" xfId="416"/>
    <cellStyle name="Input 7 11 5" xfId="11307"/>
    <cellStyle name="Input 7 12 3" xfId="11308"/>
    <cellStyle name="Input 7 13 3" xfId="11309"/>
    <cellStyle name="Input 7 2" xfId="1971"/>
    <cellStyle name="Input 7 3" xfId="12049"/>
    <cellStyle name="Input 7 4" xfId="12197"/>
    <cellStyle name="Input 7 6" xfId="11310"/>
    <cellStyle name="Input 7 7" xfId="11311"/>
    <cellStyle name="Input 7 8" xfId="11312"/>
    <cellStyle name="Input 8" xfId="511"/>
    <cellStyle name="Input 8 2" xfId="1972"/>
    <cellStyle name="Input 8 2 2" xfId="12117"/>
    <cellStyle name="Input 8 2 3" xfId="12265"/>
    <cellStyle name="Input 8 3" xfId="12098"/>
    <cellStyle name="Input 8 4" xfId="11313"/>
    <cellStyle name="Input 8 5" xfId="12246"/>
    <cellStyle name="Input 8 5 6" xfId="11314"/>
    <cellStyle name="Input 8 7" xfId="11315"/>
    <cellStyle name="Input 8 7 6" xfId="11316"/>
    <cellStyle name="Input 8 9 5" xfId="11317"/>
    <cellStyle name="Input 9" xfId="471"/>
    <cellStyle name="Input 9 2" xfId="12079"/>
    <cellStyle name="Input 9 2 5" xfId="11318"/>
    <cellStyle name="Input 9 3" xfId="12227"/>
    <cellStyle name="Input 9 4" xfId="11319"/>
    <cellStyle name="Input 9 4 5" xfId="11320"/>
    <cellStyle name="Input 9 5" xfId="11321"/>
    <cellStyle name="Input 9 8 6" xfId="11322"/>
    <cellStyle name="Link Currency (0)" xfId="63"/>
    <cellStyle name="Link Currency (2)" xfId="64"/>
    <cellStyle name="Link Units (0)" xfId="65"/>
    <cellStyle name="Link Units (1)" xfId="66"/>
    <cellStyle name="Link Units (2)" xfId="67"/>
    <cellStyle name="Linked Cell" xfId="68"/>
    <cellStyle name="Linked Cell 10 18" xfId="11323"/>
    <cellStyle name="Linked Cell 10 2" xfId="11324"/>
    <cellStyle name="Linked Cell 10 3" xfId="11325"/>
    <cellStyle name="Linked Cell 10 4" xfId="11326"/>
    <cellStyle name="Linked Cell 10 5" xfId="11327"/>
    <cellStyle name="Linked Cell 10 8 5" xfId="11328"/>
    <cellStyle name="Linked Cell 11 3" xfId="11329"/>
    <cellStyle name="Linked Cell 12" xfId="11330"/>
    <cellStyle name="Linked Cell 12 2" xfId="11331"/>
    <cellStyle name="Linked Cell 12 3" xfId="11332"/>
    <cellStyle name="Linked Cell 13" xfId="11333"/>
    <cellStyle name="Linked Cell 13 2" xfId="11334"/>
    <cellStyle name="Linked Cell 13 6 3" xfId="11335"/>
    <cellStyle name="Linked Cell 15" xfId="11336"/>
    <cellStyle name="Linked Cell 16 2 3" xfId="11337"/>
    <cellStyle name="Linked Cell 16 3 3" xfId="11338"/>
    <cellStyle name="Linked Cell 2" xfId="270"/>
    <cellStyle name="Linked Cell 2 10" xfId="11339"/>
    <cellStyle name="Linked Cell 2 2" xfId="316"/>
    <cellStyle name="Linked Cell 2 2 2" xfId="1973"/>
    <cellStyle name="Linked Cell 2 2 3" xfId="1974"/>
    <cellStyle name="Linked Cell 2 2 3 2" xfId="1975"/>
    <cellStyle name="Linked Cell 2 3" xfId="1976"/>
    <cellStyle name="Linked Cell 2 4" xfId="1977"/>
    <cellStyle name="Linked Cell 2 5" xfId="1978"/>
    <cellStyle name="Linked Cell 2 5 2" xfId="1979"/>
    <cellStyle name="Linked Cell 2 6" xfId="1980"/>
    <cellStyle name="Linked Cell 2 7" xfId="11340"/>
    <cellStyle name="Linked Cell 2 8" xfId="11341"/>
    <cellStyle name="Linked Cell 2 9" xfId="11342"/>
    <cellStyle name="Linked Cell 3" xfId="374"/>
    <cellStyle name="Linked Cell 3 10" xfId="11343"/>
    <cellStyle name="Linked Cell 3 11" xfId="11344"/>
    <cellStyle name="Linked Cell 3 2" xfId="1981"/>
    <cellStyle name="Linked Cell 3 2 2" xfId="1982"/>
    <cellStyle name="Linked Cell 3 3" xfId="1983"/>
    <cellStyle name="Linked Cell 3 4" xfId="1984"/>
    <cellStyle name="Linked Cell 3 4 2" xfId="1985"/>
    <cellStyle name="Linked Cell 3 6 6" xfId="11345"/>
    <cellStyle name="Linked Cell 3 7" xfId="11346"/>
    <cellStyle name="Linked Cell 3 8" xfId="11347"/>
    <cellStyle name="Linked Cell 3 9" xfId="11348"/>
    <cellStyle name="Linked Cell 3 9 5" xfId="11349"/>
    <cellStyle name="Linked Cell 3 9 6" xfId="11350"/>
    <cellStyle name="Linked Cell 4" xfId="1986"/>
    <cellStyle name="Linked Cell 4 10 5" xfId="11351"/>
    <cellStyle name="Linked Cell 4 11" xfId="11352"/>
    <cellStyle name="Linked Cell 4 2" xfId="1987"/>
    <cellStyle name="Linked Cell 4 3" xfId="1988"/>
    <cellStyle name="Linked Cell 4 3 2" xfId="1989"/>
    <cellStyle name="Linked Cell 4 7" xfId="11353"/>
    <cellStyle name="Linked Cell 4 8" xfId="11354"/>
    <cellStyle name="Linked Cell 4 9" xfId="11355"/>
    <cellStyle name="Linked Cell 5" xfId="1990"/>
    <cellStyle name="Linked Cell 5 10" xfId="11356"/>
    <cellStyle name="Linked Cell 5 13 6" xfId="11357"/>
    <cellStyle name="Linked Cell 5 15 4" xfId="11358"/>
    <cellStyle name="Linked Cell 5 6" xfId="11359"/>
    <cellStyle name="Linked Cell 5 7" xfId="11360"/>
    <cellStyle name="Linked Cell 5 8" xfId="11361"/>
    <cellStyle name="Linked Cell 5 9" xfId="11362"/>
    <cellStyle name="Linked Cell 6" xfId="1991"/>
    <cellStyle name="Linked Cell 6 7" xfId="11363"/>
    <cellStyle name="Linked Cell 6 8" xfId="11364"/>
    <cellStyle name="Linked Cell 7" xfId="1992"/>
    <cellStyle name="Linked Cell 7 2" xfId="1993"/>
    <cellStyle name="Linked Cell 7 6" xfId="11365"/>
    <cellStyle name="Linked Cell 7 7" xfId="11366"/>
    <cellStyle name="Linked Cell 7 8" xfId="11367"/>
    <cellStyle name="Linked Cell 8" xfId="1994"/>
    <cellStyle name="Linked Cell 8 2" xfId="1995"/>
    <cellStyle name="Linked Cell 8 4" xfId="11368"/>
    <cellStyle name="Linked Cell 8 5" xfId="11369"/>
    <cellStyle name="Linked Cell 8 6" xfId="11370"/>
    <cellStyle name="Linked Cell 8 7" xfId="11371"/>
    <cellStyle name="Linked Cell 9 2 5" xfId="11372"/>
    <cellStyle name="Linked Cell 9 4" xfId="11373"/>
    <cellStyle name="Linked Cell 9 5" xfId="11374"/>
    <cellStyle name="Linked Cell 9 6" xfId="11375"/>
    <cellStyle name="Linked Cell 9 6 5" xfId="11376"/>
    <cellStyle name="Linked Cell 9 6 6" xfId="11377"/>
    <cellStyle name="Linked Cell 9 8 5" xfId="11378"/>
    <cellStyle name="Milliers [0]_PLDT" xfId="69"/>
    <cellStyle name="Milliers_PLDT" xfId="70"/>
    <cellStyle name="Mitre" xfId="71"/>
    <cellStyle name="Mitre2" xfId="72"/>
    <cellStyle name="Moeda 2" xfId="235"/>
    <cellStyle name="Monétaire [0]_PLDT" xfId="73"/>
    <cellStyle name="Monétaire_PLDT" xfId="74"/>
    <cellStyle name="Neutra 2" xfId="188"/>
    <cellStyle name="Neutral" xfId="75"/>
    <cellStyle name="Neutral 10 3" xfId="11379"/>
    <cellStyle name="Neutral 10 5" xfId="11380"/>
    <cellStyle name="Neutral 11 2" xfId="11381"/>
    <cellStyle name="Neutral 11 3" xfId="11382"/>
    <cellStyle name="Neutral 11 4 5" xfId="11383"/>
    <cellStyle name="Neutral 12" xfId="11384"/>
    <cellStyle name="Neutral 12 2" xfId="11385"/>
    <cellStyle name="Neutral 12 2 5" xfId="11386"/>
    <cellStyle name="Neutral 12 3" xfId="11387"/>
    <cellStyle name="Neutral 13" xfId="11388"/>
    <cellStyle name="Neutral 13 2" xfId="11389"/>
    <cellStyle name="Neutral 13 2 6" xfId="11390"/>
    <cellStyle name="Neutral 14 4 5" xfId="11391"/>
    <cellStyle name="Neutral 15" xfId="11392"/>
    <cellStyle name="Neutral 19 2 2" xfId="11393"/>
    <cellStyle name="Neutral 2" xfId="271"/>
    <cellStyle name="Neutral 2 10" xfId="11394"/>
    <cellStyle name="Neutral 2 11" xfId="11395"/>
    <cellStyle name="Neutral 2 2" xfId="317"/>
    <cellStyle name="Neutral 2 2 2" xfId="1996"/>
    <cellStyle name="Neutral 2 2 3" xfId="1997"/>
    <cellStyle name="Neutral 2 2 3 2" xfId="1998"/>
    <cellStyle name="Neutral 2 3" xfId="1999"/>
    <cellStyle name="Neutral 2 4" xfId="2000"/>
    <cellStyle name="Neutral 2 49" xfId="11396"/>
    <cellStyle name="Neutral 2 5" xfId="2001"/>
    <cellStyle name="Neutral 2 5 2" xfId="2002"/>
    <cellStyle name="Neutral 2 6" xfId="2003"/>
    <cellStyle name="Neutral 2 8" xfId="11397"/>
    <cellStyle name="Neutral 28" xfId="11398"/>
    <cellStyle name="Neutral 3" xfId="375"/>
    <cellStyle name="Neutral 3 11" xfId="11399"/>
    <cellStyle name="Neutral 3 2" xfId="2004"/>
    <cellStyle name="Neutral 3 2 2" xfId="2005"/>
    <cellStyle name="Neutral 3 3" xfId="2006"/>
    <cellStyle name="Neutral 3 4" xfId="2007"/>
    <cellStyle name="Neutral 3 4 2" xfId="2008"/>
    <cellStyle name="Neutral 3 7" xfId="11400"/>
    <cellStyle name="Neutral 3 7 5" xfId="11401"/>
    <cellStyle name="Neutral 3 8" xfId="11402"/>
    <cellStyle name="Neutral 3 8 5" xfId="11403"/>
    <cellStyle name="Neutral 3 9" xfId="11404"/>
    <cellStyle name="Neutral 4" xfId="2009"/>
    <cellStyle name="Neutral 4 10" xfId="11405"/>
    <cellStyle name="Neutral 4 11" xfId="11406"/>
    <cellStyle name="Neutral 4 2" xfId="2010"/>
    <cellStyle name="Neutral 4 25" xfId="11407"/>
    <cellStyle name="Neutral 4 3" xfId="2011"/>
    <cellStyle name="Neutral 4 3 2" xfId="2012"/>
    <cellStyle name="Neutral 4 7" xfId="11408"/>
    <cellStyle name="Neutral 4 9" xfId="11409"/>
    <cellStyle name="Neutral 5" xfId="2013"/>
    <cellStyle name="Neutral 5 10" xfId="11410"/>
    <cellStyle name="Neutral 5 11 5" xfId="11411"/>
    <cellStyle name="Neutral 5 14 3" xfId="11412"/>
    <cellStyle name="Neutral 5 7" xfId="11413"/>
    <cellStyle name="Neutral 5 8" xfId="11414"/>
    <cellStyle name="Neutral 6" xfId="2014"/>
    <cellStyle name="Neutral 6 11 6" xfId="11415"/>
    <cellStyle name="Neutral 6 13 4" xfId="11416"/>
    <cellStyle name="Neutral 6 24" xfId="11417"/>
    <cellStyle name="Neutral 6 41" xfId="11418"/>
    <cellStyle name="Neutral 6 7" xfId="11419"/>
    <cellStyle name="Neutral 6 9" xfId="11420"/>
    <cellStyle name="Neutral 6 9 6" xfId="11421"/>
    <cellStyle name="Neutral 7" xfId="2015"/>
    <cellStyle name="Neutral 7 11 6" xfId="11422"/>
    <cellStyle name="Neutral 7 2" xfId="2016"/>
    <cellStyle name="Neutral 7 6" xfId="11423"/>
    <cellStyle name="Neutral 7 7" xfId="11424"/>
    <cellStyle name="Neutral 8" xfId="2017"/>
    <cellStyle name="Neutral 8 2" xfId="2018"/>
    <cellStyle name="Neutral 8 21" xfId="11425"/>
    <cellStyle name="Neutral 8 4 5" xfId="11426"/>
    <cellStyle name="Neutral 8 5" xfId="11427"/>
    <cellStyle name="Neutral 8 5 5" xfId="11428"/>
    <cellStyle name="Neutral 8 6 5" xfId="11429"/>
    <cellStyle name="Neutral 8 7" xfId="11430"/>
    <cellStyle name="Neutral 9 10 4" xfId="11431"/>
    <cellStyle name="Neutral 9 12 3" xfId="11432"/>
    <cellStyle name="Neutral 9 4" xfId="11433"/>
    <cellStyle name="Neutral 9 4 5" xfId="11434"/>
    <cellStyle name="Neutral 9 5" xfId="11435"/>
    <cellStyle name="Neutral 9 5 6" xfId="11436"/>
    <cellStyle name="Neutral 9 6" xfId="11437"/>
    <cellStyle name="Neutral 9 7 6" xfId="11438"/>
    <cellStyle name="no dec" xfId="76"/>
    <cellStyle name="Nor}al" xfId="2019"/>
    <cellStyle name="Nor}al 2" xfId="2020"/>
    <cellStyle name="Nor}al 2 2" xfId="2021"/>
    <cellStyle name="Nor}al 2 2 2" xfId="2022"/>
    <cellStyle name="Nor}al 2 3" xfId="2023"/>
    <cellStyle name="Nor}al 2 3 2" xfId="2024"/>
    <cellStyle name="Nor}al 2 4" xfId="2025"/>
    <cellStyle name="Nor}al 3" xfId="2026"/>
    <cellStyle name="Nor}al 3 2" xfId="2027"/>
    <cellStyle name="Nor}al 4" xfId="2028"/>
    <cellStyle name="Nor}al 4 2" xfId="2029"/>
    <cellStyle name="Nor}al 5" xfId="2030"/>
    <cellStyle name="Nor}al 5 2" xfId="2031"/>
    <cellStyle name="Nor}al 6" xfId="2032"/>
    <cellStyle name="Nor}al 6 2" xfId="2033"/>
    <cellStyle name="Nor}al 7" xfId="2034"/>
    <cellStyle name="Nor}al 7 2" xfId="2035"/>
    <cellStyle name="Nor}al 8" xfId="2036"/>
    <cellStyle name="Norm੎੎" xfId="77"/>
    <cellStyle name="Norm੎੎ 10" xfId="2037"/>
    <cellStyle name="Norm੎੎ 10 2" xfId="2038"/>
    <cellStyle name="Norm੎੎ 11" xfId="2039"/>
    <cellStyle name="Norm੎੎ 11 2" xfId="2040"/>
    <cellStyle name="Norm੎੎ 12" xfId="2041"/>
    <cellStyle name="Norm੎੎ 12 2" xfId="2042"/>
    <cellStyle name="Norm੎੎ 13" xfId="2043"/>
    <cellStyle name="Norm੎੎ 13 2" xfId="2044"/>
    <cellStyle name="Norm੎੎ 14" xfId="2045"/>
    <cellStyle name="Norm੎੎ 18 2" xfId="11439"/>
    <cellStyle name="Norm੎੎ 2" xfId="2046"/>
    <cellStyle name="Norm੎੎ 2 2" xfId="2047"/>
    <cellStyle name="Norm੎੎ 2 2 2" xfId="2048"/>
    <cellStyle name="Norm੎੎ 2 3" xfId="2049"/>
    <cellStyle name="Norm੎੎ 2 3 2" xfId="2050"/>
    <cellStyle name="Norm੎੎ 2 4" xfId="2051"/>
    <cellStyle name="Norm੎੎ 2 4 2" xfId="2052"/>
    <cellStyle name="Norm੎੎ 2 5" xfId="2053"/>
    <cellStyle name="Norm੎੎ 2 5 2" xfId="2054"/>
    <cellStyle name="Norm੎੎ 2 6" xfId="2055"/>
    <cellStyle name="Norm੎੎ 2 6 2" xfId="2056"/>
    <cellStyle name="Norm੎੎ 2 7" xfId="2057"/>
    <cellStyle name="Norm੎੎ 2 7 2" xfId="2058"/>
    <cellStyle name="Norm੎੎ 2 8" xfId="2059"/>
    <cellStyle name="Norm੎੎ 2 8 2" xfId="2060"/>
    <cellStyle name="Norm੎੎ 2 9" xfId="2061"/>
    <cellStyle name="Norm੎੎ 27" xfId="11440"/>
    <cellStyle name="Norm੎੎ 3" xfId="2062"/>
    <cellStyle name="Norm੎੎ 3 2" xfId="2063"/>
    <cellStyle name="Norm੎੎ 3 2 2" xfId="2064"/>
    <cellStyle name="Norm੎੎ 3 3" xfId="2065"/>
    <cellStyle name="Norm੎੎ 3 3 2" xfId="2066"/>
    <cellStyle name="Norm੎੎ 3 4" xfId="2067"/>
    <cellStyle name="Norm੎੎ 3 4 2" xfId="2068"/>
    <cellStyle name="Norm੎੎ 3 5" xfId="2069"/>
    <cellStyle name="Norm੎੎ 4" xfId="2070"/>
    <cellStyle name="Norm੎੎ 4 2" xfId="2071"/>
    <cellStyle name="Norm੎੎ 4 2 2" xfId="2072"/>
    <cellStyle name="Norm੎੎ 4 3" xfId="2073"/>
    <cellStyle name="Norm੎੎ 4 3 2" xfId="2074"/>
    <cellStyle name="Norm੎੎ 4 4" xfId="2075"/>
    <cellStyle name="Norm੎੎ 5" xfId="2076"/>
    <cellStyle name="Norm੎੎ 5 2" xfId="2077"/>
    <cellStyle name="Norm੎੎ 5 2 2" xfId="2078"/>
    <cellStyle name="Norm੎੎ 5 3" xfId="2079"/>
    <cellStyle name="Norm੎੎ 5 3 2" xfId="2080"/>
    <cellStyle name="Norm੎੎ 5 4" xfId="2081"/>
    <cellStyle name="Norm੎੎ 5 4 2" xfId="2082"/>
    <cellStyle name="Norm੎੎ 5 5" xfId="2083"/>
    <cellStyle name="Norm੎੎ 5 5 2" xfId="2084"/>
    <cellStyle name="Norm੎੎ 5 6" xfId="2085"/>
    <cellStyle name="Norm੎੎ 5 6 2" xfId="2086"/>
    <cellStyle name="Norm੎੎ 5 7" xfId="2087"/>
    <cellStyle name="Norm੎੎ 6" xfId="2088"/>
    <cellStyle name="Norm੎੎ 6 2" xfId="2089"/>
    <cellStyle name="Norm੎੎ 6 2 2" xfId="2090"/>
    <cellStyle name="Norm੎੎ 6 3" xfId="2091"/>
    <cellStyle name="Norm੎੎ 6 3 2" xfId="2092"/>
    <cellStyle name="Norm੎੎ 6 4" xfId="2093"/>
    <cellStyle name="Norm੎੎ 6 4 2" xfId="2094"/>
    <cellStyle name="Norm੎੎ 6 5" xfId="2095"/>
    <cellStyle name="Norm੎੎ 6 5 2" xfId="2096"/>
    <cellStyle name="Norm੎੎ 6 6" xfId="2097"/>
    <cellStyle name="Norm੎੎ 6 6 2" xfId="2098"/>
    <cellStyle name="Norm੎੎ 6 7" xfId="2099"/>
    <cellStyle name="Norm੎੎ 7" xfId="2100"/>
    <cellStyle name="Norm੎੎ 7 2" xfId="2101"/>
    <cellStyle name="Norm੎੎ 7 2 2" xfId="2102"/>
    <cellStyle name="Norm੎੎ 7 3" xfId="2103"/>
    <cellStyle name="Norm੎੎ 7 3 2" xfId="2104"/>
    <cellStyle name="Norm੎੎ 7 4" xfId="2105"/>
    <cellStyle name="Norm੎੎ 7 4 2" xfId="2106"/>
    <cellStyle name="Norm੎੎ 7 5" xfId="2107"/>
    <cellStyle name="Norm੎੎ 7 5 2" xfId="2108"/>
    <cellStyle name="Norm੎੎ 7 6" xfId="2109"/>
    <cellStyle name="Norm੎੎ 7 6 2" xfId="2110"/>
    <cellStyle name="Norm੎੎ 7 7" xfId="2111"/>
    <cellStyle name="Norm੎੎ 8" xfId="2112"/>
    <cellStyle name="Norm੎੎ 8 2" xfId="2113"/>
    <cellStyle name="Norm੎੎ 9" xfId="2114"/>
    <cellStyle name="Norm੎੎ 9 2" xfId="2115"/>
    <cellStyle name="Normal" xfId="0" builtinId="0"/>
    <cellStyle name="Normal - Style1" xfId="78"/>
    <cellStyle name="Normal 10" xfId="189"/>
    <cellStyle name="Normal 10 10" xfId="2116"/>
    <cellStyle name="Normal 10 2" xfId="2117"/>
    <cellStyle name="Normal 10 2 2" xfId="2118"/>
    <cellStyle name="Normal 10 2 2 2" xfId="2119"/>
    <cellStyle name="Normal 10 2 2 2 2" xfId="2120"/>
    <cellStyle name="Normal 10 2 2 2 3" xfId="2121"/>
    <cellStyle name="Normal 10 2 2 3" xfId="2122"/>
    <cellStyle name="Normal 10 2 2 4" xfId="2123"/>
    <cellStyle name="Normal 10 2 3" xfId="2124"/>
    <cellStyle name="Normal 10 2 3 2" xfId="2125"/>
    <cellStyle name="Normal 10 2 3 3" xfId="2126"/>
    <cellStyle name="Normal 10 2 4" xfId="2127"/>
    <cellStyle name="Normal 10 2 5" xfId="2128"/>
    <cellStyle name="Normal 10 3" xfId="139"/>
    <cellStyle name="Normal 10 3 2" xfId="2129"/>
    <cellStyle name="Normal 10 3 2 2" xfId="2130"/>
    <cellStyle name="Normal 10 3 2 2 2" xfId="2131"/>
    <cellStyle name="Normal 10 3 2 2 3" xfId="2132"/>
    <cellStyle name="Normal 10 3 2 3" xfId="2133"/>
    <cellStyle name="Normal 10 3 2 4" xfId="2134"/>
    <cellStyle name="Normal 10 3 3" xfId="2135"/>
    <cellStyle name="Normal 10 3 3 2" xfId="2136"/>
    <cellStyle name="Normal 10 3 3 3" xfId="2137"/>
    <cellStyle name="Normal 10 3 4" xfId="2138"/>
    <cellStyle name="Normal 10 3 5" xfId="2139"/>
    <cellStyle name="Normal 10 4" xfId="2140"/>
    <cellStyle name="Normal 10 4 2" xfId="2141"/>
    <cellStyle name="Normal 10 4 2 2" xfId="2142"/>
    <cellStyle name="Normal 10 4 2 2 2" xfId="2143"/>
    <cellStyle name="Normal 10 4 2 2 3" xfId="2144"/>
    <cellStyle name="Normal 10 4 2 3" xfId="2145"/>
    <cellStyle name="Normal 10 4 2 4" xfId="2146"/>
    <cellStyle name="Normal 10 4 3" xfId="2147"/>
    <cellStyle name="Normal 10 4 3 2" xfId="2148"/>
    <cellStyle name="Normal 10 4 3 3" xfId="2149"/>
    <cellStyle name="Normal 10 4 4" xfId="2150"/>
    <cellStyle name="Normal 10 4 5" xfId="2151"/>
    <cellStyle name="Normal 10 5" xfId="2152"/>
    <cellStyle name="Normal 10 5 2" xfId="2153"/>
    <cellStyle name="Normal 10 5 2 2" xfId="2154"/>
    <cellStyle name="Normal 10 5 2 2 2" xfId="2155"/>
    <cellStyle name="Normal 10 5 2 2 3" xfId="2156"/>
    <cellStyle name="Normal 10 5 2 3" xfId="2157"/>
    <cellStyle name="Normal 10 5 2 4" xfId="2158"/>
    <cellStyle name="Normal 10 5 3" xfId="2159"/>
    <cellStyle name="Normal 10 5 3 2" xfId="2160"/>
    <cellStyle name="Normal 10 5 3 3" xfId="2161"/>
    <cellStyle name="Normal 10 5 4" xfId="2162"/>
    <cellStyle name="Normal 10 5 5" xfId="2163"/>
    <cellStyle name="Normal 10 6" xfId="2164"/>
    <cellStyle name="Normal 10 6 2" xfId="2165"/>
    <cellStyle name="Normal 10 6 2 2" xfId="2166"/>
    <cellStyle name="Normal 10 6 2 2 2" xfId="2167"/>
    <cellStyle name="Normal 10 6 2 2 3" xfId="2168"/>
    <cellStyle name="Normal 10 6 2 3" xfId="2169"/>
    <cellStyle name="Normal 10 6 2 4" xfId="2170"/>
    <cellStyle name="Normal 10 6 3" xfId="2171"/>
    <cellStyle name="Normal 10 6 3 2" xfId="2172"/>
    <cellStyle name="Normal 10 6 3 3" xfId="2173"/>
    <cellStyle name="Normal 10 6 4" xfId="2174"/>
    <cellStyle name="Normal 10 6 5" xfId="2175"/>
    <cellStyle name="Normal 10 7" xfId="2176"/>
    <cellStyle name="Normal 10 7 2" xfId="2177"/>
    <cellStyle name="Normal 10 7 2 2" xfId="2178"/>
    <cellStyle name="Normal 10 7 2 3" xfId="2179"/>
    <cellStyle name="Normal 10 7 3" xfId="2180"/>
    <cellStyle name="Normal 10 7 4" xfId="2181"/>
    <cellStyle name="Normal 10 8" xfId="2182"/>
    <cellStyle name="Normal 10 8 2" xfId="2183"/>
    <cellStyle name="Normal 10 9" xfId="2184"/>
    <cellStyle name="Normal 10 9 2" xfId="2185"/>
    <cellStyle name="Normal 10 9 3" xfId="2186"/>
    <cellStyle name="Normal 100" xfId="9134"/>
    <cellStyle name="Normal 100 2" xfId="2187"/>
    <cellStyle name="Normal 101" xfId="11998"/>
    <cellStyle name="Normal 102" xfId="11999"/>
    <cellStyle name="Normal 103" xfId="12000"/>
    <cellStyle name="Normal 104" xfId="12001"/>
    <cellStyle name="Normal 11" xfId="190"/>
    <cellStyle name="Normal 11 10" xfId="2188"/>
    <cellStyle name="Normal 11 11" xfId="11441"/>
    <cellStyle name="Normal 11 11 4" xfId="11442"/>
    <cellStyle name="Normal 11 11 5" xfId="11443"/>
    <cellStyle name="Normal 11 12" xfId="11444"/>
    <cellStyle name="Normal 11 13" xfId="11445"/>
    <cellStyle name="Normal 11 13 4" xfId="11446"/>
    <cellStyle name="Normal 11 15 4" xfId="11447"/>
    <cellStyle name="Normal 11 17 4" xfId="11448"/>
    <cellStyle name="Normal 11 2" xfId="142"/>
    <cellStyle name="Normal 11 2 2" xfId="2189"/>
    <cellStyle name="Normal 11 2 2 2" xfId="2190"/>
    <cellStyle name="Normal 11 2 3" xfId="2191"/>
    <cellStyle name="Normal 11 2 3 2" xfId="2192"/>
    <cellStyle name="Normal 11 2 4" xfId="2193"/>
    <cellStyle name="Normal 11 20 3" xfId="11449"/>
    <cellStyle name="Normal 11 28" xfId="11450"/>
    <cellStyle name="Normal 11 3" xfId="2194"/>
    <cellStyle name="Normal 11 3 2" xfId="2195"/>
    <cellStyle name="Normal 11 3 2 2" xfId="2196"/>
    <cellStyle name="Normal 11 3 3" xfId="2197"/>
    <cellStyle name="Normal 11 3 3 2" xfId="2198"/>
    <cellStyle name="Normal 11 3 4" xfId="2199"/>
    <cellStyle name="Normal 11 4" xfId="2200"/>
    <cellStyle name="Normal 11 4 2" xfId="2201"/>
    <cellStyle name="Normal 11 4 2 2" xfId="2202"/>
    <cellStyle name="Normal 11 4 3" xfId="2203"/>
    <cellStyle name="Normal 11 4 3 2" xfId="2204"/>
    <cellStyle name="Normal 11 4 4" xfId="2205"/>
    <cellStyle name="Normal 11 4 6" xfId="11451"/>
    <cellStyle name="Normal 11 5" xfId="2206"/>
    <cellStyle name="Normal 11 5 2" xfId="2207"/>
    <cellStyle name="Normal 11 5 2 2" xfId="2208"/>
    <cellStyle name="Normal 11 5 3" xfId="2209"/>
    <cellStyle name="Normal 11 5 3 2" xfId="2210"/>
    <cellStyle name="Normal 11 5 4" xfId="2211"/>
    <cellStyle name="Normal 11 6" xfId="2212"/>
    <cellStyle name="Normal 11 6 2" xfId="2213"/>
    <cellStyle name="Normal 11 6 2 2" xfId="2214"/>
    <cellStyle name="Normal 11 6 3" xfId="2215"/>
    <cellStyle name="Normal 11 6 3 2" xfId="2216"/>
    <cellStyle name="Normal 11 6 4" xfId="2217"/>
    <cellStyle name="Normal 11 7" xfId="2218"/>
    <cellStyle name="Normal 11 7 2" xfId="2219"/>
    <cellStyle name="Normal 11 7 2 2" xfId="2220"/>
    <cellStyle name="Normal 11 7 3" xfId="2221"/>
    <cellStyle name="Normal 11 7 3 2" xfId="2222"/>
    <cellStyle name="Normal 11 7 3 3" xfId="2223"/>
    <cellStyle name="Normal 11 7 4" xfId="2224"/>
    <cellStyle name="Normal 11 8" xfId="2225"/>
    <cellStyle name="Normal 11 8 2" xfId="2226"/>
    <cellStyle name="Normal 11 8 2 2" xfId="2227"/>
    <cellStyle name="Normal 11 8 3" xfId="2228"/>
    <cellStyle name="Normal 11 8 3 2" xfId="2229"/>
    <cellStyle name="Normal 11 8 3 3" xfId="2230"/>
    <cellStyle name="Normal 11 8 4" xfId="2231"/>
    <cellStyle name="Normal 11 9" xfId="2232"/>
    <cellStyle name="Normal 11 9 2" xfId="2233"/>
    <cellStyle name="Normal 12" xfId="191"/>
    <cellStyle name="Normal 12 10" xfId="11452"/>
    <cellStyle name="Normal 12 11" xfId="11453"/>
    <cellStyle name="Normal 12 11 4" xfId="11454"/>
    <cellStyle name="Normal 12 15 4" xfId="11455"/>
    <cellStyle name="Normal 12 16 2" xfId="11456"/>
    <cellStyle name="Normal 12 2" xfId="2234"/>
    <cellStyle name="Normal 12 2 2" xfId="2235"/>
    <cellStyle name="Normal 12 2 2 2" xfId="2236"/>
    <cellStyle name="Normal 12 2 3" xfId="2237"/>
    <cellStyle name="Normal 12 2 3 2" xfId="2238"/>
    <cellStyle name="Normal 12 2 4" xfId="2239"/>
    <cellStyle name="Normal 12 2 4 2" xfId="2240"/>
    <cellStyle name="Normal 12 2 5" xfId="2241"/>
    <cellStyle name="Normal 12 2 5 2" xfId="2242"/>
    <cellStyle name="Normal 12 2 6" xfId="2243"/>
    <cellStyle name="Normal 12 2 6 2" xfId="2244"/>
    <cellStyle name="Normal 12 2 7" xfId="2245"/>
    <cellStyle name="Normal 12 2 7 2" xfId="2246"/>
    <cellStyle name="Normal 12 2 8" xfId="2247"/>
    <cellStyle name="Normal 12 2 8 2" xfId="2248"/>
    <cellStyle name="Normal 12 2 9" xfId="2249"/>
    <cellStyle name="Normal 12 22" xfId="11457"/>
    <cellStyle name="Normal 12 25" xfId="11458"/>
    <cellStyle name="Normal 12 3" xfId="2250"/>
    <cellStyle name="Normal 12 3 2" xfId="2251"/>
    <cellStyle name="Normal 12 4" xfId="2252"/>
    <cellStyle name="Normal 12 4 2" xfId="2253"/>
    <cellStyle name="Normal 12 5" xfId="2254"/>
    <cellStyle name="Normal 12 5 2" xfId="2255"/>
    <cellStyle name="Normal 12 6" xfId="2256"/>
    <cellStyle name="Normal 12 6 2" xfId="2257"/>
    <cellStyle name="Normal 12 6 5" xfId="11459"/>
    <cellStyle name="Normal 12 7" xfId="2258"/>
    <cellStyle name="Normal 12 7 2" xfId="2259"/>
    <cellStyle name="Normal 12 8" xfId="2260"/>
    <cellStyle name="Normal 12 8 2" xfId="2261"/>
    <cellStyle name="Normal 12 9" xfId="2262"/>
    <cellStyle name="Normal 12 9 2" xfId="11460"/>
    <cellStyle name="Normal 13" xfId="192"/>
    <cellStyle name="Normal 13 10" xfId="2263"/>
    <cellStyle name="Normal 13 2" xfId="2264"/>
    <cellStyle name="Normal 13 2 2" xfId="2265"/>
    <cellStyle name="Normal 13 2 2 2" xfId="2266"/>
    <cellStyle name="Normal 13 2 2 2 2" xfId="2267"/>
    <cellStyle name="Normal 13 2 2 2 2 2" xfId="2268"/>
    <cellStyle name="Normal 13 2 2 2 2 3" xfId="2269"/>
    <cellStyle name="Normal 13 2 2 2 3" xfId="2270"/>
    <cellStyle name="Normal 13 2 2 2 4" xfId="2271"/>
    <cellStyle name="Normal 13 2 2 3" xfId="2272"/>
    <cellStyle name="Normal 13 2 2 3 2" xfId="2273"/>
    <cellStyle name="Normal 13 2 2 3 3" xfId="2274"/>
    <cellStyle name="Normal 13 2 2 4" xfId="2275"/>
    <cellStyle name="Normal 13 2 2 5" xfId="2276"/>
    <cellStyle name="Normal 13 2 3" xfId="2277"/>
    <cellStyle name="Normal 13 2 3 2" xfId="2278"/>
    <cellStyle name="Normal 13 2 3 2 2" xfId="2279"/>
    <cellStyle name="Normal 13 2 3 2 2 2" xfId="2280"/>
    <cellStyle name="Normal 13 2 3 2 2 3" xfId="2281"/>
    <cellStyle name="Normal 13 2 3 2 3" xfId="2282"/>
    <cellStyle name="Normal 13 2 3 2 4" xfId="2283"/>
    <cellStyle name="Normal 13 2 3 3" xfId="2284"/>
    <cellStyle name="Normal 13 2 3 3 2" xfId="2285"/>
    <cellStyle name="Normal 13 2 3 3 3" xfId="2286"/>
    <cellStyle name="Normal 13 2 3 4" xfId="2287"/>
    <cellStyle name="Normal 13 2 3 5" xfId="2288"/>
    <cellStyle name="Normal 13 2 4" xfId="2289"/>
    <cellStyle name="Normal 13 2 4 2" xfId="2290"/>
    <cellStyle name="Normal 13 2 4 2 2" xfId="2291"/>
    <cellStyle name="Normal 13 2 4 2 2 2" xfId="2292"/>
    <cellStyle name="Normal 13 2 4 2 2 3" xfId="2293"/>
    <cellStyle name="Normal 13 2 4 2 3" xfId="2294"/>
    <cellStyle name="Normal 13 2 4 2 4" xfId="2295"/>
    <cellStyle name="Normal 13 2 4 3" xfId="2296"/>
    <cellStyle name="Normal 13 2 4 3 2" xfId="2297"/>
    <cellStyle name="Normal 13 2 4 3 3" xfId="2298"/>
    <cellStyle name="Normal 13 2 4 4" xfId="2299"/>
    <cellStyle name="Normal 13 2 4 5" xfId="2300"/>
    <cellStyle name="Normal 13 2 5" xfId="2301"/>
    <cellStyle name="Normal 13 2 5 2" xfId="2302"/>
    <cellStyle name="Normal 13 2 5 2 2" xfId="2303"/>
    <cellStyle name="Normal 13 2 5 2 2 2" xfId="2304"/>
    <cellStyle name="Normal 13 2 5 2 2 3" xfId="2305"/>
    <cellStyle name="Normal 13 2 5 2 3" xfId="2306"/>
    <cellStyle name="Normal 13 2 5 2 4" xfId="2307"/>
    <cellStyle name="Normal 13 2 5 3" xfId="2308"/>
    <cellStyle name="Normal 13 2 5 3 2" xfId="2309"/>
    <cellStyle name="Normal 13 2 5 3 3" xfId="2310"/>
    <cellStyle name="Normal 13 2 5 4" xfId="2311"/>
    <cellStyle name="Normal 13 2 5 5" xfId="2312"/>
    <cellStyle name="Normal 13 2 6" xfId="2313"/>
    <cellStyle name="Normal 13 2 6 2" xfId="2314"/>
    <cellStyle name="Normal 13 2 6 2 2" xfId="2315"/>
    <cellStyle name="Normal 13 2 6 2 2 2" xfId="2316"/>
    <cellStyle name="Normal 13 2 6 2 2 3" xfId="2317"/>
    <cellStyle name="Normal 13 2 6 2 3" xfId="2318"/>
    <cellStyle name="Normal 13 2 6 2 4" xfId="2319"/>
    <cellStyle name="Normal 13 2 6 3" xfId="2320"/>
    <cellStyle name="Normal 13 2 6 3 2" xfId="2321"/>
    <cellStyle name="Normal 13 2 6 3 3" xfId="2322"/>
    <cellStyle name="Normal 13 2 6 4" xfId="2323"/>
    <cellStyle name="Normal 13 2 6 5" xfId="2324"/>
    <cellStyle name="Normal 13 2 7" xfId="2325"/>
    <cellStyle name="Normal 13 2 7 2" xfId="2326"/>
    <cellStyle name="Normal 13 2 8" xfId="2327"/>
    <cellStyle name="Normal 13 2 8 2" xfId="2328"/>
    <cellStyle name="Normal 13 2 9" xfId="2329"/>
    <cellStyle name="Normal 13 3" xfId="2330"/>
    <cellStyle name="Normal 13 3 2" xfId="2331"/>
    <cellStyle name="Normal 13 3 2 2" xfId="2332"/>
    <cellStyle name="Normal 13 3 3" xfId="2333"/>
    <cellStyle name="Normal 13 3 3 2" xfId="2334"/>
    <cellStyle name="Normal 13 3 4" xfId="2335"/>
    <cellStyle name="Normal 13 3 5" xfId="11461"/>
    <cellStyle name="Normal 13 4" xfId="2336"/>
    <cellStyle name="Normal 13 4 2" xfId="2337"/>
    <cellStyle name="Normal 13 4 2 2" xfId="2338"/>
    <cellStyle name="Normal 13 4 3" xfId="2339"/>
    <cellStyle name="Normal 13 4 3 2" xfId="2340"/>
    <cellStyle name="Normal 13 4 4" xfId="2341"/>
    <cellStyle name="Normal 13 4 7" xfId="11462"/>
    <cellStyle name="Normal 13 46" xfId="11463"/>
    <cellStyle name="Normal 13 48" xfId="11464"/>
    <cellStyle name="Normal 13 5" xfId="2342"/>
    <cellStyle name="Normal 13 5 2" xfId="2343"/>
    <cellStyle name="Normal 13 5 2 2" xfId="2344"/>
    <cellStyle name="Normal 13 5 3" xfId="2345"/>
    <cellStyle name="Normal 13 5 3 2" xfId="2346"/>
    <cellStyle name="Normal 13 5 4" xfId="2347"/>
    <cellStyle name="Normal 13 6" xfId="2348"/>
    <cellStyle name="Normal 13 6 2" xfId="2349"/>
    <cellStyle name="Normal 13 6 2 2" xfId="2350"/>
    <cellStyle name="Normal 13 6 3" xfId="2351"/>
    <cellStyle name="Normal 13 6 3 2" xfId="2352"/>
    <cellStyle name="Normal 13 6 4" xfId="2353"/>
    <cellStyle name="Normal 13 7" xfId="2354"/>
    <cellStyle name="Normal 13 7 2" xfId="2355"/>
    <cellStyle name="Normal 13 7 2 2" xfId="2356"/>
    <cellStyle name="Normal 13 7 3" xfId="2357"/>
    <cellStyle name="Normal 13 7 3 2" xfId="2358"/>
    <cellStyle name="Normal 13 7 3 3" xfId="2359"/>
    <cellStyle name="Normal 13 7 4" xfId="2360"/>
    <cellStyle name="Normal 13 8" xfId="2361"/>
    <cellStyle name="Normal 13 8 2" xfId="2362"/>
    <cellStyle name="Normal 13 8 2 2" xfId="2363"/>
    <cellStyle name="Normal 13 8 3" xfId="2364"/>
    <cellStyle name="Normal 13 8 3 2" xfId="2365"/>
    <cellStyle name="Normal 13 8 3 3" xfId="2366"/>
    <cellStyle name="Normal 13 8 4" xfId="2367"/>
    <cellStyle name="Normal 13 9" xfId="2368"/>
    <cellStyle name="Normal 13 9 2" xfId="2369"/>
    <cellStyle name="Normal 13 9 4" xfId="11465"/>
    <cellStyle name="Normal 14" xfId="193"/>
    <cellStyle name="Normal 14 10" xfId="2370"/>
    <cellStyle name="Normal 14 10 4" xfId="11466"/>
    <cellStyle name="Normal 14 11" xfId="11467"/>
    <cellStyle name="Normal 14 12" xfId="11468"/>
    <cellStyle name="Normal 14 12 4" xfId="11469"/>
    <cellStyle name="Normal 14 12 5" xfId="11470"/>
    <cellStyle name="Normal 14 13" xfId="11471"/>
    <cellStyle name="Normal 14 13 3" xfId="11472"/>
    <cellStyle name="Normal 14 14 2" xfId="11473"/>
    <cellStyle name="Normal 14 2" xfId="2371"/>
    <cellStyle name="Normal 14 2 2" xfId="2372"/>
    <cellStyle name="Normal 14 2 2 2" xfId="2373"/>
    <cellStyle name="Normal 14 2 2 2 2" xfId="2374"/>
    <cellStyle name="Normal 14 2 2 2 2 2" xfId="2375"/>
    <cellStyle name="Normal 14 2 2 2 2 3" xfId="2376"/>
    <cellStyle name="Normal 14 2 2 2 3" xfId="2377"/>
    <cellStyle name="Normal 14 2 2 2 4" xfId="2378"/>
    <cellStyle name="Normal 14 2 2 3" xfId="2379"/>
    <cellStyle name="Normal 14 2 2 3 2" xfId="2380"/>
    <cellStyle name="Normal 14 2 2 3 3" xfId="2381"/>
    <cellStyle name="Normal 14 2 2 4" xfId="2382"/>
    <cellStyle name="Normal 14 2 2 5" xfId="2383"/>
    <cellStyle name="Normal 14 2 3" xfId="2384"/>
    <cellStyle name="Normal 14 2 3 2" xfId="2385"/>
    <cellStyle name="Normal 14 2 3 2 2" xfId="2386"/>
    <cellStyle name="Normal 14 2 3 2 2 2" xfId="2387"/>
    <cellStyle name="Normal 14 2 3 2 2 3" xfId="2388"/>
    <cellStyle name="Normal 14 2 3 2 3" xfId="2389"/>
    <cellStyle name="Normal 14 2 3 2 4" xfId="2390"/>
    <cellStyle name="Normal 14 2 3 3" xfId="2391"/>
    <cellStyle name="Normal 14 2 3 3 2" xfId="2392"/>
    <cellStyle name="Normal 14 2 3 3 3" xfId="2393"/>
    <cellStyle name="Normal 14 2 3 4" xfId="2394"/>
    <cellStyle name="Normal 14 2 3 5" xfId="2395"/>
    <cellStyle name="Normal 14 2 4" xfId="2396"/>
    <cellStyle name="Normal 14 2 4 2" xfId="2397"/>
    <cellStyle name="Normal 14 2 4 2 2" xfId="2398"/>
    <cellStyle name="Normal 14 2 4 2 2 2" xfId="2399"/>
    <cellStyle name="Normal 14 2 4 2 2 3" xfId="2400"/>
    <cellStyle name="Normal 14 2 4 2 3" xfId="2401"/>
    <cellStyle name="Normal 14 2 4 2 4" xfId="2402"/>
    <cellStyle name="Normal 14 2 4 3" xfId="2403"/>
    <cellStyle name="Normal 14 2 4 3 2" xfId="2404"/>
    <cellStyle name="Normal 14 2 4 3 3" xfId="2405"/>
    <cellStyle name="Normal 14 2 4 4" xfId="2406"/>
    <cellStyle name="Normal 14 2 4 5" xfId="2407"/>
    <cellStyle name="Normal 14 2 5" xfId="2408"/>
    <cellStyle name="Normal 14 2 5 2" xfId="2409"/>
    <cellStyle name="Normal 14 2 5 2 2" xfId="2410"/>
    <cellStyle name="Normal 14 2 5 2 2 2" xfId="2411"/>
    <cellStyle name="Normal 14 2 5 2 2 3" xfId="2412"/>
    <cellStyle name="Normal 14 2 5 2 3" xfId="2413"/>
    <cellStyle name="Normal 14 2 5 2 4" xfId="2414"/>
    <cellStyle name="Normal 14 2 5 3" xfId="2415"/>
    <cellStyle name="Normal 14 2 5 3 2" xfId="2416"/>
    <cellStyle name="Normal 14 2 5 3 3" xfId="2417"/>
    <cellStyle name="Normal 14 2 5 4" xfId="2418"/>
    <cellStyle name="Normal 14 2 5 5" xfId="2419"/>
    <cellStyle name="Normal 14 2 6" xfId="2420"/>
    <cellStyle name="Normal 14 2 6 2" xfId="2421"/>
    <cellStyle name="Normal 14 2 6 2 2" xfId="2422"/>
    <cellStyle name="Normal 14 2 6 2 2 2" xfId="2423"/>
    <cellStyle name="Normal 14 2 6 2 2 3" xfId="2424"/>
    <cellStyle name="Normal 14 2 6 2 3" xfId="2425"/>
    <cellStyle name="Normal 14 2 6 2 4" xfId="2426"/>
    <cellStyle name="Normal 14 2 6 3" xfId="2427"/>
    <cellStyle name="Normal 14 2 6 3 2" xfId="2428"/>
    <cellStyle name="Normal 14 2 6 3 3" xfId="2429"/>
    <cellStyle name="Normal 14 2 6 4" xfId="2430"/>
    <cellStyle name="Normal 14 2 6 5" xfId="2431"/>
    <cellStyle name="Normal 14 2 7" xfId="2432"/>
    <cellStyle name="Normal 14 2 7 2" xfId="2433"/>
    <cellStyle name="Normal 14 2 8" xfId="2434"/>
    <cellStyle name="Normal 14 2 8 2" xfId="2435"/>
    <cellStyle name="Normal 14 2 9" xfId="2436"/>
    <cellStyle name="Normal 14 3" xfId="141"/>
    <cellStyle name="Normal 14 3 2" xfId="2437"/>
    <cellStyle name="Normal 14 4" xfId="2438"/>
    <cellStyle name="Normal 14 4 2" xfId="2439"/>
    <cellStyle name="Normal 14 5" xfId="2440"/>
    <cellStyle name="Normal 14 5 2" xfId="2441"/>
    <cellStyle name="Normal 14 5 5" xfId="11474"/>
    <cellStyle name="Normal 14 6" xfId="2442"/>
    <cellStyle name="Normal 14 6 2" xfId="2443"/>
    <cellStyle name="Normal 14 7" xfId="2444"/>
    <cellStyle name="Normal 14 7 2" xfId="2445"/>
    <cellStyle name="Normal 14 7 2 2" xfId="2446"/>
    <cellStyle name="Normal 14 7 2 3" xfId="2447"/>
    <cellStyle name="Normal 14 7 3" xfId="2448"/>
    <cellStyle name="Normal 14 7 4" xfId="2449"/>
    <cellStyle name="Normal 14 8" xfId="2450"/>
    <cellStyle name="Normal 14 8 2" xfId="2451"/>
    <cellStyle name="Normal 14 8 2 2" xfId="2452"/>
    <cellStyle name="Normal 14 8 2 3" xfId="2453"/>
    <cellStyle name="Normal 14 8 3" xfId="2454"/>
    <cellStyle name="Normal 14 8 4" xfId="2455"/>
    <cellStyle name="Normal 14 9" xfId="2456"/>
    <cellStyle name="Normal 14 9 2" xfId="2457"/>
    <cellStyle name="Normal 15" xfId="194"/>
    <cellStyle name="Normal 15 10" xfId="2458"/>
    <cellStyle name="Normal 15 11 4" xfId="11475"/>
    <cellStyle name="Normal 15 2" xfId="128"/>
    <cellStyle name="Normal 15 2 2" xfId="2459"/>
    <cellStyle name="Normal 15 2 2 2" xfId="2460"/>
    <cellStyle name="Normal 15 2 2 2 2" xfId="2461"/>
    <cellStyle name="Normal 15 2 2 2 2 2" xfId="2462"/>
    <cellStyle name="Normal 15 2 2 2 2 3" xfId="2463"/>
    <cellStyle name="Normal 15 2 2 2 3" xfId="2464"/>
    <cellStyle name="Normal 15 2 2 2 4" xfId="2465"/>
    <cellStyle name="Normal 15 2 2 3" xfId="2466"/>
    <cellStyle name="Normal 15 2 2 3 2" xfId="2467"/>
    <cellStyle name="Normal 15 2 2 3 3" xfId="2468"/>
    <cellStyle name="Normal 15 2 2 4" xfId="2469"/>
    <cellStyle name="Normal 15 2 2 5" xfId="2470"/>
    <cellStyle name="Normal 15 2 3" xfId="2471"/>
    <cellStyle name="Normal 15 2 3 2" xfId="2472"/>
    <cellStyle name="Normal 15 2 3 2 2" xfId="2473"/>
    <cellStyle name="Normal 15 2 3 2 2 2" xfId="2474"/>
    <cellStyle name="Normal 15 2 3 2 2 3" xfId="2475"/>
    <cellStyle name="Normal 15 2 3 2 3" xfId="2476"/>
    <cellStyle name="Normal 15 2 3 2 4" xfId="2477"/>
    <cellStyle name="Normal 15 2 3 3" xfId="2478"/>
    <cellStyle name="Normal 15 2 3 3 2" xfId="2479"/>
    <cellStyle name="Normal 15 2 3 3 3" xfId="2480"/>
    <cellStyle name="Normal 15 2 3 4" xfId="2481"/>
    <cellStyle name="Normal 15 2 3 5" xfId="2482"/>
    <cellStyle name="Normal 15 2 4" xfId="2483"/>
    <cellStyle name="Normal 15 2 4 2" xfId="2484"/>
    <cellStyle name="Normal 15 2 4 2 2" xfId="2485"/>
    <cellStyle name="Normal 15 2 4 2 2 2" xfId="2486"/>
    <cellStyle name="Normal 15 2 4 2 2 3" xfId="2487"/>
    <cellStyle name="Normal 15 2 4 2 3" xfId="2488"/>
    <cellStyle name="Normal 15 2 4 2 4" xfId="2489"/>
    <cellStyle name="Normal 15 2 4 3" xfId="2490"/>
    <cellStyle name="Normal 15 2 4 3 2" xfId="2491"/>
    <cellStyle name="Normal 15 2 4 3 3" xfId="2492"/>
    <cellStyle name="Normal 15 2 4 4" xfId="2493"/>
    <cellStyle name="Normal 15 2 4 5" xfId="2494"/>
    <cellStyle name="Normal 15 2 5" xfId="2495"/>
    <cellStyle name="Normal 15 2 5 2" xfId="2496"/>
    <cellStyle name="Normal 15 2 5 2 2" xfId="2497"/>
    <cellStyle name="Normal 15 2 5 2 2 2" xfId="2498"/>
    <cellStyle name="Normal 15 2 5 2 2 3" xfId="2499"/>
    <cellStyle name="Normal 15 2 5 2 3" xfId="2500"/>
    <cellStyle name="Normal 15 2 5 2 4" xfId="2501"/>
    <cellStyle name="Normal 15 2 5 3" xfId="2502"/>
    <cellStyle name="Normal 15 2 5 3 2" xfId="2503"/>
    <cellStyle name="Normal 15 2 5 3 3" xfId="2504"/>
    <cellStyle name="Normal 15 2 5 4" xfId="2505"/>
    <cellStyle name="Normal 15 2 5 5" xfId="2506"/>
    <cellStyle name="Normal 15 2 6" xfId="2507"/>
    <cellStyle name="Normal 15 2 6 2" xfId="2508"/>
    <cellStyle name="Normal 15 2 6 2 2" xfId="2509"/>
    <cellStyle name="Normal 15 2 6 2 2 2" xfId="2510"/>
    <cellStyle name="Normal 15 2 6 2 2 3" xfId="2511"/>
    <cellStyle name="Normal 15 2 6 2 3" xfId="2512"/>
    <cellStyle name="Normal 15 2 6 2 4" xfId="2513"/>
    <cellStyle name="Normal 15 2 6 3" xfId="2514"/>
    <cellStyle name="Normal 15 2 6 3 2" xfId="2515"/>
    <cellStyle name="Normal 15 2 6 3 3" xfId="2516"/>
    <cellStyle name="Normal 15 2 6 4" xfId="2517"/>
    <cellStyle name="Normal 15 2 6 5" xfId="2518"/>
    <cellStyle name="Normal 15 2 7" xfId="2519"/>
    <cellStyle name="Normal 15 2 7 2" xfId="2520"/>
    <cellStyle name="Normal 15 2 8" xfId="2521"/>
    <cellStyle name="Normal 15 2 8 2" xfId="2522"/>
    <cellStyle name="Normal 15 2 9" xfId="2523"/>
    <cellStyle name="Normal 15 3" xfId="2524"/>
    <cellStyle name="Normal 15 3 2" xfId="2525"/>
    <cellStyle name="Normal 15 4" xfId="2526"/>
    <cellStyle name="Normal 15 4 2" xfId="2527"/>
    <cellStyle name="Normal 15 5" xfId="2528"/>
    <cellStyle name="Normal 15 5 2" xfId="2529"/>
    <cellStyle name="Normal 15 5 5" xfId="11476"/>
    <cellStyle name="Normal 15 5 7" xfId="11477"/>
    <cellStyle name="Normal 15 6" xfId="2530"/>
    <cellStyle name="Normal 15 6 2" xfId="2531"/>
    <cellStyle name="Normal 15 7" xfId="2532"/>
    <cellStyle name="Normal 15 7 2" xfId="2533"/>
    <cellStyle name="Normal 15 7 2 2" xfId="2534"/>
    <cellStyle name="Normal 15 7 2 3" xfId="2535"/>
    <cellStyle name="Normal 15 7 3" xfId="2536"/>
    <cellStyle name="Normal 15 7 4" xfId="2537"/>
    <cellStyle name="Normal 15 8" xfId="2538"/>
    <cellStyle name="Normal 15 8 2" xfId="2539"/>
    <cellStyle name="Normal 15 8 2 2" xfId="2540"/>
    <cellStyle name="Normal 15 8 2 3" xfId="2541"/>
    <cellStyle name="Normal 15 8 3" xfId="2542"/>
    <cellStyle name="Normal 15 8 4" xfId="2543"/>
    <cellStyle name="Normal 15 9" xfId="2544"/>
    <cellStyle name="Normal 15 9 2" xfId="2545"/>
    <cellStyle name="Normal 16" xfId="195"/>
    <cellStyle name="Normal 16 10" xfId="2546"/>
    <cellStyle name="Normal 16 2" xfId="2547"/>
    <cellStyle name="Normal 16 2 2" xfId="2548"/>
    <cellStyle name="Normal 16 2 2 2" xfId="2549"/>
    <cellStyle name="Normal 16 2 2 2 2" xfId="2550"/>
    <cellStyle name="Normal 16 2 2 2 3" xfId="2551"/>
    <cellStyle name="Normal 16 2 2 3" xfId="2552"/>
    <cellStyle name="Normal 16 2 2 4" xfId="2553"/>
    <cellStyle name="Normal 16 2 3" xfId="2554"/>
    <cellStyle name="Normal 16 2 3 2" xfId="2555"/>
    <cellStyle name="Normal 16 2 4" xfId="2556"/>
    <cellStyle name="Normal 16 2 4 2" xfId="2557"/>
    <cellStyle name="Normal 16 2 4 3" xfId="2558"/>
    <cellStyle name="Normal 16 2 5" xfId="2559"/>
    <cellStyle name="Normal 16 3" xfId="2560"/>
    <cellStyle name="Normal 16 3 2" xfId="2561"/>
    <cellStyle name="Normal 16 3 2 2" xfId="2562"/>
    <cellStyle name="Normal 16 3 2 2 2" xfId="2563"/>
    <cellStyle name="Normal 16 3 2 2 3" xfId="2564"/>
    <cellStyle name="Normal 16 3 2 3" xfId="2565"/>
    <cellStyle name="Normal 16 3 2 4" xfId="2566"/>
    <cellStyle name="Normal 16 3 3" xfId="2567"/>
    <cellStyle name="Normal 16 3 3 2" xfId="2568"/>
    <cellStyle name="Normal 16 3 4" xfId="2569"/>
    <cellStyle name="Normal 16 3 4 2" xfId="2570"/>
    <cellStyle name="Normal 16 3 4 3" xfId="2571"/>
    <cellStyle name="Normal 16 3 5" xfId="2572"/>
    <cellStyle name="Normal 16 4" xfId="2573"/>
    <cellStyle name="Normal 16 4 2" xfId="2574"/>
    <cellStyle name="Normal 16 4 2 2" xfId="2575"/>
    <cellStyle name="Normal 16 4 2 2 2" xfId="2576"/>
    <cellStyle name="Normal 16 4 2 2 3" xfId="2577"/>
    <cellStyle name="Normal 16 4 2 3" xfId="2578"/>
    <cellStyle name="Normal 16 4 2 4" xfId="2579"/>
    <cellStyle name="Normal 16 4 3" xfId="2580"/>
    <cellStyle name="Normal 16 4 3 2" xfId="2581"/>
    <cellStyle name="Normal 16 4 4" xfId="2582"/>
    <cellStyle name="Normal 16 4 4 2" xfId="2583"/>
    <cellStyle name="Normal 16 4 4 3" xfId="2584"/>
    <cellStyle name="Normal 16 4 5" xfId="2585"/>
    <cellStyle name="Normal 16 5" xfId="2586"/>
    <cellStyle name="Normal 16 5 2" xfId="2587"/>
    <cellStyle name="Normal 16 5 2 2" xfId="2588"/>
    <cellStyle name="Normal 16 5 2 2 2" xfId="2589"/>
    <cellStyle name="Normal 16 5 2 2 3" xfId="2590"/>
    <cellStyle name="Normal 16 5 2 3" xfId="2591"/>
    <cellStyle name="Normal 16 5 2 4" xfId="2592"/>
    <cellStyle name="Normal 16 5 3" xfId="2593"/>
    <cellStyle name="Normal 16 5 3 2" xfId="2594"/>
    <cellStyle name="Normal 16 5 4" xfId="2595"/>
    <cellStyle name="Normal 16 5 4 2" xfId="2596"/>
    <cellStyle name="Normal 16 5 4 3" xfId="2597"/>
    <cellStyle name="Normal 16 5 5" xfId="2598"/>
    <cellStyle name="Normal 16 6" xfId="2599"/>
    <cellStyle name="Normal 16 6 2" xfId="2600"/>
    <cellStyle name="Normal 16 6 2 2" xfId="2601"/>
    <cellStyle name="Normal 16 6 2 2 2" xfId="2602"/>
    <cellStyle name="Normal 16 6 2 2 3" xfId="2603"/>
    <cellStyle name="Normal 16 6 2 3" xfId="2604"/>
    <cellStyle name="Normal 16 6 2 4" xfId="2605"/>
    <cellStyle name="Normal 16 6 3" xfId="2606"/>
    <cellStyle name="Normal 16 6 3 2" xfId="2607"/>
    <cellStyle name="Normal 16 6 4" xfId="2608"/>
    <cellStyle name="Normal 16 6 4 2" xfId="2609"/>
    <cellStyle name="Normal 16 6 4 3" xfId="2610"/>
    <cellStyle name="Normal 16 6 5" xfId="2611"/>
    <cellStyle name="Normal 16 7" xfId="2612"/>
    <cellStyle name="Normal 16 7 2" xfId="2613"/>
    <cellStyle name="Normal 16 7 2 2" xfId="2614"/>
    <cellStyle name="Normal 16 7 2 3" xfId="2615"/>
    <cellStyle name="Normal 16 7 3" xfId="2616"/>
    <cellStyle name="Normal 16 7 4" xfId="2617"/>
    <cellStyle name="Normal 16 8" xfId="2618"/>
    <cellStyle name="Normal 16 8 2" xfId="2619"/>
    <cellStyle name="Normal 16 9" xfId="2620"/>
    <cellStyle name="Normal 16 9 2" xfId="2621"/>
    <cellStyle name="Normal 16 9 3" xfId="2622"/>
    <cellStyle name="Normal 17" xfId="196"/>
    <cellStyle name="Normal 17 10" xfId="2623"/>
    <cellStyle name="Normal 17 10 3" xfId="11478"/>
    <cellStyle name="Normal 17 12 2" xfId="11479"/>
    <cellStyle name="Normal 17 2" xfId="129"/>
    <cellStyle name="Normal 17 2 2" xfId="2624"/>
    <cellStyle name="Normal 17 2 2 2" xfId="2625"/>
    <cellStyle name="Normal 17 2 2 2 2" xfId="2626"/>
    <cellStyle name="Normal 17 2 2 2 3" xfId="2627"/>
    <cellStyle name="Normal 17 2 2 3" xfId="2628"/>
    <cellStyle name="Normal 17 2 2 4" xfId="2629"/>
    <cellStyle name="Normal 17 2 3" xfId="2630"/>
    <cellStyle name="Normal 17 2 3 2" xfId="2631"/>
    <cellStyle name="Normal 17 2 4" xfId="2632"/>
    <cellStyle name="Normal 17 2 4 2" xfId="2633"/>
    <cellStyle name="Normal 17 2 4 3" xfId="2634"/>
    <cellStyle name="Normal 17 2 5" xfId="2635"/>
    <cellStyle name="Normal 17 3" xfId="2636"/>
    <cellStyle name="Normal 17 3 2" xfId="2637"/>
    <cellStyle name="Normal 17 3 2 2" xfId="2638"/>
    <cellStyle name="Normal 17 3 2 2 2" xfId="2639"/>
    <cellStyle name="Normal 17 3 2 2 3" xfId="2640"/>
    <cellStyle name="Normal 17 3 2 3" xfId="2641"/>
    <cellStyle name="Normal 17 3 2 4" xfId="2642"/>
    <cellStyle name="Normal 17 3 3" xfId="2643"/>
    <cellStyle name="Normal 17 3 3 2" xfId="2644"/>
    <cellStyle name="Normal 17 3 4" xfId="2645"/>
    <cellStyle name="Normal 17 3 4 2" xfId="2646"/>
    <cellStyle name="Normal 17 3 4 3" xfId="2647"/>
    <cellStyle name="Normal 17 3 5" xfId="2648"/>
    <cellStyle name="Normal 17 4" xfId="2649"/>
    <cellStyle name="Normal 17 4 2" xfId="2650"/>
    <cellStyle name="Normal 17 4 2 2" xfId="2651"/>
    <cellStyle name="Normal 17 4 2 2 2" xfId="2652"/>
    <cellStyle name="Normal 17 4 2 2 3" xfId="2653"/>
    <cellStyle name="Normal 17 4 2 3" xfId="2654"/>
    <cellStyle name="Normal 17 4 2 4" xfId="2655"/>
    <cellStyle name="Normal 17 4 3" xfId="2656"/>
    <cellStyle name="Normal 17 4 3 2" xfId="2657"/>
    <cellStyle name="Normal 17 4 4" xfId="2658"/>
    <cellStyle name="Normal 17 4 4 2" xfId="2659"/>
    <cellStyle name="Normal 17 4 4 3" xfId="2660"/>
    <cellStyle name="Normal 17 4 5" xfId="2661"/>
    <cellStyle name="Normal 17 5" xfId="2662"/>
    <cellStyle name="Normal 17 5 2" xfId="2663"/>
    <cellStyle name="Normal 17 5 2 2" xfId="2664"/>
    <cellStyle name="Normal 17 5 2 2 2" xfId="2665"/>
    <cellStyle name="Normal 17 5 2 2 3" xfId="2666"/>
    <cellStyle name="Normal 17 5 2 3" xfId="2667"/>
    <cellStyle name="Normal 17 5 2 4" xfId="2668"/>
    <cellStyle name="Normal 17 5 3" xfId="2669"/>
    <cellStyle name="Normal 17 5 3 2" xfId="2670"/>
    <cellStyle name="Normal 17 5 4" xfId="2671"/>
    <cellStyle name="Normal 17 5 4 2" xfId="2672"/>
    <cellStyle name="Normal 17 5 4 3" xfId="2673"/>
    <cellStyle name="Normal 17 5 5" xfId="2674"/>
    <cellStyle name="Normal 17 6" xfId="2675"/>
    <cellStyle name="Normal 17 6 2" xfId="2676"/>
    <cellStyle name="Normal 17 6 2 2" xfId="2677"/>
    <cellStyle name="Normal 17 6 2 2 2" xfId="2678"/>
    <cellStyle name="Normal 17 6 2 2 3" xfId="2679"/>
    <cellStyle name="Normal 17 6 2 3" xfId="2680"/>
    <cellStyle name="Normal 17 6 2 4" xfId="2681"/>
    <cellStyle name="Normal 17 6 3" xfId="2682"/>
    <cellStyle name="Normal 17 6 3 2" xfId="2683"/>
    <cellStyle name="Normal 17 6 4" xfId="2684"/>
    <cellStyle name="Normal 17 6 4 2" xfId="2685"/>
    <cellStyle name="Normal 17 6 4 3" xfId="2686"/>
    <cellStyle name="Normal 17 6 5" xfId="2687"/>
    <cellStyle name="Normal 17 7" xfId="2688"/>
    <cellStyle name="Normal 17 7 2" xfId="2689"/>
    <cellStyle name="Normal 17 7 2 2" xfId="2690"/>
    <cellStyle name="Normal 17 7 2 3" xfId="2691"/>
    <cellStyle name="Normal 17 7 3" xfId="2692"/>
    <cellStyle name="Normal 17 7 4" xfId="2693"/>
    <cellStyle name="Normal 17 8" xfId="2694"/>
    <cellStyle name="Normal 17 8 2" xfId="2695"/>
    <cellStyle name="Normal 17 9" xfId="2696"/>
    <cellStyle name="Normal 17 9 2" xfId="2697"/>
    <cellStyle name="Normal 17 9 3" xfId="2698"/>
    <cellStyle name="Normal 18" xfId="145"/>
    <cellStyle name="Normal 18 10" xfId="2699"/>
    <cellStyle name="Normal 18 19" xfId="11480"/>
    <cellStyle name="Normal 18 2" xfId="2700"/>
    <cellStyle name="Normal 18 2 2" xfId="2701"/>
    <cellStyle name="Normal 18 2 2 2" xfId="2702"/>
    <cellStyle name="Normal 18 2 2 2 2" xfId="2703"/>
    <cellStyle name="Normal 18 2 2 2 3" xfId="2704"/>
    <cellStyle name="Normal 18 2 2 3" xfId="2705"/>
    <cellStyle name="Normal 18 2 2 4" xfId="2706"/>
    <cellStyle name="Normal 18 2 3" xfId="2707"/>
    <cellStyle name="Normal 18 2 3 2" xfId="2708"/>
    <cellStyle name="Normal 18 2 4" xfId="2709"/>
    <cellStyle name="Normal 18 2 4 2" xfId="2710"/>
    <cellStyle name="Normal 18 2 4 3" xfId="2711"/>
    <cellStyle name="Normal 18 2 5" xfId="2712"/>
    <cellStyle name="Normal 18 2 7" xfId="11481"/>
    <cellStyle name="Normal 18 3" xfId="2713"/>
    <cellStyle name="Normal 18 3 2" xfId="2714"/>
    <cellStyle name="Normal 18 3 2 2" xfId="2715"/>
    <cellStyle name="Normal 18 3 2 2 2" xfId="2716"/>
    <cellStyle name="Normal 18 3 2 2 3" xfId="2717"/>
    <cellStyle name="Normal 18 3 2 3" xfId="2718"/>
    <cellStyle name="Normal 18 3 2 4" xfId="2719"/>
    <cellStyle name="Normal 18 3 3" xfId="2720"/>
    <cellStyle name="Normal 18 3 3 2" xfId="2721"/>
    <cellStyle name="Normal 18 3 4" xfId="2722"/>
    <cellStyle name="Normal 18 3 4 2" xfId="2723"/>
    <cellStyle name="Normal 18 3 4 3" xfId="2724"/>
    <cellStyle name="Normal 18 3 5" xfId="2725"/>
    <cellStyle name="Normal 18 4" xfId="2726"/>
    <cellStyle name="Normal 18 4 2" xfId="2727"/>
    <cellStyle name="Normal 18 4 2 2" xfId="2728"/>
    <cellStyle name="Normal 18 4 2 2 2" xfId="2729"/>
    <cellStyle name="Normal 18 4 2 2 3" xfId="2730"/>
    <cellStyle name="Normal 18 4 2 3" xfId="2731"/>
    <cellStyle name="Normal 18 4 2 4" xfId="2732"/>
    <cellStyle name="Normal 18 4 3" xfId="2733"/>
    <cellStyle name="Normal 18 4 3 2" xfId="2734"/>
    <cellStyle name="Normal 18 4 4" xfId="2735"/>
    <cellStyle name="Normal 18 4 4 2" xfId="2736"/>
    <cellStyle name="Normal 18 4 4 3" xfId="2737"/>
    <cellStyle name="Normal 18 4 5" xfId="2738"/>
    <cellStyle name="Normal 18 5" xfId="2739"/>
    <cellStyle name="Normal 18 5 2" xfId="2740"/>
    <cellStyle name="Normal 18 5 2 2" xfId="2741"/>
    <cellStyle name="Normal 18 5 2 2 2" xfId="2742"/>
    <cellStyle name="Normal 18 5 2 2 3" xfId="2743"/>
    <cellStyle name="Normal 18 5 2 3" xfId="2744"/>
    <cellStyle name="Normal 18 5 2 4" xfId="2745"/>
    <cellStyle name="Normal 18 5 3" xfId="2746"/>
    <cellStyle name="Normal 18 5 3 2" xfId="2747"/>
    <cellStyle name="Normal 18 5 4" xfId="2748"/>
    <cellStyle name="Normal 18 5 4 2" xfId="2749"/>
    <cellStyle name="Normal 18 5 4 3" xfId="2750"/>
    <cellStyle name="Normal 18 5 5" xfId="2751"/>
    <cellStyle name="Normal 18 6" xfId="2752"/>
    <cellStyle name="Normal 18 6 2" xfId="2753"/>
    <cellStyle name="Normal 18 6 2 2" xfId="2754"/>
    <cellStyle name="Normal 18 6 2 2 2" xfId="2755"/>
    <cellStyle name="Normal 18 6 2 2 3" xfId="2756"/>
    <cellStyle name="Normal 18 6 2 3" xfId="2757"/>
    <cellStyle name="Normal 18 6 2 4" xfId="2758"/>
    <cellStyle name="Normal 18 6 3" xfId="2759"/>
    <cellStyle name="Normal 18 6 3 2" xfId="2760"/>
    <cellStyle name="Normal 18 6 4" xfId="2761"/>
    <cellStyle name="Normal 18 6 4 2" xfId="2762"/>
    <cellStyle name="Normal 18 6 4 3" xfId="2763"/>
    <cellStyle name="Normal 18 6 5" xfId="2764"/>
    <cellStyle name="Normal 18 7" xfId="2765"/>
    <cellStyle name="Normal 18 7 2" xfId="2766"/>
    <cellStyle name="Normal 18 7 2 2" xfId="2767"/>
    <cellStyle name="Normal 18 7 2 3" xfId="2768"/>
    <cellStyle name="Normal 18 7 3" xfId="2769"/>
    <cellStyle name="Normal 18 7 4" xfId="2770"/>
    <cellStyle name="Normal 18 7 5" xfId="11482"/>
    <cellStyle name="Normal 18 8" xfId="2771"/>
    <cellStyle name="Normal 18 8 2" xfId="2772"/>
    <cellStyle name="Normal 18 9" xfId="2773"/>
    <cellStyle name="Normal 18 9 2" xfId="2774"/>
    <cellStyle name="Normal 18 9 3" xfId="2775"/>
    <cellStyle name="Normal 19" xfId="278"/>
    <cellStyle name="Normal 19 17" xfId="11483"/>
    <cellStyle name="Normal 19 2" xfId="138"/>
    <cellStyle name="Normal 19 2 10" xfId="2776"/>
    <cellStyle name="Normal 19 2 2" xfId="2777"/>
    <cellStyle name="Normal 19 2 2 2" xfId="2778"/>
    <cellStyle name="Normal 19 2 2 2 2" xfId="2779"/>
    <cellStyle name="Normal 19 2 2 2 2 2" xfId="2780"/>
    <cellStyle name="Normal 19 2 2 2 2 3" xfId="2781"/>
    <cellStyle name="Normal 19 2 2 2 3" xfId="2782"/>
    <cellStyle name="Normal 19 2 2 2 4" xfId="2783"/>
    <cellStyle name="Normal 19 2 2 3" xfId="2784"/>
    <cellStyle name="Normal 19 2 2 3 2" xfId="2785"/>
    <cellStyle name="Normal 19 2 2 3 3" xfId="2786"/>
    <cellStyle name="Normal 19 2 2 4" xfId="2787"/>
    <cellStyle name="Normal 19 2 2 5" xfId="2788"/>
    <cellStyle name="Normal 19 2 3" xfId="2789"/>
    <cellStyle name="Normal 19 2 3 2" xfId="2790"/>
    <cellStyle name="Normal 19 2 3 2 2" xfId="2791"/>
    <cellStyle name="Normal 19 2 3 2 2 2" xfId="2792"/>
    <cellStyle name="Normal 19 2 3 2 2 3" xfId="2793"/>
    <cellStyle name="Normal 19 2 3 2 3" xfId="2794"/>
    <cellStyle name="Normal 19 2 3 2 4" xfId="2795"/>
    <cellStyle name="Normal 19 2 3 3" xfId="2796"/>
    <cellStyle name="Normal 19 2 3 3 2" xfId="2797"/>
    <cellStyle name="Normal 19 2 3 3 3" xfId="2798"/>
    <cellStyle name="Normal 19 2 3 4" xfId="2799"/>
    <cellStyle name="Normal 19 2 3 5" xfId="2800"/>
    <cellStyle name="Normal 19 2 4" xfId="2801"/>
    <cellStyle name="Normal 19 2 4 2" xfId="2802"/>
    <cellStyle name="Normal 19 2 4 2 2" xfId="2803"/>
    <cellStyle name="Normal 19 2 4 2 2 2" xfId="2804"/>
    <cellStyle name="Normal 19 2 4 2 2 3" xfId="2805"/>
    <cellStyle name="Normal 19 2 4 2 3" xfId="2806"/>
    <cellStyle name="Normal 19 2 4 2 4" xfId="2807"/>
    <cellStyle name="Normal 19 2 4 3" xfId="2808"/>
    <cellStyle name="Normal 19 2 4 3 2" xfId="2809"/>
    <cellStyle name="Normal 19 2 4 3 3" xfId="2810"/>
    <cellStyle name="Normal 19 2 4 4" xfId="2811"/>
    <cellStyle name="Normal 19 2 4 5" xfId="2812"/>
    <cellStyle name="Normal 19 2 5" xfId="2813"/>
    <cellStyle name="Normal 19 2 5 2" xfId="2814"/>
    <cellStyle name="Normal 19 2 5 2 2" xfId="2815"/>
    <cellStyle name="Normal 19 2 5 2 2 2" xfId="2816"/>
    <cellStyle name="Normal 19 2 5 2 2 3" xfId="2817"/>
    <cellStyle name="Normal 19 2 5 2 3" xfId="2818"/>
    <cellStyle name="Normal 19 2 5 2 4" xfId="2819"/>
    <cellStyle name="Normal 19 2 5 3" xfId="2820"/>
    <cellStyle name="Normal 19 2 5 3 2" xfId="2821"/>
    <cellStyle name="Normal 19 2 5 3 3" xfId="2822"/>
    <cellStyle name="Normal 19 2 5 4" xfId="2823"/>
    <cellStyle name="Normal 19 2 5 5" xfId="2824"/>
    <cellStyle name="Normal 19 2 6" xfId="2825"/>
    <cellStyle name="Normal 19 2 6 2" xfId="2826"/>
    <cellStyle name="Normal 19 2 6 2 2" xfId="2827"/>
    <cellStyle name="Normal 19 2 6 2 2 2" xfId="2828"/>
    <cellStyle name="Normal 19 2 6 2 2 3" xfId="2829"/>
    <cellStyle name="Normal 19 2 6 2 3" xfId="2830"/>
    <cellStyle name="Normal 19 2 6 2 4" xfId="2831"/>
    <cellStyle name="Normal 19 2 6 3" xfId="2832"/>
    <cellStyle name="Normal 19 2 6 3 2" xfId="2833"/>
    <cellStyle name="Normal 19 2 6 3 3" xfId="2834"/>
    <cellStyle name="Normal 19 2 6 4" xfId="2835"/>
    <cellStyle name="Normal 19 2 6 5" xfId="2836"/>
    <cellStyle name="Normal 19 2 7" xfId="2837"/>
    <cellStyle name="Normal 19 2 7 2" xfId="2838"/>
    <cellStyle name="Normal 19 2 7 2 2" xfId="2839"/>
    <cellStyle name="Normal 19 2 7 2 3" xfId="2840"/>
    <cellStyle name="Normal 19 2 7 3" xfId="2841"/>
    <cellStyle name="Normal 19 2 7 4" xfId="2842"/>
    <cellStyle name="Normal 19 2 8" xfId="2843"/>
    <cellStyle name="Normal 19 2 8 2" xfId="2844"/>
    <cellStyle name="Normal 19 2 9" xfId="2845"/>
    <cellStyle name="Normal 19 2 9 2" xfId="2846"/>
    <cellStyle name="Normal 19 2 9 3" xfId="2847"/>
    <cellStyle name="Normal 19 3" xfId="2848"/>
    <cellStyle name="Normal 19 3 2" xfId="2849"/>
    <cellStyle name="Normal 19 3 2 2" xfId="2850"/>
    <cellStyle name="Normal 19 3 3" xfId="2851"/>
    <cellStyle name="Normal 19 3 3 2" xfId="2852"/>
    <cellStyle name="Normal 19 3 4" xfId="2853"/>
    <cellStyle name="Normal 19 4" xfId="2854"/>
    <cellStyle name="Normal 19 4 2" xfId="2855"/>
    <cellStyle name="Normal 19 4 2 2" xfId="2856"/>
    <cellStyle name="Normal 19 4 3" xfId="2857"/>
    <cellStyle name="Normal 19 4 3 2" xfId="2858"/>
    <cellStyle name="Normal 19 4 4" xfId="2859"/>
    <cellStyle name="Normal 19 5" xfId="2860"/>
    <cellStyle name="Normal 19 5 2" xfId="2861"/>
    <cellStyle name="Normal 19 5 2 2" xfId="2862"/>
    <cellStyle name="Normal 19 5 3" xfId="2863"/>
    <cellStyle name="Normal 19 5 3 2" xfId="2864"/>
    <cellStyle name="Normal 19 5 4" xfId="2865"/>
    <cellStyle name="Normal 19 5 5" xfId="11484"/>
    <cellStyle name="Normal 19 6" xfId="2866"/>
    <cellStyle name="Normal 19 6 2" xfId="2867"/>
    <cellStyle name="Normal 19 6 2 2" xfId="2868"/>
    <cellStyle name="Normal 19 6 3" xfId="2869"/>
    <cellStyle name="Normal 19 6 3 2" xfId="2870"/>
    <cellStyle name="Normal 19 6 4" xfId="2871"/>
    <cellStyle name="Normal 19 7" xfId="2872"/>
    <cellStyle name="Normal 19 7 2" xfId="2873"/>
    <cellStyle name="Normal 19 7 5" xfId="11485"/>
    <cellStyle name="Normal 19 8" xfId="2874"/>
    <cellStyle name="Normal 19 8 2" xfId="2875"/>
    <cellStyle name="Normal 19 9" xfId="2876"/>
    <cellStyle name="Normal 19 9 4" xfId="11486"/>
    <cellStyle name="Normal 2" xfId="1"/>
    <cellStyle name="Normal 2 10" xfId="2877"/>
    <cellStyle name="Normal 2 10 2" xfId="2878"/>
    <cellStyle name="Normal 2 10 2 2" xfId="2879"/>
    <cellStyle name="Normal 2 10 3" xfId="2880"/>
    <cellStyle name="Normal 2 10 4" xfId="11487"/>
    <cellStyle name="Normal 2 10 5" xfId="11488"/>
    <cellStyle name="Normal 2 11" xfId="2881"/>
    <cellStyle name="Normal 2 11 2" xfId="2882"/>
    <cellStyle name="Normal 2 11 2 2" xfId="2883"/>
    <cellStyle name="Normal 2 11 3" xfId="2884"/>
    <cellStyle name="Normal 2 11 3 2" xfId="2885"/>
    <cellStyle name="Normal 2 11 3 3" xfId="2886"/>
    <cellStyle name="Normal 2 11 4" xfId="2887"/>
    <cellStyle name="Normal 2 11 5" xfId="11489"/>
    <cellStyle name="Normal 2 12" xfId="2888"/>
    <cellStyle name="Normal 2 12 2" xfId="2889"/>
    <cellStyle name="Normal 2 12 2 2" xfId="2890"/>
    <cellStyle name="Normal 2 12 3" xfId="2891"/>
    <cellStyle name="Normal 2 12 3 2" xfId="2892"/>
    <cellStyle name="Normal 2 12 3 3" xfId="2893"/>
    <cellStyle name="Normal 2 12 4" xfId="2894"/>
    <cellStyle name="Normal 2 12 5" xfId="11490"/>
    <cellStyle name="Normal 2 13" xfId="2895"/>
    <cellStyle name="Normal 2 13 2" xfId="2896"/>
    <cellStyle name="Normal 2 13 2 2" xfId="2897"/>
    <cellStyle name="Normal 2 13 3" xfId="2898"/>
    <cellStyle name="Normal 2 13 8" xfId="11491"/>
    <cellStyle name="Normal 2 14" xfId="2899"/>
    <cellStyle name="Normal 2 14 2" xfId="2900"/>
    <cellStyle name="Normal 2 14 2 2" xfId="11492"/>
    <cellStyle name="Normal 2 14 3" xfId="11493"/>
    <cellStyle name="Normal 2 14 4" xfId="11494"/>
    <cellStyle name="Normal 2 14 5" xfId="11495"/>
    <cellStyle name="Normal 2 15" xfId="2901"/>
    <cellStyle name="Normal 2 15 3" xfId="11496"/>
    <cellStyle name="Normal 2 15 4" xfId="11497"/>
    <cellStyle name="Normal 2 16" xfId="11498"/>
    <cellStyle name="Normal 2 16 2" xfId="11499"/>
    <cellStyle name="Normal 2 16 2 2" xfId="11500"/>
    <cellStyle name="Normal 2 16 3" xfId="11501"/>
    <cellStyle name="Normal 2 16 4" xfId="11502"/>
    <cellStyle name="Normal 2 17" xfId="11503"/>
    <cellStyle name="Normal 2 17 2" xfId="11504"/>
    <cellStyle name="Normal 2 17 2 2" xfId="11505"/>
    <cellStyle name="Normal 2 17 3" xfId="11506"/>
    <cellStyle name="Normal 2 17 4" xfId="11507"/>
    <cellStyle name="Normal 2 18" xfId="11508"/>
    <cellStyle name="Normal 2 18 2" xfId="11509"/>
    <cellStyle name="Normal 2 18 2 2" xfId="11510"/>
    <cellStyle name="Normal 2 18 3" xfId="11511"/>
    <cellStyle name="Normal 2 18 4" xfId="11512"/>
    <cellStyle name="Normal 2 19" xfId="11513"/>
    <cellStyle name="Normal 2 19 4" xfId="11514"/>
    <cellStyle name="Normal 2 2" xfId="79"/>
    <cellStyle name="Normal 2 2 10" xfId="9138"/>
    <cellStyle name="Normal 2 2 10 2" xfId="11515"/>
    <cellStyle name="Normal 2 2 10 3" xfId="11516"/>
    <cellStyle name="Normal 2 2 10 4" xfId="11517"/>
    <cellStyle name="Normal 2 2 10 7" xfId="11518"/>
    <cellStyle name="Normal 2 2 11" xfId="11519"/>
    <cellStyle name="Normal 2 2 11 2" xfId="11520"/>
    <cellStyle name="Normal 2 2 11 2 2" xfId="11521"/>
    <cellStyle name="Normal 2 2 11 3" xfId="11522"/>
    <cellStyle name="Normal 2 2 11 4" xfId="11523"/>
    <cellStyle name="Normal 2 2 12" xfId="11524"/>
    <cellStyle name="Normal 2 2 12 2" xfId="11525"/>
    <cellStyle name="Normal 2 2 12 3" xfId="11526"/>
    <cellStyle name="Normal 2 2 12 7" xfId="11527"/>
    <cellStyle name="Normal 2 2 13" xfId="11528"/>
    <cellStyle name="Normal 2 2 13 2" xfId="11529"/>
    <cellStyle name="Normal 2 2 13 3" xfId="11530"/>
    <cellStyle name="Normal 2 2 13 4" xfId="11531"/>
    <cellStyle name="Normal 2 2 14" xfId="11532"/>
    <cellStyle name="Normal 2 2 15" xfId="11533"/>
    <cellStyle name="Normal 2 2 16" xfId="11534"/>
    <cellStyle name="Normal 2 2 17" xfId="11535"/>
    <cellStyle name="Normal 2 2 17 5" xfId="11536"/>
    <cellStyle name="Normal 2 2 18" xfId="11537"/>
    <cellStyle name="Normal 2 2 19" xfId="11538"/>
    <cellStyle name="Normal 2 2 19 2" xfId="11539"/>
    <cellStyle name="Normal 2 2 2" xfId="80"/>
    <cellStyle name="Normal 2 2 2 10" xfId="11540"/>
    <cellStyle name="Normal 2 2 2 11" xfId="11541"/>
    <cellStyle name="Normal 2 2 2 12" xfId="11542"/>
    <cellStyle name="Normal 2 2 2 2" xfId="197"/>
    <cellStyle name="Normal 2 2 2 2 10" xfId="11543"/>
    <cellStyle name="Normal 2 2 2 2 11" xfId="11544"/>
    <cellStyle name="Normal 2 2 2 2 2" xfId="2902"/>
    <cellStyle name="Normal 2 2 2 2 2 2" xfId="11545"/>
    <cellStyle name="Normal 2 2 2 2 3" xfId="11546"/>
    <cellStyle name="Normal 2 2 2 2 4" xfId="11547"/>
    <cellStyle name="Normal 2 2 2 2 5" xfId="11548"/>
    <cellStyle name="Normal 2 2 2 2 6" xfId="11549"/>
    <cellStyle name="Normal 2 2 2 2 7" xfId="11550"/>
    <cellStyle name="Normal 2 2 2 2 8" xfId="11551"/>
    <cellStyle name="Normal 2 2 2 2 9" xfId="11552"/>
    <cellStyle name="Normal 2 2 2 3" xfId="2903"/>
    <cellStyle name="Normal 2 2 2 3 2" xfId="2904"/>
    <cellStyle name="Normal 2 2 2 4" xfId="2905"/>
    <cellStyle name="Normal 2 2 2 4 2" xfId="2906"/>
    <cellStyle name="Normal 2 2 2 5" xfId="2907"/>
    <cellStyle name="Normal 2 2 2 5 2" xfId="2908"/>
    <cellStyle name="Normal 2 2 2 6" xfId="2909"/>
    <cellStyle name="Normal 2 2 2 6 2" xfId="2910"/>
    <cellStyle name="Normal 2 2 2 7" xfId="2911"/>
    <cellStyle name="Normal 2 2 2 8" xfId="11553"/>
    <cellStyle name="Normal 2 2 2 9" xfId="11554"/>
    <cellStyle name="Normal 2 2 20" xfId="11555"/>
    <cellStyle name="Normal 2 2 21" xfId="11556"/>
    <cellStyle name="Normal 2 2 22" xfId="11557"/>
    <cellStyle name="Normal 2 2 23" xfId="11558"/>
    <cellStyle name="Normal 2 2 24" xfId="11559"/>
    <cellStyle name="Normal 2 2 25" xfId="11560"/>
    <cellStyle name="Normal 2 2 26" xfId="11561"/>
    <cellStyle name="Normal 2 2 27" xfId="11562"/>
    <cellStyle name="Normal 2 2 28" xfId="11563"/>
    <cellStyle name="Normal 2 2 29" xfId="11564"/>
    <cellStyle name="Normal 2 2 3" xfId="198"/>
    <cellStyle name="Normal 2 2 3 2" xfId="2912"/>
    <cellStyle name="Normal 2 2 3 2 2" xfId="11565"/>
    <cellStyle name="Normal 2 2 3 3" xfId="11566"/>
    <cellStyle name="Normal 2 2 3 4" xfId="11567"/>
    <cellStyle name="Normal 2 2 3 5" xfId="11568"/>
    <cellStyle name="Normal 2 2 30" xfId="11569"/>
    <cellStyle name="Normal 2 2 31" xfId="11570"/>
    <cellStyle name="Normal 2 2 32" xfId="11571"/>
    <cellStyle name="Normal 2 2 33" xfId="11572"/>
    <cellStyle name="Normal 2 2 34" xfId="11573"/>
    <cellStyle name="Normal 2 2 35" xfId="11574"/>
    <cellStyle name="Normal 2 2 36" xfId="11575"/>
    <cellStyle name="Normal 2 2 37" xfId="11576"/>
    <cellStyle name="Normal 2 2 38" xfId="11577"/>
    <cellStyle name="Normal 2 2 39" xfId="11578"/>
    <cellStyle name="Normal 2 2 4" xfId="2913"/>
    <cellStyle name="Normal 2 2 4 2" xfId="2914"/>
    <cellStyle name="Normal 2 2 4 4" xfId="11579"/>
    <cellStyle name="Normal 2 2 4 5" xfId="11580"/>
    <cellStyle name="Normal 2 2 4 8" xfId="11581"/>
    <cellStyle name="Normal 2 2 40" xfId="11582"/>
    <cellStyle name="Normal 2 2 41" xfId="11583"/>
    <cellStyle name="Normal 2 2 42" xfId="11584"/>
    <cellStyle name="Normal 2 2 43" xfId="11585"/>
    <cellStyle name="Normal 2 2 44" xfId="11586"/>
    <cellStyle name="Normal 2 2 45" xfId="11587"/>
    <cellStyle name="Normal 2 2 46" xfId="11588"/>
    <cellStyle name="Normal 2 2 47" xfId="11589"/>
    <cellStyle name="Normal 2 2 48" xfId="11590"/>
    <cellStyle name="Normal 2 2 49" xfId="11591"/>
    <cellStyle name="Normal 2 2 5" xfId="2915"/>
    <cellStyle name="Normal 2 2 5 2" xfId="2916"/>
    <cellStyle name="Normal 2 2 5 2 2" xfId="11592"/>
    <cellStyle name="Normal 2 2 5 3" xfId="11593"/>
    <cellStyle name="Normal 2 2 5 4" xfId="11594"/>
    <cellStyle name="Normal 2 2 5 5" xfId="11595"/>
    <cellStyle name="Normal 2 2 6" xfId="2917"/>
    <cellStyle name="Normal 2 2 6 2" xfId="2918"/>
    <cellStyle name="Normal 2 2 6 2 2" xfId="11596"/>
    <cellStyle name="Normal 2 2 6 3" xfId="11597"/>
    <cellStyle name="Normal 2 2 6 8" xfId="11598"/>
    <cellStyle name="Normal 2 2 7" xfId="2919"/>
    <cellStyle name="Normal 2 2 7 2" xfId="2920"/>
    <cellStyle name="Normal 2 2 7 2 2" xfId="11599"/>
    <cellStyle name="Normal 2 2 7 3" xfId="11600"/>
    <cellStyle name="Normal 2 2 7 4" xfId="11601"/>
    <cellStyle name="Normal 2 2 7 8" xfId="11602"/>
    <cellStyle name="Normal 2 2 8" xfId="2921"/>
    <cellStyle name="Normal 2 2 8 2" xfId="11603"/>
    <cellStyle name="Normal 2 2 8 2 2" xfId="11604"/>
    <cellStyle name="Normal 2 2 8 3" xfId="11605"/>
    <cellStyle name="Normal 2 2 8 4" xfId="11606"/>
    <cellStyle name="Normal 2 2 8 7" xfId="11607"/>
    <cellStyle name="Normal 2 2 9" xfId="2922"/>
    <cellStyle name="Normal 2 2 9 2" xfId="2923"/>
    <cellStyle name="Normal 2 2 9 2 2" xfId="11608"/>
    <cellStyle name="Normal 2 2 9 3" xfId="11609"/>
    <cellStyle name="Normal 2 2 9 4" xfId="11610"/>
    <cellStyle name="Normal 2 20" xfId="11611"/>
    <cellStyle name="Normal 2 21" xfId="11612"/>
    <cellStyle name="Normal 2 22" xfId="11613"/>
    <cellStyle name="Normal 2 22 2" xfId="11614"/>
    <cellStyle name="Normal 2 23" xfId="11615"/>
    <cellStyle name="Normal 2 24" xfId="11616"/>
    <cellStyle name="Normal 2 25" xfId="11617"/>
    <cellStyle name="Normal 2 26" xfId="11618"/>
    <cellStyle name="Normal 2 27" xfId="11619"/>
    <cellStyle name="Normal 2 28" xfId="11620"/>
    <cellStyle name="Normal 2 29" xfId="11621"/>
    <cellStyle name="Normal 2 3" xfId="81"/>
    <cellStyle name="Normal 2 3 10" xfId="11622"/>
    <cellStyle name="Normal 2 3 10 2" xfId="11623"/>
    <cellStyle name="Normal 2 3 10 2 2" xfId="11624"/>
    <cellStyle name="Normal 2 3 10 3" xfId="11625"/>
    <cellStyle name="Normal 2 3 10 4" xfId="11626"/>
    <cellStyle name="Normal 2 3 11" xfId="11627"/>
    <cellStyle name="Normal 2 3 11 2" xfId="11628"/>
    <cellStyle name="Normal 2 3 11 2 2" xfId="11629"/>
    <cellStyle name="Normal 2 3 11 3" xfId="11630"/>
    <cellStyle name="Normal 2 3 11 4" xfId="11631"/>
    <cellStyle name="Normal 2 3 11 7" xfId="11632"/>
    <cellStyle name="Normal 2 3 12" xfId="11633"/>
    <cellStyle name="Normal 2 3 12 2" xfId="11634"/>
    <cellStyle name="Normal 2 3 13" xfId="11635"/>
    <cellStyle name="Normal 2 3 13 2" xfId="11636"/>
    <cellStyle name="Normal 2 3 13 3" xfId="11637"/>
    <cellStyle name="Normal 2 3 13 4" xfId="11638"/>
    <cellStyle name="Normal 2 3 13 7" xfId="11639"/>
    <cellStyle name="Normal 2 3 14" xfId="11640"/>
    <cellStyle name="Normal 2 3 15" xfId="11641"/>
    <cellStyle name="Normal 2 3 15 4" xfId="11642"/>
    <cellStyle name="Normal 2 3 16" xfId="11643"/>
    <cellStyle name="Normal 2 3 17" xfId="11644"/>
    <cellStyle name="Normal 2 3 17 6" xfId="11645"/>
    <cellStyle name="Normal 2 3 18" xfId="11646"/>
    <cellStyle name="Normal 2 3 19" xfId="11647"/>
    <cellStyle name="Normal 2 3 2" xfId="82"/>
    <cellStyle name="Normal 2 3 2 10" xfId="11648"/>
    <cellStyle name="Normal 2 3 2 11" xfId="11649"/>
    <cellStyle name="Normal 2 3 2 2" xfId="199"/>
    <cellStyle name="Normal 2 3 2 2 2" xfId="2924"/>
    <cellStyle name="Normal 2 3 2 2 2 2" xfId="2925"/>
    <cellStyle name="Normal 2 3 2 2 2 2 2" xfId="2926"/>
    <cellStyle name="Normal 2 3 2 2 2 2 3" xfId="2927"/>
    <cellStyle name="Normal 2 3 2 2 2 3" xfId="2928"/>
    <cellStyle name="Normal 2 3 2 2 2 4" xfId="2929"/>
    <cellStyle name="Normal 2 3 2 2 3" xfId="2930"/>
    <cellStyle name="Normal 2 3 2 2 3 2" xfId="2931"/>
    <cellStyle name="Normal 2 3 2 2 3 3" xfId="2932"/>
    <cellStyle name="Normal 2 3 2 2 4" xfId="2933"/>
    <cellStyle name="Normal 2 3 2 2 5" xfId="2934"/>
    <cellStyle name="Normal 2 3 2 3" xfId="2935"/>
    <cellStyle name="Normal 2 3 2 3 2" xfId="2936"/>
    <cellStyle name="Normal 2 3 2 3 2 2" xfId="2937"/>
    <cellStyle name="Normal 2 3 2 3 2 2 2" xfId="2938"/>
    <cellStyle name="Normal 2 3 2 3 2 2 3" xfId="2939"/>
    <cellStyle name="Normal 2 3 2 3 2 3" xfId="2940"/>
    <cellStyle name="Normal 2 3 2 3 2 4" xfId="2941"/>
    <cellStyle name="Normal 2 3 2 3 3" xfId="2942"/>
    <cellStyle name="Normal 2 3 2 3 3 2" xfId="2943"/>
    <cellStyle name="Normal 2 3 2 3 3 3" xfId="2944"/>
    <cellStyle name="Normal 2 3 2 3 4" xfId="2945"/>
    <cellStyle name="Normal 2 3 2 3 5" xfId="2946"/>
    <cellStyle name="Normal 2 3 2 4" xfId="2947"/>
    <cellStyle name="Normal 2 3 2 4 2" xfId="2948"/>
    <cellStyle name="Normal 2 3 2 4 2 2" xfId="2949"/>
    <cellStyle name="Normal 2 3 2 4 2 2 2" xfId="2950"/>
    <cellStyle name="Normal 2 3 2 4 2 2 3" xfId="2951"/>
    <cellStyle name="Normal 2 3 2 4 2 3" xfId="2952"/>
    <cellStyle name="Normal 2 3 2 4 2 4" xfId="2953"/>
    <cellStyle name="Normal 2 3 2 4 3" xfId="2954"/>
    <cellStyle name="Normal 2 3 2 4 3 2" xfId="2955"/>
    <cellStyle name="Normal 2 3 2 4 3 3" xfId="2956"/>
    <cellStyle name="Normal 2 3 2 4 4" xfId="2957"/>
    <cellStyle name="Normal 2 3 2 4 5" xfId="2958"/>
    <cellStyle name="Normal 2 3 2 5" xfId="2959"/>
    <cellStyle name="Normal 2 3 2 5 2" xfId="2960"/>
    <cellStyle name="Normal 2 3 2 5 2 2" xfId="2961"/>
    <cellStyle name="Normal 2 3 2 5 2 2 2" xfId="2962"/>
    <cellStyle name="Normal 2 3 2 5 2 2 3" xfId="2963"/>
    <cellStyle name="Normal 2 3 2 5 2 3" xfId="2964"/>
    <cellStyle name="Normal 2 3 2 5 2 4" xfId="2965"/>
    <cellStyle name="Normal 2 3 2 5 3" xfId="2966"/>
    <cellStyle name="Normal 2 3 2 5 3 2" xfId="2967"/>
    <cellStyle name="Normal 2 3 2 5 3 3" xfId="2968"/>
    <cellStyle name="Normal 2 3 2 5 4" xfId="2969"/>
    <cellStyle name="Normal 2 3 2 5 5" xfId="2970"/>
    <cellStyle name="Normal 2 3 2 6" xfId="2971"/>
    <cellStyle name="Normal 2 3 2 6 2" xfId="2972"/>
    <cellStyle name="Normal 2 3 2 6 2 2" xfId="2973"/>
    <cellStyle name="Normal 2 3 2 6 2 2 2" xfId="2974"/>
    <cellStyle name="Normal 2 3 2 6 2 2 3" xfId="2975"/>
    <cellStyle name="Normal 2 3 2 6 2 3" xfId="2976"/>
    <cellStyle name="Normal 2 3 2 6 2 4" xfId="2977"/>
    <cellStyle name="Normal 2 3 2 6 3" xfId="2978"/>
    <cellStyle name="Normal 2 3 2 6 3 2" xfId="2979"/>
    <cellStyle name="Normal 2 3 2 6 3 3" xfId="2980"/>
    <cellStyle name="Normal 2 3 2 6 4" xfId="2981"/>
    <cellStyle name="Normal 2 3 2 6 5" xfId="2982"/>
    <cellStyle name="Normal 2 3 2 7" xfId="2983"/>
    <cellStyle name="Normal 2 3 2 8" xfId="11650"/>
    <cellStyle name="Normal 2 3 2 9" xfId="11651"/>
    <cellStyle name="Normal 2 3 28" xfId="11652"/>
    <cellStyle name="Normal 2 3 3" xfId="200"/>
    <cellStyle name="Normal 2 3 3 2" xfId="2984"/>
    <cellStyle name="Normal 2 3 3 2 2" xfId="11653"/>
    <cellStyle name="Normal 2 3 3 3" xfId="11654"/>
    <cellStyle name="Normal 2 3 3 4" xfId="11655"/>
    <cellStyle name="Normal 2 3 3 5" xfId="11656"/>
    <cellStyle name="Normal 2 3 4" xfId="2985"/>
    <cellStyle name="Normal 2 3 4 2" xfId="2986"/>
    <cellStyle name="Normal 2 3 4 2 2" xfId="11657"/>
    <cellStyle name="Normal 2 3 4 3" xfId="11658"/>
    <cellStyle name="Normal 2 3 4 4" xfId="11659"/>
    <cellStyle name="Normal 2 3 4 5" xfId="11660"/>
    <cellStyle name="Normal 2 3 5" xfId="2987"/>
    <cellStyle name="Normal 2 3 5 2" xfId="2988"/>
    <cellStyle name="Normal 2 3 5 2 2" xfId="11661"/>
    <cellStyle name="Normal 2 3 5 3" xfId="11662"/>
    <cellStyle name="Normal 2 3 5 4" xfId="11663"/>
    <cellStyle name="Normal 2 3 5 5" xfId="11664"/>
    <cellStyle name="Normal 2 3 5 8" xfId="11665"/>
    <cellStyle name="Normal 2 3 6" xfId="2989"/>
    <cellStyle name="Normal 2 3 6 2" xfId="2990"/>
    <cellStyle name="Normal 2 3 6 3" xfId="11666"/>
    <cellStyle name="Normal 2 3 6 4" xfId="11667"/>
    <cellStyle name="Normal 2 3 6 5" xfId="11668"/>
    <cellStyle name="Normal 2 3 7" xfId="2991"/>
    <cellStyle name="Normal 2 3 7 2" xfId="2992"/>
    <cellStyle name="Normal 2 3 7 2 2" xfId="2993"/>
    <cellStyle name="Normal 2 3 7 2 3" xfId="2994"/>
    <cellStyle name="Normal 2 3 7 3" xfId="2995"/>
    <cellStyle name="Normal 2 3 7 4" xfId="2996"/>
    <cellStyle name="Normal 2 3 8" xfId="2997"/>
    <cellStyle name="Normal 2 3 8 2" xfId="11669"/>
    <cellStyle name="Normal 2 3 8 2 2" xfId="11670"/>
    <cellStyle name="Normal 2 3 8 3" xfId="11671"/>
    <cellStyle name="Normal 2 3 8 4" xfId="11672"/>
    <cellStyle name="Normal 2 3 9" xfId="2998"/>
    <cellStyle name="Normal 2 3 9 2" xfId="2999"/>
    <cellStyle name="Normal 2 3 9 2 2" xfId="11673"/>
    <cellStyle name="Normal 2 3 9 3" xfId="3000"/>
    <cellStyle name="Normal 2 3 9 4" xfId="11674"/>
    <cellStyle name="Normal 2 3 9 7" xfId="11675"/>
    <cellStyle name="Normal 2 30" xfId="11676"/>
    <cellStyle name="Normal 2 31" xfId="11677"/>
    <cellStyle name="Normal 2 32" xfId="11678"/>
    <cellStyle name="Normal 2 33" xfId="11679"/>
    <cellStyle name="Normal 2 34" xfId="11680"/>
    <cellStyle name="Normal 2 35" xfId="11681"/>
    <cellStyle name="Normal 2 36" xfId="11682"/>
    <cellStyle name="Normal 2 37" xfId="11683"/>
    <cellStyle name="Normal 2 38" xfId="11684"/>
    <cellStyle name="Normal 2 39" xfId="11685"/>
    <cellStyle name="Normal 2 4" xfId="83"/>
    <cellStyle name="Normal 2 4 10" xfId="11686"/>
    <cellStyle name="Normal 2 4 10 4" xfId="11687"/>
    <cellStyle name="Normal 2 4 11" xfId="11688"/>
    <cellStyle name="Normal 2 4 12 2" xfId="11689"/>
    <cellStyle name="Normal 2 4 12 5" xfId="11690"/>
    <cellStyle name="Normal 2 4 12 7" xfId="11691"/>
    <cellStyle name="Normal 2 4 13" xfId="11692"/>
    <cellStyle name="Normal 2 4 14" xfId="11693"/>
    <cellStyle name="Normal 2 4 14 4" xfId="11694"/>
    <cellStyle name="Normal 2 4 15" xfId="11695"/>
    <cellStyle name="Normal 2 4 16" xfId="11696"/>
    <cellStyle name="Normal 2 4 2" xfId="84"/>
    <cellStyle name="Normal 2 4 2 2" xfId="3001"/>
    <cellStyle name="Normal 2 4 2 2 2" xfId="3002"/>
    <cellStyle name="Normal 2 4 2 2 2 2" xfId="3003"/>
    <cellStyle name="Normal 2 4 2 2 2 2 2" xfId="3004"/>
    <cellStyle name="Normal 2 4 2 2 2 2 3" xfId="3005"/>
    <cellStyle name="Normal 2 4 2 2 2 3" xfId="3006"/>
    <cellStyle name="Normal 2 4 2 2 2 4" xfId="3007"/>
    <cellStyle name="Normal 2 4 2 2 3" xfId="3008"/>
    <cellStyle name="Normal 2 4 2 2 3 2" xfId="3009"/>
    <cellStyle name="Normal 2 4 2 2 3 3" xfId="3010"/>
    <cellStyle name="Normal 2 4 2 2 4" xfId="3011"/>
    <cellStyle name="Normal 2 4 2 2 5" xfId="3012"/>
    <cellStyle name="Normal 2 4 2 3" xfId="3013"/>
    <cellStyle name="Normal 2 4 2 3 2" xfId="3014"/>
    <cellStyle name="Normal 2 4 2 3 2 2" xfId="3015"/>
    <cellStyle name="Normal 2 4 2 3 2 2 2" xfId="3016"/>
    <cellStyle name="Normal 2 4 2 3 2 2 3" xfId="3017"/>
    <cellStyle name="Normal 2 4 2 3 2 3" xfId="3018"/>
    <cellStyle name="Normal 2 4 2 3 2 4" xfId="3019"/>
    <cellStyle name="Normal 2 4 2 3 3" xfId="3020"/>
    <cellStyle name="Normal 2 4 2 3 3 2" xfId="3021"/>
    <cellStyle name="Normal 2 4 2 3 3 3" xfId="3022"/>
    <cellStyle name="Normal 2 4 2 3 4" xfId="3023"/>
    <cellStyle name="Normal 2 4 2 3 5" xfId="3024"/>
    <cellStyle name="Normal 2 4 2 4" xfId="3025"/>
    <cellStyle name="Normal 2 4 2 4 2" xfId="3026"/>
    <cellStyle name="Normal 2 4 2 4 2 2" xfId="3027"/>
    <cellStyle name="Normal 2 4 2 4 2 2 2" xfId="3028"/>
    <cellStyle name="Normal 2 4 2 4 2 2 3" xfId="3029"/>
    <cellStyle name="Normal 2 4 2 4 2 3" xfId="3030"/>
    <cellStyle name="Normal 2 4 2 4 2 4" xfId="3031"/>
    <cellStyle name="Normal 2 4 2 4 3" xfId="3032"/>
    <cellStyle name="Normal 2 4 2 4 3 2" xfId="3033"/>
    <cellStyle name="Normal 2 4 2 4 3 3" xfId="3034"/>
    <cellStyle name="Normal 2 4 2 4 4" xfId="3035"/>
    <cellStyle name="Normal 2 4 2 4 5" xfId="3036"/>
    <cellStyle name="Normal 2 4 2 5" xfId="3037"/>
    <cellStyle name="Normal 2 4 2 5 2" xfId="3038"/>
    <cellStyle name="Normal 2 4 2 5 2 2" xfId="3039"/>
    <cellStyle name="Normal 2 4 2 5 2 2 2" xfId="3040"/>
    <cellStyle name="Normal 2 4 2 5 2 2 3" xfId="3041"/>
    <cellStyle name="Normal 2 4 2 5 2 3" xfId="3042"/>
    <cellStyle name="Normal 2 4 2 5 2 4" xfId="3043"/>
    <cellStyle name="Normal 2 4 2 5 3" xfId="3044"/>
    <cellStyle name="Normal 2 4 2 5 3 2" xfId="3045"/>
    <cellStyle name="Normal 2 4 2 5 3 3" xfId="3046"/>
    <cellStyle name="Normal 2 4 2 5 4" xfId="3047"/>
    <cellStyle name="Normal 2 4 2 5 5" xfId="3048"/>
    <cellStyle name="Normal 2 4 2 6" xfId="3049"/>
    <cellStyle name="Normal 2 4 2 6 2" xfId="3050"/>
    <cellStyle name="Normal 2 4 2 6 2 2" xfId="3051"/>
    <cellStyle name="Normal 2 4 2 6 2 2 2" xfId="3052"/>
    <cellStyle name="Normal 2 4 2 6 2 2 3" xfId="3053"/>
    <cellStyle name="Normal 2 4 2 6 2 3" xfId="3054"/>
    <cellStyle name="Normal 2 4 2 6 2 4" xfId="3055"/>
    <cellStyle name="Normal 2 4 2 6 3" xfId="3056"/>
    <cellStyle name="Normal 2 4 2 6 3 2" xfId="3057"/>
    <cellStyle name="Normal 2 4 2 6 3 3" xfId="3058"/>
    <cellStyle name="Normal 2 4 2 6 4" xfId="3059"/>
    <cellStyle name="Normal 2 4 2 6 5" xfId="3060"/>
    <cellStyle name="Normal 2 4 2 7" xfId="3061"/>
    <cellStyle name="Normal 2 4 3" xfId="3062"/>
    <cellStyle name="Normal 2 4 3 2" xfId="3063"/>
    <cellStyle name="Normal 2 4 4" xfId="3064"/>
    <cellStyle name="Normal 2 4 4 2" xfId="3065"/>
    <cellStyle name="Normal 2 4 5" xfId="3066"/>
    <cellStyle name="Normal 2 4 5 2" xfId="3067"/>
    <cellStyle name="Normal 2 4 5 4" xfId="11697"/>
    <cellStyle name="Normal 2 4 6" xfId="3068"/>
    <cellStyle name="Normal 2 4 6 2" xfId="3069"/>
    <cellStyle name="Normal 2 4 7" xfId="3070"/>
    <cellStyle name="Normal 2 4 7 2" xfId="3071"/>
    <cellStyle name="Normal 2 4 7 2 2" xfId="3072"/>
    <cellStyle name="Normal 2 4 7 2 3" xfId="3073"/>
    <cellStyle name="Normal 2 4 7 3" xfId="3074"/>
    <cellStyle name="Normal 2 4 7 4" xfId="3075"/>
    <cellStyle name="Normal 2 4 8" xfId="3076"/>
    <cellStyle name="Normal 2 4 9" xfId="3077"/>
    <cellStyle name="Normal 2 4 9 2" xfId="3078"/>
    <cellStyle name="Normal 2 4 9 3" xfId="3079"/>
    <cellStyle name="Normal 2 4 9 4" xfId="11698"/>
    <cellStyle name="Normal 2 40" xfId="11699"/>
    <cellStyle name="Normal 2 41" xfId="11700"/>
    <cellStyle name="Normal 2 42" xfId="11701"/>
    <cellStyle name="Normal 2 43" xfId="11702"/>
    <cellStyle name="Normal 2 44" xfId="11703"/>
    <cellStyle name="Normal 2 45" xfId="11704"/>
    <cellStyle name="Normal 2 46" xfId="11705"/>
    <cellStyle name="Normal 2 47" xfId="11706"/>
    <cellStyle name="Normal 2 48" xfId="11707"/>
    <cellStyle name="Normal 2 49" xfId="11708"/>
    <cellStyle name="Normal 2 5" xfId="85"/>
    <cellStyle name="Normal 2 5 10" xfId="11709"/>
    <cellStyle name="Normal 2 5 10 4" xfId="11710"/>
    <cellStyle name="Normal 2 5 11" xfId="11711"/>
    <cellStyle name="Normal 2 5 12" xfId="11712"/>
    <cellStyle name="Normal 2 5 12 2" xfId="11713"/>
    <cellStyle name="Normal 2 5 15" xfId="11714"/>
    <cellStyle name="Normal 2 5 16" xfId="11715"/>
    <cellStyle name="Normal 2 5 17 4" xfId="11716"/>
    <cellStyle name="Normal 2 5 2" xfId="86"/>
    <cellStyle name="Normal 2 5 2 2" xfId="3080"/>
    <cellStyle name="Normal 2 5 2 2 2" xfId="3081"/>
    <cellStyle name="Normal 2 5 2 2 2 2" xfId="3082"/>
    <cellStyle name="Normal 2 5 2 2 2 2 2" xfId="3083"/>
    <cellStyle name="Normal 2 5 2 2 2 2 3" xfId="3084"/>
    <cellStyle name="Normal 2 5 2 2 2 3" xfId="3085"/>
    <cellStyle name="Normal 2 5 2 2 2 4" xfId="3086"/>
    <cellStyle name="Normal 2 5 2 2 3" xfId="3087"/>
    <cellStyle name="Normal 2 5 2 2 3 2" xfId="3088"/>
    <cellStyle name="Normal 2 5 2 2 3 3" xfId="3089"/>
    <cellStyle name="Normal 2 5 2 2 4" xfId="3090"/>
    <cellStyle name="Normal 2 5 2 2 5" xfId="3091"/>
    <cellStyle name="Normal 2 5 2 3" xfId="3092"/>
    <cellStyle name="Normal 2 5 2 3 2" xfId="3093"/>
    <cellStyle name="Normal 2 5 2 3 2 2" xfId="3094"/>
    <cellStyle name="Normal 2 5 2 3 2 2 2" xfId="3095"/>
    <cellStyle name="Normal 2 5 2 3 2 2 3" xfId="3096"/>
    <cellStyle name="Normal 2 5 2 3 2 3" xfId="3097"/>
    <cellStyle name="Normal 2 5 2 3 2 4" xfId="3098"/>
    <cellStyle name="Normal 2 5 2 3 3" xfId="3099"/>
    <cellStyle name="Normal 2 5 2 3 3 2" xfId="3100"/>
    <cellStyle name="Normal 2 5 2 3 3 3" xfId="3101"/>
    <cellStyle name="Normal 2 5 2 3 4" xfId="3102"/>
    <cellStyle name="Normal 2 5 2 3 5" xfId="3103"/>
    <cellStyle name="Normal 2 5 2 4" xfId="3104"/>
    <cellStyle name="Normal 2 5 2 4 2" xfId="3105"/>
    <cellStyle name="Normal 2 5 2 4 2 2" xfId="3106"/>
    <cellStyle name="Normal 2 5 2 4 2 2 2" xfId="3107"/>
    <cellStyle name="Normal 2 5 2 4 2 2 3" xfId="3108"/>
    <cellStyle name="Normal 2 5 2 4 2 3" xfId="3109"/>
    <cellStyle name="Normal 2 5 2 4 2 4" xfId="3110"/>
    <cellStyle name="Normal 2 5 2 4 3" xfId="3111"/>
    <cellStyle name="Normal 2 5 2 4 3 2" xfId="3112"/>
    <cellStyle name="Normal 2 5 2 4 3 3" xfId="3113"/>
    <cellStyle name="Normal 2 5 2 4 4" xfId="3114"/>
    <cellStyle name="Normal 2 5 2 4 5" xfId="3115"/>
    <cellStyle name="Normal 2 5 2 5" xfId="3116"/>
    <cellStyle name="Normal 2 5 2 5 2" xfId="3117"/>
    <cellStyle name="Normal 2 5 2 5 2 2" xfId="3118"/>
    <cellStyle name="Normal 2 5 2 5 2 2 2" xfId="3119"/>
    <cellStyle name="Normal 2 5 2 5 2 2 3" xfId="3120"/>
    <cellStyle name="Normal 2 5 2 5 2 3" xfId="3121"/>
    <cellStyle name="Normal 2 5 2 5 2 4" xfId="3122"/>
    <cellStyle name="Normal 2 5 2 5 3" xfId="3123"/>
    <cellStyle name="Normal 2 5 2 5 3 2" xfId="3124"/>
    <cellStyle name="Normal 2 5 2 5 3 3" xfId="3125"/>
    <cellStyle name="Normal 2 5 2 5 4" xfId="3126"/>
    <cellStyle name="Normal 2 5 2 5 5" xfId="3127"/>
    <cellStyle name="Normal 2 5 2 6" xfId="3128"/>
    <cellStyle name="Normal 2 5 2 6 2" xfId="3129"/>
    <cellStyle name="Normal 2 5 2 6 2 2" xfId="3130"/>
    <cellStyle name="Normal 2 5 2 6 2 2 2" xfId="3131"/>
    <cellStyle name="Normal 2 5 2 6 2 2 3" xfId="3132"/>
    <cellStyle name="Normal 2 5 2 6 2 3" xfId="3133"/>
    <cellStyle name="Normal 2 5 2 6 2 4" xfId="3134"/>
    <cellStyle name="Normal 2 5 2 6 3" xfId="3135"/>
    <cellStyle name="Normal 2 5 2 6 3 2" xfId="3136"/>
    <cellStyle name="Normal 2 5 2 6 3 3" xfId="3137"/>
    <cellStyle name="Normal 2 5 2 6 4" xfId="3138"/>
    <cellStyle name="Normal 2 5 2 6 5" xfId="3139"/>
    <cellStyle name="Normal 2 5 2 7" xfId="3140"/>
    <cellStyle name="Normal 2 5 3" xfId="3141"/>
    <cellStyle name="Normal 2 5 3 2" xfId="3142"/>
    <cellStyle name="Normal 2 5 4" xfId="3143"/>
    <cellStyle name="Normal 2 5 4 2" xfId="3144"/>
    <cellStyle name="Normal 2 5 5" xfId="3145"/>
    <cellStyle name="Normal 2 5 5 2" xfId="3146"/>
    <cellStyle name="Normal 2 5 5 6" xfId="11717"/>
    <cellStyle name="Normal 2 5 6" xfId="3147"/>
    <cellStyle name="Normal 2 5 6 2" xfId="3148"/>
    <cellStyle name="Normal 2 5 7" xfId="3149"/>
    <cellStyle name="Normal 2 5 7 2" xfId="3150"/>
    <cellStyle name="Normal 2 5 7 2 2" xfId="3151"/>
    <cellStyle name="Normal 2 5 7 2 3" xfId="3152"/>
    <cellStyle name="Normal 2 5 7 3" xfId="3153"/>
    <cellStyle name="Normal 2 5 7 4" xfId="3154"/>
    <cellStyle name="Normal 2 5 8" xfId="3155"/>
    <cellStyle name="Normal 2 5 8 4" xfId="11718"/>
    <cellStyle name="Normal 2 5 9" xfId="3156"/>
    <cellStyle name="Normal 2 5 9 2" xfId="3157"/>
    <cellStyle name="Normal 2 5 9 3" xfId="3158"/>
    <cellStyle name="Normal 2 50" xfId="11719"/>
    <cellStyle name="Normal 2 52" xfId="11720"/>
    <cellStyle name="Normal 2 6" xfId="87"/>
    <cellStyle name="Normal 2 6 10" xfId="3159"/>
    <cellStyle name="Normal 2 6 11" xfId="11721"/>
    <cellStyle name="Normal 2 6 11 4" xfId="11722"/>
    <cellStyle name="Normal 2 6 12" xfId="11723"/>
    <cellStyle name="Normal 2 6 12 2" xfId="11724"/>
    <cellStyle name="Normal 2 6 13" xfId="11725"/>
    <cellStyle name="Normal 2 6 13 4" xfId="11726"/>
    <cellStyle name="Normal 2 6 14" xfId="11727"/>
    <cellStyle name="Normal 2 6 15" xfId="11728"/>
    <cellStyle name="Normal 2 6 16" xfId="11729"/>
    <cellStyle name="Normal 2 6 17 2" xfId="11730"/>
    <cellStyle name="Normal 2 6 2" xfId="201"/>
    <cellStyle name="Normal 2 6 2 2" xfId="3160"/>
    <cellStyle name="Normal 2 6 2 2 2" xfId="3161"/>
    <cellStyle name="Normal 2 6 2 2 2 2" xfId="3162"/>
    <cellStyle name="Normal 2 6 2 2 2 3" xfId="3163"/>
    <cellStyle name="Normal 2 6 2 2 3" xfId="3164"/>
    <cellStyle name="Normal 2 6 2 2 4" xfId="3165"/>
    <cellStyle name="Normal 2 6 2 3" xfId="3166"/>
    <cellStyle name="Normal 2 6 2 3 2" xfId="3167"/>
    <cellStyle name="Normal 2 6 2 3 3" xfId="3168"/>
    <cellStyle name="Normal 2 6 2 4" xfId="3169"/>
    <cellStyle name="Normal 2 6 2 5" xfId="3170"/>
    <cellStyle name="Normal 2 6 27" xfId="11731"/>
    <cellStyle name="Normal 2 6 3" xfId="3171"/>
    <cellStyle name="Normal 2 6 3 2" xfId="3172"/>
    <cellStyle name="Normal 2 6 3 2 2" xfId="3173"/>
    <cellStyle name="Normal 2 6 3 2 2 2" xfId="3174"/>
    <cellStyle name="Normal 2 6 3 2 2 3" xfId="3175"/>
    <cellStyle name="Normal 2 6 3 2 3" xfId="3176"/>
    <cellStyle name="Normal 2 6 3 2 4" xfId="3177"/>
    <cellStyle name="Normal 2 6 3 3" xfId="3178"/>
    <cellStyle name="Normal 2 6 3 3 2" xfId="3179"/>
    <cellStyle name="Normal 2 6 3 3 3" xfId="3180"/>
    <cellStyle name="Normal 2 6 3 4" xfId="3181"/>
    <cellStyle name="Normal 2 6 3 5" xfId="3182"/>
    <cellStyle name="Normal 2 6 4" xfId="3183"/>
    <cellStyle name="Normal 2 6 4 2" xfId="3184"/>
    <cellStyle name="Normal 2 6 4 2 2" xfId="3185"/>
    <cellStyle name="Normal 2 6 4 2 2 2" xfId="3186"/>
    <cellStyle name="Normal 2 6 4 2 2 3" xfId="3187"/>
    <cellStyle name="Normal 2 6 4 2 3" xfId="3188"/>
    <cellStyle name="Normal 2 6 4 2 4" xfId="3189"/>
    <cellStyle name="Normal 2 6 4 3" xfId="3190"/>
    <cellStyle name="Normal 2 6 4 3 2" xfId="3191"/>
    <cellStyle name="Normal 2 6 4 3 3" xfId="3192"/>
    <cellStyle name="Normal 2 6 4 4" xfId="3193"/>
    <cellStyle name="Normal 2 6 4 5" xfId="3194"/>
    <cellStyle name="Normal 2 6 5" xfId="3195"/>
    <cellStyle name="Normal 2 6 5 2" xfId="3196"/>
    <cellStyle name="Normal 2 6 5 2 2" xfId="3197"/>
    <cellStyle name="Normal 2 6 5 2 2 2" xfId="3198"/>
    <cellStyle name="Normal 2 6 5 2 2 3" xfId="3199"/>
    <cellStyle name="Normal 2 6 5 2 3" xfId="3200"/>
    <cellStyle name="Normal 2 6 5 2 4" xfId="3201"/>
    <cellStyle name="Normal 2 6 5 3" xfId="3202"/>
    <cellStyle name="Normal 2 6 5 3 2" xfId="3203"/>
    <cellStyle name="Normal 2 6 5 3 3" xfId="3204"/>
    <cellStyle name="Normal 2 6 5 4" xfId="3205"/>
    <cellStyle name="Normal 2 6 5 5" xfId="3206"/>
    <cellStyle name="Normal 2 6 6" xfId="3207"/>
    <cellStyle name="Normal 2 6 6 2" xfId="3208"/>
    <cellStyle name="Normal 2 6 6 2 2" xfId="3209"/>
    <cellStyle name="Normal 2 6 6 2 2 2" xfId="3210"/>
    <cellStyle name="Normal 2 6 6 2 2 3" xfId="3211"/>
    <cellStyle name="Normal 2 6 6 2 3" xfId="3212"/>
    <cellStyle name="Normal 2 6 6 2 4" xfId="3213"/>
    <cellStyle name="Normal 2 6 6 3" xfId="3214"/>
    <cellStyle name="Normal 2 6 6 3 2" xfId="3215"/>
    <cellStyle name="Normal 2 6 6 3 3" xfId="3216"/>
    <cellStyle name="Normal 2 6 6 4" xfId="3217"/>
    <cellStyle name="Normal 2 6 6 5" xfId="3218"/>
    <cellStyle name="Normal 2 6 7" xfId="3219"/>
    <cellStyle name="Normal 2 6 7 2" xfId="3220"/>
    <cellStyle name="Normal 2 6 8" xfId="3221"/>
    <cellStyle name="Normal 2 6 8 2" xfId="3222"/>
    <cellStyle name="Normal 2 6 9" xfId="3223"/>
    <cellStyle name="Normal 2 6 9 2" xfId="3224"/>
    <cellStyle name="Normal 2 7" xfId="202"/>
    <cellStyle name="Normal 2 7 10" xfId="3225"/>
    <cellStyle name="Normal 2 7 10 2" xfId="3226"/>
    <cellStyle name="Normal 2 7 11" xfId="11732"/>
    <cellStyle name="Normal 2 7 12" xfId="11733"/>
    <cellStyle name="Normal 2 7 12 2" xfId="11734"/>
    <cellStyle name="Normal 2 7 12 5" xfId="11735"/>
    <cellStyle name="Normal 2 7 13" xfId="11736"/>
    <cellStyle name="Normal 2 7 14" xfId="11737"/>
    <cellStyle name="Normal 2 7 14 4" xfId="11738"/>
    <cellStyle name="Normal 2 7 15" xfId="11739"/>
    <cellStyle name="Normal 2 7 16 4" xfId="11740"/>
    <cellStyle name="Normal 2 7 18 2" xfId="11741"/>
    <cellStyle name="Normal 2 7 2" xfId="3227"/>
    <cellStyle name="Normal 2 7 2 2" xfId="3228"/>
    <cellStyle name="Normal 2 7 3" xfId="3229"/>
    <cellStyle name="Normal 2 7 4" xfId="3230"/>
    <cellStyle name="Normal 2 7 4 2" xfId="3231"/>
    <cellStyle name="Normal 2 7 7 4" xfId="11742"/>
    <cellStyle name="Normal 2 7 9" xfId="11743"/>
    <cellStyle name="Normal 2 7 9 4" xfId="11744"/>
    <cellStyle name="Normal 2 8" xfId="3232"/>
    <cellStyle name="Normal 2 8 10" xfId="11745"/>
    <cellStyle name="Normal 2 8 11" xfId="11746"/>
    <cellStyle name="Normal 2 8 12" xfId="11747"/>
    <cellStyle name="Normal 2 8 12 2" xfId="11748"/>
    <cellStyle name="Normal 2 8 13" xfId="11749"/>
    <cellStyle name="Normal 2 8 14" xfId="11750"/>
    <cellStyle name="Normal 2 8 15" xfId="11751"/>
    <cellStyle name="Normal 2 8 16" xfId="11752"/>
    <cellStyle name="Normal 2 8 17 2" xfId="11753"/>
    <cellStyle name="Normal 2 8 2" xfId="3233"/>
    <cellStyle name="Normal 2 8 2 2" xfId="3234"/>
    <cellStyle name="Normal 2 8 2 4" xfId="11754"/>
    <cellStyle name="Normal 2 8 3" xfId="3235"/>
    <cellStyle name="Normal 2 8 4" xfId="3236"/>
    <cellStyle name="Normal 2 8 4 2" xfId="3237"/>
    <cellStyle name="Normal 2 8 4 4" xfId="11755"/>
    <cellStyle name="Normal 2 8 6 4" xfId="11756"/>
    <cellStyle name="Normal 2 8 8 4" xfId="11757"/>
    <cellStyle name="Normal 2 8 9" xfId="11758"/>
    <cellStyle name="Normal 2 9" xfId="3238"/>
    <cellStyle name="Normal 2 9 10" xfId="11759"/>
    <cellStyle name="Normal 2 9 11" xfId="11760"/>
    <cellStyle name="Normal 2 9 11 4" xfId="11761"/>
    <cellStyle name="Normal 2 9 12" xfId="11762"/>
    <cellStyle name="Normal 2 9 12 2" xfId="11763"/>
    <cellStyle name="Normal 2 9 13" xfId="11764"/>
    <cellStyle name="Normal 2 9 13 4" xfId="11765"/>
    <cellStyle name="Normal 2 9 14" xfId="11766"/>
    <cellStyle name="Normal 2 9 15 4" xfId="11767"/>
    <cellStyle name="Normal 2 9 2" xfId="3239"/>
    <cellStyle name="Normal 2 9 2 2" xfId="3240"/>
    <cellStyle name="Normal 2 9 27" xfId="11768"/>
    <cellStyle name="Normal 2 9 3" xfId="3241"/>
    <cellStyle name="Normal 2 9 3 18" xfId="11769"/>
    <cellStyle name="Normal 2 9 7 4" xfId="11770"/>
    <cellStyle name="Normal 2 9 8" xfId="11771"/>
    <cellStyle name="Normal 2 9 9" xfId="11772"/>
    <cellStyle name="Normal 2 9 9 4" xfId="11773"/>
    <cellStyle name="Normal 2_10.10.2011_FORMAÇÂO_CE" xfId="272"/>
    <cellStyle name="Normal 20" xfId="323"/>
    <cellStyle name="Normal 20 10" xfId="3242"/>
    <cellStyle name="Normal 20 2" xfId="3243"/>
    <cellStyle name="Normal 20 2 2" xfId="3244"/>
    <cellStyle name="Normal 20 2 2 2" xfId="3245"/>
    <cellStyle name="Normal 20 2 2 2 2" xfId="3246"/>
    <cellStyle name="Normal 20 2 2 2 3" xfId="3247"/>
    <cellStyle name="Normal 20 2 2 3" xfId="3248"/>
    <cellStyle name="Normal 20 2 2 4" xfId="3249"/>
    <cellStyle name="Normal 20 2 3" xfId="3250"/>
    <cellStyle name="Normal 20 2 3 2" xfId="3251"/>
    <cellStyle name="Normal 20 2 3 3" xfId="3252"/>
    <cellStyle name="Normal 20 2 4" xfId="3253"/>
    <cellStyle name="Normal 20 2 5" xfId="3254"/>
    <cellStyle name="Normal 20 3" xfId="3255"/>
    <cellStyle name="Normal 20 3 2" xfId="3256"/>
    <cellStyle name="Normal 20 3 2 2" xfId="3257"/>
    <cellStyle name="Normal 20 3 2 2 2" xfId="3258"/>
    <cellStyle name="Normal 20 3 2 2 3" xfId="3259"/>
    <cellStyle name="Normal 20 3 2 3" xfId="3260"/>
    <cellStyle name="Normal 20 3 2 4" xfId="3261"/>
    <cellStyle name="Normal 20 3 3" xfId="3262"/>
    <cellStyle name="Normal 20 3 3 2" xfId="3263"/>
    <cellStyle name="Normal 20 3 3 3" xfId="3264"/>
    <cellStyle name="Normal 20 3 4" xfId="3265"/>
    <cellStyle name="Normal 20 3 5" xfId="3266"/>
    <cellStyle name="Normal 20 4" xfId="3267"/>
    <cellStyle name="Normal 20 4 2" xfId="3268"/>
    <cellStyle name="Normal 20 4 2 2" xfId="3269"/>
    <cellStyle name="Normal 20 4 2 2 2" xfId="3270"/>
    <cellStyle name="Normal 20 4 2 2 3" xfId="3271"/>
    <cellStyle name="Normal 20 4 2 3" xfId="3272"/>
    <cellStyle name="Normal 20 4 2 4" xfId="3273"/>
    <cellStyle name="Normal 20 4 3" xfId="3274"/>
    <cellStyle name="Normal 20 4 3 2" xfId="3275"/>
    <cellStyle name="Normal 20 4 3 3" xfId="3276"/>
    <cellStyle name="Normal 20 4 4" xfId="3277"/>
    <cellStyle name="Normal 20 4 5" xfId="3278"/>
    <cellStyle name="Normal 20 5" xfId="3279"/>
    <cellStyle name="Normal 20 5 2" xfId="3280"/>
    <cellStyle name="Normal 20 5 2 2" xfId="3281"/>
    <cellStyle name="Normal 20 5 2 2 2" xfId="3282"/>
    <cellStyle name="Normal 20 5 2 2 3" xfId="3283"/>
    <cellStyle name="Normal 20 5 2 3" xfId="3284"/>
    <cellStyle name="Normal 20 5 2 4" xfId="3285"/>
    <cellStyle name="Normal 20 5 3" xfId="3286"/>
    <cellStyle name="Normal 20 5 3 2" xfId="3287"/>
    <cellStyle name="Normal 20 5 3 3" xfId="3288"/>
    <cellStyle name="Normal 20 5 4" xfId="3289"/>
    <cellStyle name="Normal 20 5 5" xfId="3290"/>
    <cellStyle name="Normal 20 6" xfId="3291"/>
    <cellStyle name="Normal 20 6 2" xfId="3292"/>
    <cellStyle name="Normal 20 6 2 2" xfId="3293"/>
    <cellStyle name="Normal 20 6 2 2 2" xfId="3294"/>
    <cellStyle name="Normal 20 6 2 2 3" xfId="3295"/>
    <cellStyle name="Normal 20 6 2 3" xfId="3296"/>
    <cellStyle name="Normal 20 6 2 4" xfId="3297"/>
    <cellStyle name="Normal 20 6 3" xfId="3298"/>
    <cellStyle name="Normal 20 6 3 2" xfId="3299"/>
    <cellStyle name="Normal 20 6 3 3" xfId="3300"/>
    <cellStyle name="Normal 20 6 4" xfId="3301"/>
    <cellStyle name="Normal 20 6 5" xfId="3302"/>
    <cellStyle name="Normal 20 7" xfId="3303"/>
    <cellStyle name="Normal 20 7 2" xfId="3304"/>
    <cellStyle name="Normal 20 7 2 2" xfId="3305"/>
    <cellStyle name="Normal 20 7 2 3" xfId="3306"/>
    <cellStyle name="Normal 20 7 3" xfId="3307"/>
    <cellStyle name="Normal 20 7 4" xfId="3308"/>
    <cellStyle name="Normal 20 8" xfId="3309"/>
    <cellStyle name="Normal 20 8 2" xfId="3310"/>
    <cellStyle name="Normal 20 9" xfId="3311"/>
    <cellStyle name="Normal 20 9 2" xfId="3312"/>
    <cellStyle name="Normal 20 9 3" xfId="3313"/>
    <cellStyle name="Normal 21" xfId="321"/>
    <cellStyle name="Normal 21 10" xfId="3314"/>
    <cellStyle name="Normal 21 2" xfId="134"/>
    <cellStyle name="Normal 21 2 2" xfId="3315"/>
    <cellStyle name="Normal 21 2 2 2" xfId="3316"/>
    <cellStyle name="Normal 21 2 2 2 2" xfId="3317"/>
    <cellStyle name="Normal 21 2 2 2 3" xfId="3318"/>
    <cellStyle name="Normal 21 2 2 3" xfId="3319"/>
    <cellStyle name="Normal 21 2 2 4" xfId="3320"/>
    <cellStyle name="Normal 21 2 3" xfId="3321"/>
    <cellStyle name="Normal 21 2 3 2" xfId="3322"/>
    <cellStyle name="Normal 21 2 3 3" xfId="3323"/>
    <cellStyle name="Normal 21 2 4" xfId="3324"/>
    <cellStyle name="Normal 21 2 5" xfId="3325"/>
    <cellStyle name="Normal 21 3" xfId="3326"/>
    <cellStyle name="Normal 21 3 2" xfId="3327"/>
    <cellStyle name="Normal 21 3 2 2" xfId="3328"/>
    <cellStyle name="Normal 21 3 2 2 2" xfId="3329"/>
    <cellStyle name="Normal 21 3 2 2 3" xfId="3330"/>
    <cellStyle name="Normal 21 3 2 3" xfId="3331"/>
    <cellStyle name="Normal 21 3 2 4" xfId="3332"/>
    <cellStyle name="Normal 21 3 3" xfId="3333"/>
    <cellStyle name="Normal 21 3 3 2" xfId="3334"/>
    <cellStyle name="Normal 21 3 3 3" xfId="3335"/>
    <cellStyle name="Normal 21 3 4" xfId="3336"/>
    <cellStyle name="Normal 21 3 5" xfId="3337"/>
    <cellStyle name="Normal 21 4" xfId="3338"/>
    <cellStyle name="Normal 21 4 2" xfId="3339"/>
    <cellStyle name="Normal 21 4 2 2" xfId="3340"/>
    <cellStyle name="Normal 21 4 2 2 2" xfId="3341"/>
    <cellStyle name="Normal 21 4 2 2 3" xfId="3342"/>
    <cellStyle name="Normal 21 4 2 3" xfId="3343"/>
    <cellStyle name="Normal 21 4 2 4" xfId="3344"/>
    <cellStyle name="Normal 21 4 3" xfId="3345"/>
    <cellStyle name="Normal 21 4 3 2" xfId="3346"/>
    <cellStyle name="Normal 21 4 3 3" xfId="3347"/>
    <cellStyle name="Normal 21 4 4" xfId="3348"/>
    <cellStyle name="Normal 21 4 5" xfId="3349"/>
    <cellStyle name="Normal 21 5" xfId="3350"/>
    <cellStyle name="Normal 21 5 2" xfId="3351"/>
    <cellStyle name="Normal 21 5 2 2" xfId="3352"/>
    <cellStyle name="Normal 21 5 2 2 2" xfId="3353"/>
    <cellStyle name="Normal 21 5 2 2 3" xfId="3354"/>
    <cellStyle name="Normal 21 5 2 3" xfId="3355"/>
    <cellStyle name="Normal 21 5 2 4" xfId="3356"/>
    <cellStyle name="Normal 21 5 3" xfId="3357"/>
    <cellStyle name="Normal 21 5 3 2" xfId="3358"/>
    <cellStyle name="Normal 21 5 3 3" xfId="3359"/>
    <cellStyle name="Normal 21 5 4" xfId="3360"/>
    <cellStyle name="Normal 21 5 5" xfId="3361"/>
    <cellStyle name="Normal 21 6" xfId="3362"/>
    <cellStyle name="Normal 21 6 2" xfId="3363"/>
    <cellStyle name="Normal 21 6 2 2" xfId="3364"/>
    <cellStyle name="Normal 21 6 2 2 2" xfId="3365"/>
    <cellStyle name="Normal 21 6 2 2 3" xfId="3366"/>
    <cellStyle name="Normal 21 6 2 3" xfId="3367"/>
    <cellStyle name="Normal 21 6 2 4" xfId="3368"/>
    <cellStyle name="Normal 21 6 3" xfId="3369"/>
    <cellStyle name="Normal 21 6 3 2" xfId="3370"/>
    <cellStyle name="Normal 21 6 3 3" xfId="3371"/>
    <cellStyle name="Normal 21 6 4" xfId="3372"/>
    <cellStyle name="Normal 21 6 5" xfId="3373"/>
    <cellStyle name="Normal 21 7" xfId="3374"/>
    <cellStyle name="Normal 21 7 2" xfId="3375"/>
    <cellStyle name="Normal 21 7 2 2" xfId="3376"/>
    <cellStyle name="Normal 21 7 2 3" xfId="3377"/>
    <cellStyle name="Normal 21 7 3" xfId="3378"/>
    <cellStyle name="Normal 21 7 4" xfId="3379"/>
    <cellStyle name="Normal 21 8" xfId="3380"/>
    <cellStyle name="Normal 21 8 2" xfId="3381"/>
    <cellStyle name="Normal 21 8 3" xfId="11774"/>
    <cellStyle name="Normal 21 9" xfId="3382"/>
    <cellStyle name="Normal 21 9 2" xfId="3383"/>
    <cellStyle name="Normal 21 9 3" xfId="3384"/>
    <cellStyle name="Normal 22" xfId="144"/>
    <cellStyle name="Normal 22 10" xfId="3385"/>
    <cellStyle name="Normal 22 2" xfId="3386"/>
    <cellStyle name="Normal 22 2 2" xfId="3387"/>
    <cellStyle name="Normal 22 2 2 2" xfId="3388"/>
    <cellStyle name="Normal 22 2 2 2 2" xfId="3389"/>
    <cellStyle name="Normal 22 2 2 2 3" xfId="3390"/>
    <cellStyle name="Normal 22 2 2 3" xfId="3391"/>
    <cellStyle name="Normal 22 2 2 4" xfId="3392"/>
    <cellStyle name="Normal 22 2 3" xfId="3393"/>
    <cellStyle name="Normal 22 2 3 2" xfId="3394"/>
    <cellStyle name="Normal 22 2 3 3" xfId="3395"/>
    <cellStyle name="Normal 22 2 4" xfId="3396"/>
    <cellStyle name="Normal 22 2 5" xfId="3397"/>
    <cellStyle name="Normal 22 3" xfId="3398"/>
    <cellStyle name="Normal 22 3 2" xfId="3399"/>
    <cellStyle name="Normal 22 3 2 2" xfId="3400"/>
    <cellStyle name="Normal 22 3 2 2 2" xfId="3401"/>
    <cellStyle name="Normal 22 3 2 2 3" xfId="3402"/>
    <cellStyle name="Normal 22 3 2 3" xfId="3403"/>
    <cellStyle name="Normal 22 3 2 4" xfId="3404"/>
    <cellStyle name="Normal 22 3 3" xfId="3405"/>
    <cellStyle name="Normal 22 3 3 2" xfId="3406"/>
    <cellStyle name="Normal 22 3 3 3" xfId="3407"/>
    <cellStyle name="Normal 22 3 4" xfId="3408"/>
    <cellStyle name="Normal 22 3 5" xfId="3409"/>
    <cellStyle name="Normal 22 4" xfId="3410"/>
    <cellStyle name="Normal 22 4 2" xfId="3411"/>
    <cellStyle name="Normal 22 4 2 2" xfId="3412"/>
    <cellStyle name="Normal 22 4 2 2 2" xfId="3413"/>
    <cellStyle name="Normal 22 4 2 2 3" xfId="3414"/>
    <cellStyle name="Normal 22 4 2 3" xfId="3415"/>
    <cellStyle name="Normal 22 4 2 4" xfId="3416"/>
    <cellStyle name="Normal 22 4 3" xfId="3417"/>
    <cellStyle name="Normal 22 4 3 2" xfId="3418"/>
    <cellStyle name="Normal 22 4 3 3" xfId="3419"/>
    <cellStyle name="Normal 22 4 4" xfId="3420"/>
    <cellStyle name="Normal 22 4 5" xfId="3421"/>
    <cellStyle name="Normal 22 5" xfId="3422"/>
    <cellStyle name="Normal 22 5 2" xfId="3423"/>
    <cellStyle name="Normal 22 5 2 2" xfId="3424"/>
    <cellStyle name="Normal 22 5 2 2 2" xfId="3425"/>
    <cellStyle name="Normal 22 5 2 2 3" xfId="3426"/>
    <cellStyle name="Normal 22 5 2 3" xfId="3427"/>
    <cellStyle name="Normal 22 5 2 4" xfId="3428"/>
    <cellStyle name="Normal 22 5 3" xfId="3429"/>
    <cellStyle name="Normal 22 5 3 2" xfId="3430"/>
    <cellStyle name="Normal 22 5 3 3" xfId="3431"/>
    <cellStyle name="Normal 22 5 4" xfId="3432"/>
    <cellStyle name="Normal 22 5 5" xfId="3433"/>
    <cellStyle name="Normal 22 6" xfId="3434"/>
    <cellStyle name="Normal 22 6 2" xfId="3435"/>
    <cellStyle name="Normal 22 6 2 2" xfId="3436"/>
    <cellStyle name="Normal 22 6 2 2 2" xfId="3437"/>
    <cellStyle name="Normal 22 6 2 2 3" xfId="3438"/>
    <cellStyle name="Normal 22 6 2 3" xfId="3439"/>
    <cellStyle name="Normal 22 6 2 4" xfId="3440"/>
    <cellStyle name="Normal 22 6 3" xfId="3441"/>
    <cellStyle name="Normal 22 6 3 2" xfId="3442"/>
    <cellStyle name="Normal 22 6 3 3" xfId="3443"/>
    <cellStyle name="Normal 22 6 4" xfId="3444"/>
    <cellStyle name="Normal 22 6 5" xfId="3445"/>
    <cellStyle name="Normal 22 7" xfId="3446"/>
    <cellStyle name="Normal 22 7 2" xfId="3447"/>
    <cellStyle name="Normal 22 7 2 2" xfId="3448"/>
    <cellStyle name="Normal 22 7 2 3" xfId="3449"/>
    <cellStyle name="Normal 22 7 3" xfId="3450"/>
    <cellStyle name="Normal 22 7 4" xfId="3451"/>
    <cellStyle name="Normal 22 8" xfId="3452"/>
    <cellStyle name="Normal 22 8 2" xfId="3453"/>
    <cellStyle name="Normal 22 9" xfId="3454"/>
    <cellStyle name="Normal 22 9 2" xfId="3455"/>
    <cellStyle name="Normal 22 9 3" xfId="3456"/>
    <cellStyle name="Normal 23" xfId="3457"/>
    <cellStyle name="Normal 23 10" xfId="3458"/>
    <cellStyle name="Normal 23 2" xfId="130"/>
    <cellStyle name="Normal 23 2 2" xfId="3459"/>
    <cellStyle name="Normal 23 2 2 2" xfId="3460"/>
    <cellStyle name="Normal 23 2 2 2 2" xfId="3461"/>
    <cellStyle name="Normal 23 2 2 2 3" xfId="3462"/>
    <cellStyle name="Normal 23 2 2 3" xfId="3463"/>
    <cellStyle name="Normal 23 2 2 4" xfId="3464"/>
    <cellStyle name="Normal 23 2 3" xfId="3465"/>
    <cellStyle name="Normal 23 2 3 2" xfId="3466"/>
    <cellStyle name="Normal 23 2 3 3" xfId="3467"/>
    <cellStyle name="Normal 23 2 4" xfId="3468"/>
    <cellStyle name="Normal 23 2 5" xfId="3469"/>
    <cellStyle name="Normal 23 3" xfId="3470"/>
    <cellStyle name="Normal 23 3 2" xfId="3471"/>
    <cellStyle name="Normal 23 3 2 2" xfId="3472"/>
    <cellStyle name="Normal 23 3 2 2 2" xfId="3473"/>
    <cellStyle name="Normal 23 3 2 2 3" xfId="3474"/>
    <cellStyle name="Normal 23 3 2 3" xfId="3475"/>
    <cellStyle name="Normal 23 3 2 4" xfId="3476"/>
    <cellStyle name="Normal 23 3 3" xfId="3477"/>
    <cellStyle name="Normal 23 3 3 2" xfId="3478"/>
    <cellStyle name="Normal 23 3 3 3" xfId="3479"/>
    <cellStyle name="Normal 23 3 4" xfId="3480"/>
    <cellStyle name="Normal 23 3 5" xfId="3481"/>
    <cellStyle name="Normal 23 4" xfId="3482"/>
    <cellStyle name="Normal 23 4 2" xfId="3483"/>
    <cellStyle name="Normal 23 4 2 2" xfId="3484"/>
    <cellStyle name="Normal 23 4 2 2 2" xfId="3485"/>
    <cellStyle name="Normal 23 4 2 2 3" xfId="3486"/>
    <cellStyle name="Normal 23 4 2 3" xfId="3487"/>
    <cellStyle name="Normal 23 4 2 4" xfId="3488"/>
    <cellStyle name="Normal 23 4 3" xfId="3489"/>
    <cellStyle name="Normal 23 4 3 2" xfId="3490"/>
    <cellStyle name="Normal 23 4 3 3" xfId="3491"/>
    <cellStyle name="Normal 23 4 4" xfId="3492"/>
    <cellStyle name="Normal 23 4 5" xfId="3493"/>
    <cellStyle name="Normal 23 5" xfId="3494"/>
    <cellStyle name="Normal 23 5 2" xfId="3495"/>
    <cellStyle name="Normal 23 5 2 2" xfId="3496"/>
    <cellStyle name="Normal 23 5 2 2 2" xfId="3497"/>
    <cellStyle name="Normal 23 5 2 2 3" xfId="3498"/>
    <cellStyle name="Normal 23 5 2 3" xfId="3499"/>
    <cellStyle name="Normal 23 5 2 4" xfId="3500"/>
    <cellStyle name="Normal 23 5 3" xfId="3501"/>
    <cellStyle name="Normal 23 5 3 2" xfId="3502"/>
    <cellStyle name="Normal 23 5 3 3" xfId="3503"/>
    <cellStyle name="Normal 23 5 4" xfId="3504"/>
    <cellStyle name="Normal 23 5 5" xfId="3505"/>
    <cellStyle name="Normal 23 6" xfId="3506"/>
    <cellStyle name="Normal 23 6 2" xfId="3507"/>
    <cellStyle name="Normal 23 6 2 2" xfId="3508"/>
    <cellStyle name="Normal 23 6 2 2 2" xfId="3509"/>
    <cellStyle name="Normal 23 6 2 2 3" xfId="3510"/>
    <cellStyle name="Normal 23 6 2 3" xfId="3511"/>
    <cellStyle name="Normal 23 6 2 4" xfId="3512"/>
    <cellStyle name="Normal 23 6 3" xfId="3513"/>
    <cellStyle name="Normal 23 6 3 2" xfId="3514"/>
    <cellStyle name="Normal 23 6 3 3" xfId="3515"/>
    <cellStyle name="Normal 23 6 4" xfId="3516"/>
    <cellStyle name="Normal 23 6 5" xfId="3517"/>
    <cellStyle name="Normal 23 7" xfId="3518"/>
    <cellStyle name="Normal 23 7 2" xfId="3519"/>
    <cellStyle name="Normal 23 7 2 2" xfId="3520"/>
    <cellStyle name="Normal 23 7 2 3" xfId="3521"/>
    <cellStyle name="Normal 23 7 3" xfId="3522"/>
    <cellStyle name="Normal 23 7 4" xfId="3523"/>
    <cellStyle name="Normal 23 8" xfId="3524"/>
    <cellStyle name="Normal 23 8 2" xfId="3525"/>
    <cellStyle name="Normal 23 9" xfId="3526"/>
    <cellStyle name="Normal 23 9 2" xfId="3527"/>
    <cellStyle name="Normal 23 9 3" xfId="3528"/>
    <cellStyle name="Normal 24" xfId="3529"/>
    <cellStyle name="Normal 24 10" xfId="3530"/>
    <cellStyle name="Normal 24 2" xfId="3531"/>
    <cellStyle name="Normal 24 2 2" xfId="3532"/>
    <cellStyle name="Normal 24 2 2 2" xfId="3533"/>
    <cellStyle name="Normal 24 2 2 2 2" xfId="3534"/>
    <cellStyle name="Normal 24 2 2 2 3" xfId="3535"/>
    <cellStyle name="Normal 24 2 2 3" xfId="3536"/>
    <cellStyle name="Normal 24 2 2 4" xfId="3537"/>
    <cellStyle name="Normal 24 2 3" xfId="3538"/>
    <cellStyle name="Normal 24 2 3 2" xfId="3539"/>
    <cellStyle name="Normal 24 2 3 3" xfId="3540"/>
    <cellStyle name="Normal 24 2 4" xfId="3541"/>
    <cellStyle name="Normal 24 2 5" xfId="3542"/>
    <cellStyle name="Normal 24 3" xfId="3543"/>
    <cellStyle name="Normal 24 3 2" xfId="3544"/>
    <cellStyle name="Normal 24 3 2 2" xfId="3545"/>
    <cellStyle name="Normal 24 3 2 2 2" xfId="3546"/>
    <cellStyle name="Normal 24 3 2 2 3" xfId="3547"/>
    <cellStyle name="Normal 24 3 2 3" xfId="3548"/>
    <cellStyle name="Normal 24 3 2 4" xfId="3549"/>
    <cellStyle name="Normal 24 3 3" xfId="3550"/>
    <cellStyle name="Normal 24 3 3 2" xfId="3551"/>
    <cellStyle name="Normal 24 3 3 3" xfId="3552"/>
    <cellStyle name="Normal 24 3 4" xfId="3553"/>
    <cellStyle name="Normal 24 3 5" xfId="3554"/>
    <cellStyle name="Normal 24 4" xfId="3555"/>
    <cellStyle name="Normal 24 4 2" xfId="3556"/>
    <cellStyle name="Normal 24 4 2 2" xfId="3557"/>
    <cellStyle name="Normal 24 4 2 2 2" xfId="3558"/>
    <cellStyle name="Normal 24 4 2 2 3" xfId="3559"/>
    <cellStyle name="Normal 24 4 2 3" xfId="3560"/>
    <cellStyle name="Normal 24 4 2 4" xfId="3561"/>
    <cellStyle name="Normal 24 4 3" xfId="3562"/>
    <cellStyle name="Normal 24 4 3 2" xfId="3563"/>
    <cellStyle name="Normal 24 4 3 3" xfId="3564"/>
    <cellStyle name="Normal 24 4 4" xfId="3565"/>
    <cellStyle name="Normal 24 4 5" xfId="3566"/>
    <cellStyle name="Normal 24 5" xfId="3567"/>
    <cellStyle name="Normal 24 5 2" xfId="3568"/>
    <cellStyle name="Normal 24 5 2 2" xfId="3569"/>
    <cellStyle name="Normal 24 5 2 2 2" xfId="3570"/>
    <cellStyle name="Normal 24 5 2 2 3" xfId="3571"/>
    <cellStyle name="Normal 24 5 2 3" xfId="3572"/>
    <cellStyle name="Normal 24 5 2 4" xfId="3573"/>
    <cellStyle name="Normal 24 5 3" xfId="3574"/>
    <cellStyle name="Normal 24 5 3 2" xfId="3575"/>
    <cellStyle name="Normal 24 5 3 3" xfId="3576"/>
    <cellStyle name="Normal 24 5 4" xfId="3577"/>
    <cellStyle name="Normal 24 5 5" xfId="3578"/>
    <cellStyle name="Normal 24 6" xfId="3579"/>
    <cellStyle name="Normal 24 6 2" xfId="3580"/>
    <cellStyle name="Normal 24 6 2 2" xfId="3581"/>
    <cellStyle name="Normal 24 6 2 2 2" xfId="3582"/>
    <cellStyle name="Normal 24 6 2 2 3" xfId="3583"/>
    <cellStyle name="Normal 24 6 2 3" xfId="3584"/>
    <cellStyle name="Normal 24 6 2 4" xfId="3585"/>
    <cellStyle name="Normal 24 6 3" xfId="3586"/>
    <cellStyle name="Normal 24 6 3 2" xfId="3587"/>
    <cellStyle name="Normal 24 6 3 3" xfId="3588"/>
    <cellStyle name="Normal 24 6 4" xfId="3589"/>
    <cellStyle name="Normal 24 6 5" xfId="3590"/>
    <cellStyle name="Normal 24 7" xfId="3591"/>
    <cellStyle name="Normal 24 7 2" xfId="3592"/>
    <cellStyle name="Normal 24 7 2 2" xfId="3593"/>
    <cellStyle name="Normal 24 7 2 3" xfId="3594"/>
    <cellStyle name="Normal 24 7 3" xfId="3595"/>
    <cellStyle name="Normal 24 7 4" xfId="3596"/>
    <cellStyle name="Normal 24 8" xfId="3597"/>
    <cellStyle name="Normal 24 8 2" xfId="3598"/>
    <cellStyle name="Normal 24 9" xfId="3599"/>
    <cellStyle name="Normal 24 9 2" xfId="3600"/>
    <cellStyle name="Normal 24 9 3" xfId="3601"/>
    <cellStyle name="Normal 25" xfId="3602"/>
    <cellStyle name="Normal 25 10" xfId="3603"/>
    <cellStyle name="Normal 25 11" xfId="11775"/>
    <cellStyle name="Normal 25 2" xfId="3604"/>
    <cellStyle name="Normal 25 2 2" xfId="3605"/>
    <cellStyle name="Normal 25 2 2 2" xfId="3606"/>
    <cellStyle name="Normal 25 2 2 2 2" xfId="3607"/>
    <cellStyle name="Normal 25 2 2 2 3" xfId="3608"/>
    <cellStyle name="Normal 25 2 2 3" xfId="3609"/>
    <cellStyle name="Normal 25 2 2 4" xfId="3610"/>
    <cellStyle name="Normal 25 2 3" xfId="3611"/>
    <cellStyle name="Normal 25 2 3 2" xfId="3612"/>
    <cellStyle name="Normal 25 2 3 3" xfId="3613"/>
    <cellStyle name="Normal 25 2 4" xfId="3614"/>
    <cellStyle name="Normal 25 2 5" xfId="3615"/>
    <cellStyle name="Normal 25 3" xfId="3616"/>
    <cellStyle name="Normal 25 3 2" xfId="3617"/>
    <cellStyle name="Normal 25 3 2 2" xfId="3618"/>
    <cellStyle name="Normal 25 3 2 2 2" xfId="3619"/>
    <cellStyle name="Normal 25 3 2 2 3" xfId="3620"/>
    <cellStyle name="Normal 25 3 2 3" xfId="3621"/>
    <cellStyle name="Normal 25 3 2 4" xfId="3622"/>
    <cellStyle name="Normal 25 3 3" xfId="3623"/>
    <cellStyle name="Normal 25 3 3 2" xfId="3624"/>
    <cellStyle name="Normal 25 3 3 3" xfId="3625"/>
    <cellStyle name="Normal 25 3 4" xfId="3626"/>
    <cellStyle name="Normal 25 3 5" xfId="3627"/>
    <cellStyle name="Normal 25 4" xfId="3628"/>
    <cellStyle name="Normal 25 4 2" xfId="3629"/>
    <cellStyle name="Normal 25 4 2 2" xfId="3630"/>
    <cellStyle name="Normal 25 4 2 2 2" xfId="3631"/>
    <cellStyle name="Normal 25 4 2 2 3" xfId="3632"/>
    <cellStyle name="Normal 25 4 2 3" xfId="3633"/>
    <cellStyle name="Normal 25 4 2 4" xfId="3634"/>
    <cellStyle name="Normal 25 4 3" xfId="3635"/>
    <cellStyle name="Normal 25 4 3 2" xfId="3636"/>
    <cellStyle name="Normal 25 4 3 3" xfId="3637"/>
    <cellStyle name="Normal 25 4 4" xfId="3638"/>
    <cellStyle name="Normal 25 4 5" xfId="3639"/>
    <cellStyle name="Normal 25 5" xfId="3640"/>
    <cellStyle name="Normal 25 5 2" xfId="3641"/>
    <cellStyle name="Normal 25 5 2 2" xfId="3642"/>
    <cellStyle name="Normal 25 5 2 2 2" xfId="3643"/>
    <cellStyle name="Normal 25 5 2 2 3" xfId="3644"/>
    <cellStyle name="Normal 25 5 2 3" xfId="3645"/>
    <cellStyle name="Normal 25 5 2 4" xfId="3646"/>
    <cellStyle name="Normal 25 5 3" xfId="3647"/>
    <cellStyle name="Normal 25 5 3 2" xfId="3648"/>
    <cellStyle name="Normal 25 5 3 3" xfId="3649"/>
    <cellStyle name="Normal 25 5 4" xfId="3650"/>
    <cellStyle name="Normal 25 5 5" xfId="3651"/>
    <cellStyle name="Normal 25 6" xfId="3652"/>
    <cellStyle name="Normal 25 6 2" xfId="3653"/>
    <cellStyle name="Normal 25 6 2 2" xfId="3654"/>
    <cellStyle name="Normal 25 6 2 2 2" xfId="3655"/>
    <cellStyle name="Normal 25 6 2 2 3" xfId="3656"/>
    <cellStyle name="Normal 25 6 2 3" xfId="3657"/>
    <cellStyle name="Normal 25 6 2 4" xfId="3658"/>
    <cellStyle name="Normal 25 6 3" xfId="3659"/>
    <cellStyle name="Normal 25 6 3 2" xfId="3660"/>
    <cellStyle name="Normal 25 6 3 3" xfId="3661"/>
    <cellStyle name="Normal 25 6 4" xfId="3662"/>
    <cellStyle name="Normal 25 6 5" xfId="3663"/>
    <cellStyle name="Normal 25 7" xfId="3664"/>
    <cellStyle name="Normal 25 7 2" xfId="3665"/>
    <cellStyle name="Normal 25 7 2 2" xfId="3666"/>
    <cellStyle name="Normal 25 7 2 3" xfId="3667"/>
    <cellStyle name="Normal 25 7 3" xfId="3668"/>
    <cellStyle name="Normal 25 7 4" xfId="3669"/>
    <cellStyle name="Normal 25 8" xfId="3670"/>
    <cellStyle name="Normal 25 8 2" xfId="3671"/>
    <cellStyle name="Normal 25 9" xfId="3672"/>
    <cellStyle name="Normal 25 9 2" xfId="3673"/>
    <cellStyle name="Normal 25 9 3" xfId="3674"/>
    <cellStyle name="Normal 26" xfId="3675"/>
    <cellStyle name="Normal 26 2" xfId="135"/>
    <cellStyle name="Normal 26 2 2" xfId="3676"/>
    <cellStyle name="Normal 26 3" xfId="3677"/>
    <cellStyle name="Normal 26 3 2" xfId="3678"/>
    <cellStyle name="Normal 26 4" xfId="3679"/>
    <cellStyle name="Normal 26 4 2" xfId="3680"/>
    <cellStyle name="Normal 26 4 3" xfId="3681"/>
    <cellStyle name="Normal 26 5" xfId="3682"/>
    <cellStyle name="Normal 27" xfId="3683"/>
    <cellStyle name="Normal 27 10" xfId="3684"/>
    <cellStyle name="Normal 27 2" xfId="3685"/>
    <cellStyle name="Normal 27 2 2" xfId="3686"/>
    <cellStyle name="Normal 27 2 2 2" xfId="3687"/>
    <cellStyle name="Normal 27 2 2 2 2" xfId="3688"/>
    <cellStyle name="Normal 27 2 2 2 3" xfId="3689"/>
    <cellStyle name="Normal 27 2 2 3" xfId="3690"/>
    <cellStyle name="Normal 27 2 2 4" xfId="3691"/>
    <cellStyle name="Normal 27 2 3" xfId="3692"/>
    <cellStyle name="Normal 27 2 3 2" xfId="3693"/>
    <cellStyle name="Normal 27 2 3 3" xfId="3694"/>
    <cellStyle name="Normal 27 2 4" xfId="3695"/>
    <cellStyle name="Normal 27 2 5" xfId="3696"/>
    <cellStyle name="Normal 27 3" xfId="3697"/>
    <cellStyle name="Normal 27 3 2" xfId="3698"/>
    <cellStyle name="Normal 27 3 2 2" xfId="3699"/>
    <cellStyle name="Normal 27 3 2 2 2" xfId="3700"/>
    <cellStyle name="Normal 27 3 2 2 3" xfId="3701"/>
    <cellStyle name="Normal 27 3 2 3" xfId="3702"/>
    <cellStyle name="Normal 27 3 2 4" xfId="3703"/>
    <cellStyle name="Normal 27 3 3" xfId="3704"/>
    <cellStyle name="Normal 27 3 3 2" xfId="3705"/>
    <cellStyle name="Normal 27 3 3 3" xfId="3706"/>
    <cellStyle name="Normal 27 3 4" xfId="3707"/>
    <cellStyle name="Normal 27 3 5" xfId="3708"/>
    <cellStyle name="Normal 27 4" xfId="3709"/>
    <cellStyle name="Normal 27 4 2" xfId="3710"/>
    <cellStyle name="Normal 27 4 2 2" xfId="3711"/>
    <cellStyle name="Normal 27 4 2 2 2" xfId="3712"/>
    <cellStyle name="Normal 27 4 2 2 3" xfId="3713"/>
    <cellStyle name="Normal 27 4 2 3" xfId="3714"/>
    <cellStyle name="Normal 27 4 2 4" xfId="3715"/>
    <cellStyle name="Normal 27 4 3" xfId="3716"/>
    <cellStyle name="Normal 27 4 3 2" xfId="3717"/>
    <cellStyle name="Normal 27 4 3 3" xfId="3718"/>
    <cellStyle name="Normal 27 4 4" xfId="3719"/>
    <cellStyle name="Normal 27 4 5" xfId="3720"/>
    <cellStyle name="Normal 27 5" xfId="3721"/>
    <cellStyle name="Normal 27 5 2" xfId="3722"/>
    <cellStyle name="Normal 27 5 2 2" xfId="3723"/>
    <cellStyle name="Normal 27 5 2 2 2" xfId="3724"/>
    <cellStyle name="Normal 27 5 2 2 3" xfId="3725"/>
    <cellStyle name="Normal 27 5 2 3" xfId="3726"/>
    <cellStyle name="Normal 27 5 2 4" xfId="3727"/>
    <cellStyle name="Normal 27 5 3" xfId="3728"/>
    <cellStyle name="Normal 27 5 3 2" xfId="3729"/>
    <cellStyle name="Normal 27 5 3 3" xfId="3730"/>
    <cellStyle name="Normal 27 5 4" xfId="3731"/>
    <cellStyle name="Normal 27 5 5" xfId="3732"/>
    <cellStyle name="Normal 27 6" xfId="3733"/>
    <cellStyle name="Normal 27 6 2" xfId="3734"/>
    <cellStyle name="Normal 27 6 2 2" xfId="3735"/>
    <cellStyle name="Normal 27 6 2 2 2" xfId="3736"/>
    <cellStyle name="Normal 27 6 2 2 3" xfId="3737"/>
    <cellStyle name="Normal 27 6 2 3" xfId="3738"/>
    <cellStyle name="Normal 27 6 2 4" xfId="3739"/>
    <cellStyle name="Normal 27 6 3" xfId="3740"/>
    <cellStyle name="Normal 27 6 3 2" xfId="3741"/>
    <cellStyle name="Normal 27 6 3 3" xfId="3742"/>
    <cellStyle name="Normal 27 6 4" xfId="3743"/>
    <cellStyle name="Normal 27 6 5" xfId="3744"/>
    <cellStyle name="Normal 27 7" xfId="3745"/>
    <cellStyle name="Normal 27 7 2" xfId="3746"/>
    <cellStyle name="Normal 27 7 2 2" xfId="3747"/>
    <cellStyle name="Normal 27 7 2 3" xfId="3748"/>
    <cellStyle name="Normal 27 7 3" xfId="3749"/>
    <cellStyle name="Normal 27 7 4" xfId="3750"/>
    <cellStyle name="Normal 27 8" xfId="3751"/>
    <cellStyle name="Normal 27 8 2" xfId="3752"/>
    <cellStyle name="Normal 27 9" xfId="3753"/>
    <cellStyle name="Normal 27 9 2" xfId="3754"/>
    <cellStyle name="Normal 27 9 3" xfId="3755"/>
    <cellStyle name="Normal 28" xfId="3756"/>
    <cellStyle name="Normal 28 2" xfId="3757"/>
    <cellStyle name="Normal 28 2 2" xfId="3758"/>
    <cellStyle name="Normal 28 3" xfId="3759"/>
    <cellStyle name="Normal 28 3 2" xfId="3760"/>
    <cellStyle name="Normal 28 3 3" xfId="3761"/>
    <cellStyle name="Normal 28 4" xfId="3762"/>
    <cellStyle name="Normal 29" xfId="3763"/>
    <cellStyle name="Normal 29 10" xfId="3764"/>
    <cellStyle name="Normal 29 2" xfId="3765"/>
    <cellStyle name="Normal 29 2 2" xfId="3766"/>
    <cellStyle name="Normal 29 2 2 2" xfId="3767"/>
    <cellStyle name="Normal 29 2 2 2 2" xfId="3768"/>
    <cellStyle name="Normal 29 2 2 2 3" xfId="3769"/>
    <cellStyle name="Normal 29 2 2 3" xfId="3770"/>
    <cellStyle name="Normal 29 2 2 4" xfId="3771"/>
    <cellStyle name="Normal 29 2 3" xfId="3772"/>
    <cellStyle name="Normal 29 2 3 2" xfId="3773"/>
    <cellStyle name="Normal 29 2 3 3" xfId="3774"/>
    <cellStyle name="Normal 29 2 4" xfId="3775"/>
    <cellStyle name="Normal 29 2 5" xfId="3776"/>
    <cellStyle name="Normal 29 3" xfId="137"/>
    <cellStyle name="Normal 29 3 2" xfId="3777"/>
    <cellStyle name="Normal 29 3 2 2" xfId="3778"/>
    <cellStyle name="Normal 29 3 2 2 2" xfId="3779"/>
    <cellStyle name="Normal 29 3 2 2 3" xfId="3780"/>
    <cellStyle name="Normal 29 3 2 3" xfId="3781"/>
    <cellStyle name="Normal 29 3 2 4" xfId="3782"/>
    <cellStyle name="Normal 29 3 3" xfId="3783"/>
    <cellStyle name="Normal 29 3 3 2" xfId="3784"/>
    <cellStyle name="Normal 29 3 3 3" xfId="3785"/>
    <cellStyle name="Normal 29 3 4" xfId="3786"/>
    <cellStyle name="Normal 29 3 5" xfId="3787"/>
    <cellStyle name="Normal 29 4" xfId="3788"/>
    <cellStyle name="Normal 29 4 2" xfId="3789"/>
    <cellStyle name="Normal 29 4 2 2" xfId="3790"/>
    <cellStyle name="Normal 29 4 2 2 2" xfId="3791"/>
    <cellStyle name="Normal 29 4 2 2 3" xfId="3792"/>
    <cellStyle name="Normal 29 4 2 3" xfId="3793"/>
    <cellStyle name="Normal 29 4 2 4" xfId="3794"/>
    <cellStyle name="Normal 29 4 3" xfId="3795"/>
    <cellStyle name="Normal 29 4 3 2" xfId="3796"/>
    <cellStyle name="Normal 29 4 3 3" xfId="3797"/>
    <cellStyle name="Normal 29 4 4" xfId="3798"/>
    <cellStyle name="Normal 29 4 5" xfId="3799"/>
    <cellStyle name="Normal 29 5" xfId="3800"/>
    <cellStyle name="Normal 29 5 2" xfId="3801"/>
    <cellStyle name="Normal 29 5 2 2" xfId="3802"/>
    <cellStyle name="Normal 29 5 2 2 2" xfId="3803"/>
    <cellStyle name="Normal 29 5 2 2 3" xfId="3804"/>
    <cellStyle name="Normal 29 5 2 3" xfId="3805"/>
    <cellStyle name="Normal 29 5 2 4" xfId="3806"/>
    <cellStyle name="Normal 29 5 3" xfId="3807"/>
    <cellStyle name="Normal 29 5 3 2" xfId="3808"/>
    <cellStyle name="Normal 29 5 3 3" xfId="3809"/>
    <cellStyle name="Normal 29 5 4" xfId="3810"/>
    <cellStyle name="Normal 29 5 5" xfId="3811"/>
    <cellStyle name="Normal 29 6" xfId="3812"/>
    <cellStyle name="Normal 29 6 2" xfId="3813"/>
    <cellStyle name="Normal 29 6 2 2" xfId="3814"/>
    <cellStyle name="Normal 29 6 2 2 2" xfId="3815"/>
    <cellStyle name="Normal 29 6 2 2 3" xfId="3816"/>
    <cellStyle name="Normal 29 6 2 3" xfId="3817"/>
    <cellStyle name="Normal 29 6 2 4" xfId="3818"/>
    <cellStyle name="Normal 29 6 3" xfId="3819"/>
    <cellStyle name="Normal 29 6 3 2" xfId="3820"/>
    <cellStyle name="Normal 29 6 3 3" xfId="3821"/>
    <cellStyle name="Normal 29 6 4" xfId="3822"/>
    <cellStyle name="Normal 29 6 5" xfId="3823"/>
    <cellStyle name="Normal 29 7" xfId="3824"/>
    <cellStyle name="Normal 29 7 2" xfId="3825"/>
    <cellStyle name="Normal 29 7 2 2" xfId="3826"/>
    <cellStyle name="Normal 29 7 2 3" xfId="3827"/>
    <cellStyle name="Normal 29 7 3" xfId="3828"/>
    <cellStyle name="Normal 29 7 4" xfId="3829"/>
    <cellStyle name="Normal 29 8" xfId="3830"/>
    <cellStyle name="Normal 29 8 2" xfId="3831"/>
    <cellStyle name="Normal 29 9" xfId="3832"/>
    <cellStyle name="Normal 29 9 2" xfId="3833"/>
    <cellStyle name="Normal 29 9 3" xfId="3834"/>
    <cellStyle name="Normal 3" xfId="88"/>
    <cellStyle name="Normal 3 10" xfId="3835"/>
    <cellStyle name="Normal 3 10 2" xfId="3836"/>
    <cellStyle name="Normal 3 10 2 2" xfId="3837"/>
    <cellStyle name="Normal 3 10 3" xfId="3838"/>
    <cellStyle name="Normal 3 10 3 2" xfId="11776"/>
    <cellStyle name="Normal 3 10 4" xfId="11777"/>
    <cellStyle name="Normal 3 11" xfId="3839"/>
    <cellStyle name="Normal 3 11 2" xfId="3840"/>
    <cellStyle name="Normal 3 11 2 2" xfId="3841"/>
    <cellStyle name="Normal 3 11 3" xfId="3842"/>
    <cellStyle name="Normal 3 11 3 2" xfId="11778"/>
    <cellStyle name="Normal 3 11 4" xfId="11779"/>
    <cellStyle name="Normal 3 12" xfId="3843"/>
    <cellStyle name="Normal 3 12 2" xfId="3844"/>
    <cellStyle name="Normal 3 12 2 2" xfId="3845"/>
    <cellStyle name="Normal 3 12 2 3" xfId="3846"/>
    <cellStyle name="Normal 3 12 3" xfId="3847"/>
    <cellStyle name="Normal 3 12 3 2" xfId="11780"/>
    <cellStyle name="Normal 3 12 4" xfId="3848"/>
    <cellStyle name="Normal 3 13" xfId="3849"/>
    <cellStyle name="Normal 3 13 2" xfId="3850"/>
    <cellStyle name="Normal 3 13 2 2" xfId="3851"/>
    <cellStyle name="Normal 3 13 2 3" xfId="3852"/>
    <cellStyle name="Normal 3 13 3" xfId="3853"/>
    <cellStyle name="Normal 3 13 3 2" xfId="11781"/>
    <cellStyle name="Normal 3 13 4" xfId="3854"/>
    <cellStyle name="Normal 3 14" xfId="3855"/>
    <cellStyle name="Normal 3 14 2" xfId="3856"/>
    <cellStyle name="Normal 3 14 2 2" xfId="11782"/>
    <cellStyle name="Normal 3 14 3" xfId="11783"/>
    <cellStyle name="Normal 3 14 3 2" xfId="11784"/>
    <cellStyle name="Normal 3 14 4" xfId="11785"/>
    <cellStyle name="Normal 3 15" xfId="3857"/>
    <cellStyle name="Normal 3 15 2" xfId="11786"/>
    <cellStyle name="Normal 3 16" xfId="11787"/>
    <cellStyle name="Normal 3 16 2" xfId="11788"/>
    <cellStyle name="Normal 3 17" xfId="11789"/>
    <cellStyle name="Normal 3 18" xfId="3858"/>
    <cellStyle name="Normal 3 18 2" xfId="3859"/>
    <cellStyle name="Normal 3 18 2 2" xfId="3860"/>
    <cellStyle name="Normal 3 18 2 2 2" xfId="3861"/>
    <cellStyle name="Normal 3 18 2 2 2 2" xfId="3862"/>
    <cellStyle name="Normal 3 18 2 2 3" xfId="3863"/>
    <cellStyle name="Normal 3 18 2 3" xfId="3864"/>
    <cellStyle name="Normal 3 18 2 3 2" xfId="3865"/>
    <cellStyle name="Normal 3 18 2 4" xfId="3866"/>
    <cellStyle name="Normal 3 18 3" xfId="3867"/>
    <cellStyle name="Normal 3 18 3 2" xfId="3868"/>
    <cellStyle name="Normal 3 18 3 2 2" xfId="3869"/>
    <cellStyle name="Normal 3 18 3 2 2 2" xfId="3870"/>
    <cellStyle name="Normal 3 18 3 2 3" xfId="3871"/>
    <cellStyle name="Normal 3 18 3 3" xfId="3872"/>
    <cellStyle name="Normal 3 18 3 3 2" xfId="3873"/>
    <cellStyle name="Normal 3 18 3 4" xfId="3874"/>
    <cellStyle name="Normal 3 18 4" xfId="3875"/>
    <cellStyle name="Normal 3 18 4 2" xfId="3876"/>
    <cellStyle name="Normal 3 18 4 2 2" xfId="3877"/>
    <cellStyle name="Normal 3 18 4 2 2 2" xfId="3878"/>
    <cellStyle name="Normal 3 18 4 2 3" xfId="3879"/>
    <cellStyle name="Normal 3 18 4 3" xfId="3880"/>
    <cellStyle name="Normal 3 18 4 3 2" xfId="3881"/>
    <cellStyle name="Normal 3 18 4 4" xfId="3882"/>
    <cellStyle name="Normal 3 18 5" xfId="3883"/>
    <cellStyle name="Normal 3 18 5 2" xfId="3884"/>
    <cellStyle name="Normal 3 18 5 2 2" xfId="3885"/>
    <cellStyle name="Normal 3 18 5 2 2 2" xfId="3886"/>
    <cellStyle name="Normal 3 18 5 2 3" xfId="3887"/>
    <cellStyle name="Normal 3 18 5 3" xfId="3888"/>
    <cellStyle name="Normal 3 18 5 3 2" xfId="3889"/>
    <cellStyle name="Normal 3 18 5 4" xfId="3890"/>
    <cellStyle name="Normal 3 18 6" xfId="3891"/>
    <cellStyle name="Normal 3 18 6 2" xfId="3892"/>
    <cellStyle name="Normal 3 18 6 2 2" xfId="3893"/>
    <cellStyle name="Normal 3 18 6 2 2 2" xfId="3894"/>
    <cellStyle name="Normal 3 18 6 2 3" xfId="3895"/>
    <cellStyle name="Normal 3 18 6 3" xfId="3896"/>
    <cellStyle name="Normal 3 18 6 3 2" xfId="3897"/>
    <cellStyle name="Normal 3 18 6 4" xfId="3898"/>
    <cellStyle name="Normal 3 18 7" xfId="3899"/>
    <cellStyle name="Normal 3 18 7 2" xfId="3900"/>
    <cellStyle name="Normal 3 18 7 2 2" xfId="3901"/>
    <cellStyle name="Normal 3 18 7 3" xfId="3902"/>
    <cellStyle name="Normal 3 18 8" xfId="3903"/>
    <cellStyle name="Normal 3 18 8 2" xfId="3904"/>
    <cellStyle name="Normal 3 18 9" xfId="3905"/>
    <cellStyle name="Normal 3 19" xfId="11790"/>
    <cellStyle name="Normal 3 2" xfId="89"/>
    <cellStyle name="Normal 3 2 10" xfId="3906"/>
    <cellStyle name="Normal 3 2 10 2" xfId="11791"/>
    <cellStyle name="Normal 3 2 10 2 2" xfId="11792"/>
    <cellStyle name="Normal 3 2 10 3" xfId="11793"/>
    <cellStyle name="Normal 3 2 10 3 2" xfId="11794"/>
    <cellStyle name="Normal 3 2 10 4" xfId="11795"/>
    <cellStyle name="Normal 3 2 11" xfId="11796"/>
    <cellStyle name="Normal 3 2 11 2" xfId="11797"/>
    <cellStyle name="Normal 3 2 11 3 2" xfId="11798"/>
    <cellStyle name="Normal 3 2 11 4" xfId="11799"/>
    <cellStyle name="Normal 3 2 12" xfId="11800"/>
    <cellStyle name="Normal 3 2 12 2" xfId="11801"/>
    <cellStyle name="Normal 3 2 12 2 2" xfId="11802"/>
    <cellStyle name="Normal 3 2 12 3" xfId="11803"/>
    <cellStyle name="Normal 3 2 12 3 2" xfId="11804"/>
    <cellStyle name="Normal 3 2 12 4" xfId="11805"/>
    <cellStyle name="Normal 3 2 13" xfId="11806"/>
    <cellStyle name="Normal 3 2 13 2" xfId="11807"/>
    <cellStyle name="Normal 3 2 13 3 2" xfId="11808"/>
    <cellStyle name="Normal 3 2 13 4" xfId="11809"/>
    <cellStyle name="Normal 3 2 14" xfId="11810"/>
    <cellStyle name="Normal 3 2 14 2" xfId="11811"/>
    <cellStyle name="Normal 3 2 15" xfId="11812"/>
    <cellStyle name="Normal 3 2 15 2" xfId="11813"/>
    <cellStyle name="Normal 3 2 16" xfId="11814"/>
    <cellStyle name="Normal 3 2 17" xfId="11815"/>
    <cellStyle name="Normal 3 2 18" xfId="11816"/>
    <cellStyle name="Normal 3 2 19" xfId="11817"/>
    <cellStyle name="Normal 3 2 2" xfId="203"/>
    <cellStyle name="Normal 3 2 2 10" xfId="11818"/>
    <cellStyle name="Normal 3 2 2 11" xfId="11819"/>
    <cellStyle name="Normal 3 2 2 19" xfId="11820"/>
    <cellStyle name="Normal 3 2 2 2" xfId="3907"/>
    <cellStyle name="Normal 3 2 2 2 10" xfId="3908"/>
    <cellStyle name="Normal 3 2 2 2 18" xfId="11821"/>
    <cellStyle name="Normal 3 2 2 2 19" xfId="11822"/>
    <cellStyle name="Normal 3 2 2 2 2" xfId="3909"/>
    <cellStyle name="Normal 3 2 2 2 2 2" xfId="3910"/>
    <cellStyle name="Normal 3 2 2 2 3" xfId="3911"/>
    <cellStyle name="Normal 3 2 2 2 3 2" xfId="3912"/>
    <cellStyle name="Normal 3 2 2 2 4" xfId="3913"/>
    <cellStyle name="Normal 3 2 2 2 4 2" xfId="3914"/>
    <cellStyle name="Normal 3 2 2 2 5" xfId="3915"/>
    <cellStyle name="Normal 3 2 2 2 5 2" xfId="3916"/>
    <cellStyle name="Normal 3 2 2 2 6" xfId="3917"/>
    <cellStyle name="Normal 3 2 2 2 6 2" xfId="3918"/>
    <cellStyle name="Normal 3 2 2 2 7" xfId="3919"/>
    <cellStyle name="Normal 3 2 2 2 7 2" xfId="3920"/>
    <cellStyle name="Normal 3 2 2 2 7 2 2" xfId="3921"/>
    <cellStyle name="Normal 3 2 2 2 7 2 3" xfId="3922"/>
    <cellStyle name="Normal 3 2 2 2 7 3" xfId="3923"/>
    <cellStyle name="Normal 3 2 2 2 7 4" xfId="3924"/>
    <cellStyle name="Normal 3 2 2 2 8" xfId="3925"/>
    <cellStyle name="Normal 3 2 2 2 8 2" xfId="3926"/>
    <cellStyle name="Normal 3 2 2 2 8 3" xfId="3927"/>
    <cellStyle name="Normal 3 2 2 2 9" xfId="3928"/>
    <cellStyle name="Normal 3 2 2 3" xfId="3929"/>
    <cellStyle name="Normal 3 2 2 3 2" xfId="3930"/>
    <cellStyle name="Normal 3 2 2 3 2 2" xfId="3931"/>
    <cellStyle name="Normal 3 2 2 3 2 2 2" xfId="3932"/>
    <cellStyle name="Normal 3 2 2 3 2 2 3" xfId="3933"/>
    <cellStyle name="Normal 3 2 2 3 2 3" xfId="3934"/>
    <cellStyle name="Normal 3 2 2 3 2 4" xfId="3935"/>
    <cellStyle name="Normal 3 2 2 3 3" xfId="3936"/>
    <cellStyle name="Normal 3 2 2 3 3 2" xfId="3937"/>
    <cellStyle name="Normal 3 2 2 3 3 3" xfId="3938"/>
    <cellStyle name="Normal 3 2 2 3 4" xfId="3939"/>
    <cellStyle name="Normal 3 2 2 3 5" xfId="3940"/>
    <cellStyle name="Normal 3 2 2 4" xfId="3941"/>
    <cellStyle name="Normal 3 2 2 4 2" xfId="3942"/>
    <cellStyle name="Normal 3 2 2 4 2 2" xfId="3943"/>
    <cellStyle name="Normal 3 2 2 4 2 2 2" xfId="3944"/>
    <cellStyle name="Normal 3 2 2 4 2 2 3" xfId="3945"/>
    <cellStyle name="Normal 3 2 2 4 2 3" xfId="3946"/>
    <cellStyle name="Normal 3 2 2 4 2 4" xfId="3947"/>
    <cellStyle name="Normal 3 2 2 4 3" xfId="3948"/>
    <cellStyle name="Normal 3 2 2 4 3 2" xfId="3949"/>
    <cellStyle name="Normal 3 2 2 4 3 3" xfId="3950"/>
    <cellStyle name="Normal 3 2 2 4 4" xfId="3951"/>
    <cellStyle name="Normal 3 2 2 4 5" xfId="3952"/>
    <cellStyle name="Normal 3 2 2 5" xfId="3953"/>
    <cellStyle name="Normal 3 2 2 5 2" xfId="3954"/>
    <cellStyle name="Normal 3 2 2 5 2 2" xfId="3955"/>
    <cellStyle name="Normal 3 2 2 5 2 2 2" xfId="3956"/>
    <cellStyle name="Normal 3 2 2 5 2 2 3" xfId="3957"/>
    <cellStyle name="Normal 3 2 2 5 2 3" xfId="3958"/>
    <cellStyle name="Normal 3 2 2 5 2 4" xfId="3959"/>
    <cellStyle name="Normal 3 2 2 5 3" xfId="3960"/>
    <cellStyle name="Normal 3 2 2 5 3 2" xfId="3961"/>
    <cellStyle name="Normal 3 2 2 5 3 3" xfId="3962"/>
    <cellStyle name="Normal 3 2 2 5 4" xfId="3963"/>
    <cellStyle name="Normal 3 2 2 5 5" xfId="3964"/>
    <cellStyle name="Normal 3 2 2 6" xfId="3965"/>
    <cellStyle name="Normal 3 2 2 6 2" xfId="3966"/>
    <cellStyle name="Normal 3 2 2 6 2 2" xfId="3967"/>
    <cellStyle name="Normal 3 2 2 6 2 2 2" xfId="3968"/>
    <cellStyle name="Normal 3 2 2 6 2 2 3" xfId="3969"/>
    <cellStyle name="Normal 3 2 2 6 2 3" xfId="3970"/>
    <cellStyle name="Normal 3 2 2 6 2 4" xfId="3971"/>
    <cellStyle name="Normal 3 2 2 6 3" xfId="3972"/>
    <cellStyle name="Normal 3 2 2 6 3 2" xfId="3973"/>
    <cellStyle name="Normal 3 2 2 6 3 3" xfId="3974"/>
    <cellStyle name="Normal 3 2 2 6 4" xfId="3975"/>
    <cellStyle name="Normal 3 2 2 6 5" xfId="3976"/>
    <cellStyle name="Normal 3 2 2 7" xfId="3977"/>
    <cellStyle name="Normal 3 2 2 7 2" xfId="3978"/>
    <cellStyle name="Normal 3 2 2 8" xfId="3979"/>
    <cellStyle name="Normal 3 2 2 8 2" xfId="3980"/>
    <cellStyle name="Normal 3 2 2 9" xfId="3981"/>
    <cellStyle name="Normal 3 2 20" xfId="11823"/>
    <cellStyle name="Normal 3 2 21" xfId="11824"/>
    <cellStyle name="Normal 3 2 23" xfId="11825"/>
    <cellStyle name="Normal 3 2 3" xfId="3982"/>
    <cellStyle name="Normal 3 2 3 10" xfId="3983"/>
    <cellStyle name="Normal 3 2 3 2" xfId="3984"/>
    <cellStyle name="Normal 3 2 3 2 2" xfId="3985"/>
    <cellStyle name="Normal 3 2 3 2 2 2" xfId="3986"/>
    <cellStyle name="Normal 3 2 3 2 2 2 2" xfId="3987"/>
    <cellStyle name="Normal 3 2 3 2 2 2 3" xfId="3988"/>
    <cellStyle name="Normal 3 2 3 2 2 3" xfId="3989"/>
    <cellStyle name="Normal 3 2 3 2 2 4" xfId="3990"/>
    <cellStyle name="Normal 3 2 3 2 3" xfId="3991"/>
    <cellStyle name="Normal 3 2 3 2 3 2" xfId="3992"/>
    <cellStyle name="Normal 3 2 3 2 3 3" xfId="3993"/>
    <cellStyle name="Normal 3 2 3 2 4" xfId="3994"/>
    <cellStyle name="Normal 3 2 3 2 5" xfId="3995"/>
    <cellStyle name="Normal 3 2 3 3" xfId="3996"/>
    <cellStyle name="Normal 3 2 3 3 2" xfId="3997"/>
    <cellStyle name="Normal 3 2 3 3 2 2" xfId="3998"/>
    <cellStyle name="Normal 3 2 3 3 2 2 2" xfId="3999"/>
    <cellStyle name="Normal 3 2 3 3 2 2 3" xfId="4000"/>
    <cellStyle name="Normal 3 2 3 3 2 3" xfId="4001"/>
    <cellStyle name="Normal 3 2 3 3 2 4" xfId="4002"/>
    <cellStyle name="Normal 3 2 3 3 3" xfId="4003"/>
    <cellStyle name="Normal 3 2 3 3 3 2" xfId="4004"/>
    <cellStyle name="Normal 3 2 3 3 3 3" xfId="4005"/>
    <cellStyle name="Normal 3 2 3 3 4" xfId="4006"/>
    <cellStyle name="Normal 3 2 3 3 5" xfId="4007"/>
    <cellStyle name="Normal 3 2 3 4" xfId="4008"/>
    <cellStyle name="Normal 3 2 3 4 2" xfId="4009"/>
    <cellStyle name="Normal 3 2 3 4 2 2" xfId="4010"/>
    <cellStyle name="Normal 3 2 3 4 2 2 2" xfId="4011"/>
    <cellStyle name="Normal 3 2 3 4 2 2 3" xfId="4012"/>
    <cellStyle name="Normal 3 2 3 4 2 3" xfId="4013"/>
    <cellStyle name="Normal 3 2 3 4 2 4" xfId="4014"/>
    <cellStyle name="Normal 3 2 3 4 3" xfId="4015"/>
    <cellStyle name="Normal 3 2 3 4 3 2" xfId="4016"/>
    <cellStyle name="Normal 3 2 3 4 3 3" xfId="4017"/>
    <cellStyle name="Normal 3 2 3 4 4" xfId="4018"/>
    <cellStyle name="Normal 3 2 3 4 5" xfId="4019"/>
    <cellStyle name="Normal 3 2 3 5" xfId="4020"/>
    <cellStyle name="Normal 3 2 3 5 2" xfId="4021"/>
    <cellStyle name="Normal 3 2 3 5 2 2" xfId="4022"/>
    <cellStyle name="Normal 3 2 3 5 2 2 2" xfId="4023"/>
    <cellStyle name="Normal 3 2 3 5 2 2 3" xfId="4024"/>
    <cellStyle name="Normal 3 2 3 5 2 3" xfId="4025"/>
    <cellStyle name="Normal 3 2 3 5 2 4" xfId="4026"/>
    <cellStyle name="Normal 3 2 3 5 3" xfId="4027"/>
    <cellStyle name="Normal 3 2 3 5 3 2" xfId="4028"/>
    <cellStyle name="Normal 3 2 3 5 3 3" xfId="4029"/>
    <cellStyle name="Normal 3 2 3 5 4" xfId="4030"/>
    <cellStyle name="Normal 3 2 3 5 5" xfId="4031"/>
    <cellStyle name="Normal 3 2 3 6" xfId="4032"/>
    <cellStyle name="Normal 3 2 3 6 2" xfId="4033"/>
    <cellStyle name="Normal 3 2 3 6 2 2" xfId="4034"/>
    <cellStyle name="Normal 3 2 3 6 2 2 2" xfId="4035"/>
    <cellStyle name="Normal 3 2 3 6 2 2 3" xfId="4036"/>
    <cellStyle name="Normal 3 2 3 6 2 3" xfId="4037"/>
    <cellStyle name="Normal 3 2 3 6 2 4" xfId="4038"/>
    <cellStyle name="Normal 3 2 3 6 3" xfId="4039"/>
    <cellStyle name="Normal 3 2 3 6 3 2" xfId="4040"/>
    <cellStyle name="Normal 3 2 3 6 3 3" xfId="4041"/>
    <cellStyle name="Normal 3 2 3 6 4" xfId="4042"/>
    <cellStyle name="Normal 3 2 3 6 5" xfId="4043"/>
    <cellStyle name="Normal 3 2 3 7" xfId="4044"/>
    <cellStyle name="Normal 3 2 3 7 2" xfId="4045"/>
    <cellStyle name="Normal 3 2 3 7 3" xfId="4046"/>
    <cellStyle name="Normal 3 2 3 8" xfId="4047"/>
    <cellStyle name="Normal 3 2 3 8 2" xfId="4048"/>
    <cellStyle name="Normal 3 2 3 9" xfId="4049"/>
    <cellStyle name="Normal 3 2 4" xfId="4050"/>
    <cellStyle name="Normal 3 2 4 2" xfId="4051"/>
    <cellStyle name="Normal 3 2 4 3" xfId="11826"/>
    <cellStyle name="Normal 3 2 4 3 2" xfId="11827"/>
    <cellStyle name="Normal 3 2 4 4" xfId="11828"/>
    <cellStyle name="Normal 3 2 5" xfId="4052"/>
    <cellStyle name="Normal 3 2 5 2" xfId="4053"/>
    <cellStyle name="Normal 3 2 5 2 2" xfId="11829"/>
    <cellStyle name="Normal 3 2 5 3" xfId="11830"/>
    <cellStyle name="Normal 3 2 5 3 2" xfId="11831"/>
    <cellStyle name="Normal 3 2 5 4" xfId="11832"/>
    <cellStyle name="Normal 3 2 6" xfId="4054"/>
    <cellStyle name="Normal 3 2 6 2" xfId="4055"/>
    <cellStyle name="Normal 3 2 6 2 2" xfId="11833"/>
    <cellStyle name="Normal 3 2 6 3" xfId="11834"/>
    <cellStyle name="Normal 3 2 7" xfId="4056"/>
    <cellStyle name="Normal 3 2 7 2" xfId="4057"/>
    <cellStyle name="Normal 3 2 7 2 2" xfId="11835"/>
    <cellStyle name="Normal 3 2 7 3" xfId="11836"/>
    <cellStyle name="Normal 3 2 7 3 2" xfId="11837"/>
    <cellStyle name="Normal 3 2 7 4" xfId="11838"/>
    <cellStyle name="Normal 3 2 8" xfId="4058"/>
    <cellStyle name="Normal 3 2 8 2" xfId="4059"/>
    <cellStyle name="Normal 3 2 8 2 2" xfId="11839"/>
    <cellStyle name="Normal 3 2 8 3" xfId="11840"/>
    <cellStyle name="Normal 3 2 8 3 2" xfId="11841"/>
    <cellStyle name="Normal 3 2 8 4" xfId="11842"/>
    <cellStyle name="Normal 3 2 9" xfId="4060"/>
    <cellStyle name="Normal 3 2 9 2" xfId="4061"/>
    <cellStyle name="Normal 3 2 9 3 2" xfId="11843"/>
    <cellStyle name="Normal 3 2 9 4" xfId="11844"/>
    <cellStyle name="Normal 3 20" xfId="11845"/>
    <cellStyle name="Normal 3 21" xfId="11846"/>
    <cellStyle name="Normal 3 22" xfId="11847"/>
    <cellStyle name="Normal 3 23" xfId="11848"/>
    <cellStyle name="Normal 3 24" xfId="11849"/>
    <cellStyle name="Normal 3 25" xfId="11850"/>
    <cellStyle name="Normal 3 26" xfId="11851"/>
    <cellStyle name="Normal 3 27" xfId="11852"/>
    <cellStyle name="Normal 3 28" xfId="11853"/>
    <cellStyle name="Normal 3 29" xfId="11854"/>
    <cellStyle name="Normal 3 3" xfId="204"/>
    <cellStyle name="Normal 3 3 19" xfId="11855"/>
    <cellStyle name="Normal 3 3 2" xfId="4062"/>
    <cellStyle name="Normal 3 3 2 18" xfId="11856"/>
    <cellStyle name="Normal 3 3 2 19" xfId="11857"/>
    <cellStyle name="Normal 3 3 2 2" xfId="4063"/>
    <cellStyle name="Normal 3 3 2 2 2" xfId="4064"/>
    <cellStyle name="Normal 3 3 2 3" xfId="4065"/>
    <cellStyle name="Normal 3 3 2 3 2" xfId="4066"/>
    <cellStyle name="Normal 3 3 2 3 3" xfId="4067"/>
    <cellStyle name="Normal 3 3 2 4" xfId="4068"/>
    <cellStyle name="Normal 3 3 3" xfId="4069"/>
    <cellStyle name="Normal 3 3 3 2" xfId="4070"/>
    <cellStyle name="Normal 3 3 3 2 2" xfId="4071"/>
    <cellStyle name="Normal 3 3 3 2 3" xfId="4072"/>
    <cellStyle name="Normal 3 3 3 3" xfId="4073"/>
    <cellStyle name="Normal 3 3 3 4" xfId="4074"/>
    <cellStyle name="Normal 3 3 4" xfId="4075"/>
    <cellStyle name="Normal 3 3 4 2" xfId="4076"/>
    <cellStyle name="Normal 3 3 5" xfId="4077"/>
    <cellStyle name="Normal 3 30" xfId="11858"/>
    <cellStyle name="Normal 3 31" xfId="11859"/>
    <cellStyle name="Normal 3 32" xfId="11860"/>
    <cellStyle name="Normal 3 33" xfId="11861"/>
    <cellStyle name="Normal 3 34" xfId="11862"/>
    <cellStyle name="Normal 3 35" xfId="11863"/>
    <cellStyle name="Normal 3 36" xfId="11864"/>
    <cellStyle name="Normal 3 37" xfId="11865"/>
    <cellStyle name="Normal 3 38" xfId="11866"/>
    <cellStyle name="Normal 3 39" xfId="11867"/>
    <cellStyle name="Normal 3 4" xfId="4078"/>
    <cellStyle name="Normal 3 4 2" xfId="4079"/>
    <cellStyle name="Normal 3 4 2 2" xfId="4080"/>
    <cellStyle name="Normal 3 4 2 2 2" xfId="4081"/>
    <cellStyle name="Normal 3 4 2 3" xfId="4082"/>
    <cellStyle name="Normal 3 4 2 3 2" xfId="4083"/>
    <cellStyle name="Normal 3 4 2 3 3" xfId="4084"/>
    <cellStyle name="Normal 3 4 2 4" xfId="4085"/>
    <cellStyle name="Normal 3 4 3" xfId="4086"/>
    <cellStyle name="Normal 3 4 3 2" xfId="4087"/>
    <cellStyle name="Normal 3 4 3 2 2" xfId="4088"/>
    <cellStyle name="Normal 3 4 3 2 3" xfId="4089"/>
    <cellStyle name="Normal 3 4 3 3" xfId="4090"/>
    <cellStyle name="Normal 3 4 3 4" xfId="4091"/>
    <cellStyle name="Normal 3 4 4" xfId="4092"/>
    <cellStyle name="Normal 3 4 4 2" xfId="4093"/>
    <cellStyle name="Normal 3 4 5" xfId="4094"/>
    <cellStyle name="Normal 3 40" xfId="11868"/>
    <cellStyle name="Normal 3 41" xfId="11869"/>
    <cellStyle name="Normal 3 42" xfId="11870"/>
    <cellStyle name="Normal 3 43" xfId="11871"/>
    <cellStyle name="Normal 3 44" xfId="11872"/>
    <cellStyle name="Normal 3 45" xfId="11873"/>
    <cellStyle name="Normal 3 46" xfId="11874"/>
    <cellStyle name="Normal 3 47" xfId="11875"/>
    <cellStyle name="Normal 3 48" xfId="11876"/>
    <cellStyle name="Normal 3 49" xfId="11877"/>
    <cellStyle name="Normal 3 5" xfId="4095"/>
    <cellStyle name="Normal 3 5 2" xfId="4096"/>
    <cellStyle name="Normal 3 5 2 2" xfId="4097"/>
    <cellStyle name="Normal 3 5 3" xfId="4098"/>
    <cellStyle name="Normal 3 5 3 2" xfId="4099"/>
    <cellStyle name="Normal 3 5 4" xfId="4100"/>
    <cellStyle name="Normal 3 6" xfId="4101"/>
    <cellStyle name="Normal 3 6 2" xfId="4102"/>
    <cellStyle name="Normal 3 6 2 2" xfId="4103"/>
    <cellStyle name="Normal 3 6 3" xfId="4104"/>
    <cellStyle name="Normal 3 6 3 2" xfId="4105"/>
    <cellStyle name="Normal 3 6 4" xfId="4106"/>
    <cellStyle name="Normal 3 7" xfId="4107"/>
    <cellStyle name="Normal 3 7 2" xfId="4108"/>
    <cellStyle name="Normal 3 7 2 2" xfId="4109"/>
    <cellStyle name="Normal 3 7 2 2 2" xfId="4110"/>
    <cellStyle name="Normal 3 7 2 2 3" xfId="4111"/>
    <cellStyle name="Normal 3 7 2 3" xfId="4112"/>
    <cellStyle name="Normal 3 7 2 4" xfId="4113"/>
    <cellStyle name="Normal 3 7 3" xfId="4114"/>
    <cellStyle name="Normal 3 7 3 2" xfId="4115"/>
    <cellStyle name="Normal 3 7 4" xfId="4116"/>
    <cellStyle name="Normal 3 7 4 2" xfId="4117"/>
    <cellStyle name="Normal 3 7 4 3" xfId="4118"/>
    <cellStyle name="Normal 3 7 5" xfId="4119"/>
    <cellStyle name="Normal 3 8" xfId="4120"/>
    <cellStyle name="Normal 3 8 2" xfId="4121"/>
    <cellStyle name="Normal 3 8 2 2" xfId="4122"/>
    <cellStyle name="Normal 3 8 3" xfId="4123"/>
    <cellStyle name="Normal 3 8 3 2" xfId="4124"/>
    <cellStyle name="Normal 3 8 4" xfId="4125"/>
    <cellStyle name="Normal 3 8 4 2" xfId="4126"/>
    <cellStyle name="Normal 3 8 5" xfId="4127"/>
    <cellStyle name="Normal 3 9" xfId="4128"/>
    <cellStyle name="Normal 3 9 2" xfId="4129"/>
    <cellStyle name="Normal 3 9 2 2" xfId="4130"/>
    <cellStyle name="Normal 3 9 3" xfId="4131"/>
    <cellStyle name="Normal 3 9 3 2" xfId="11878"/>
    <cellStyle name="Normal 3 9 4" xfId="11879"/>
    <cellStyle name="Normal 30" xfId="4132"/>
    <cellStyle name="Normal 30 2" xfId="136"/>
    <cellStyle name="Normal 30 2 2" xfId="4133"/>
    <cellStyle name="Normal 30 3" xfId="4134"/>
    <cellStyle name="Normal 30 3 2" xfId="4135"/>
    <cellStyle name="Normal 30 3 3" xfId="4136"/>
    <cellStyle name="Normal 30 4" xfId="4137"/>
    <cellStyle name="Normal 31" xfId="4138"/>
    <cellStyle name="Normal 31 10" xfId="4139"/>
    <cellStyle name="Normal 31 2" xfId="4140"/>
    <cellStyle name="Normal 31 2 2" xfId="4141"/>
    <cellStyle name="Normal 31 2 2 2" xfId="4142"/>
    <cellStyle name="Normal 31 2 2 2 2" xfId="4143"/>
    <cellStyle name="Normal 31 2 2 2 3" xfId="4144"/>
    <cellStyle name="Normal 31 2 2 3" xfId="4145"/>
    <cellStyle name="Normal 31 2 2 4" xfId="4146"/>
    <cellStyle name="Normal 31 2 3" xfId="4147"/>
    <cellStyle name="Normal 31 2 3 2" xfId="4148"/>
    <cellStyle name="Normal 31 2 3 3" xfId="4149"/>
    <cellStyle name="Normal 31 2 4" xfId="4150"/>
    <cellStyle name="Normal 31 2 5" xfId="4151"/>
    <cellStyle name="Normal 31 3" xfId="4152"/>
    <cellStyle name="Normal 31 3 2" xfId="4153"/>
    <cellStyle name="Normal 31 3 2 2" xfId="4154"/>
    <cellStyle name="Normal 31 3 2 2 2" xfId="4155"/>
    <cellStyle name="Normal 31 3 2 2 3" xfId="4156"/>
    <cellStyle name="Normal 31 3 2 3" xfId="4157"/>
    <cellStyle name="Normal 31 3 2 4" xfId="4158"/>
    <cellStyle name="Normal 31 3 3" xfId="4159"/>
    <cellStyle name="Normal 31 3 3 2" xfId="4160"/>
    <cellStyle name="Normal 31 3 3 3" xfId="4161"/>
    <cellStyle name="Normal 31 3 4" xfId="4162"/>
    <cellStyle name="Normal 31 3 5" xfId="4163"/>
    <cellStyle name="Normal 31 4" xfId="4164"/>
    <cellStyle name="Normal 31 4 2" xfId="4165"/>
    <cellStyle name="Normal 31 4 2 2" xfId="4166"/>
    <cellStyle name="Normal 31 4 2 2 2" xfId="4167"/>
    <cellStyle name="Normal 31 4 2 2 3" xfId="4168"/>
    <cellStyle name="Normal 31 4 2 3" xfId="4169"/>
    <cellStyle name="Normal 31 4 2 4" xfId="4170"/>
    <cellStyle name="Normal 31 4 3" xfId="4171"/>
    <cellStyle name="Normal 31 4 3 2" xfId="4172"/>
    <cellStyle name="Normal 31 4 3 3" xfId="4173"/>
    <cellStyle name="Normal 31 4 4" xfId="4174"/>
    <cellStyle name="Normal 31 4 5" xfId="4175"/>
    <cellStyle name="Normal 31 5" xfId="4176"/>
    <cellStyle name="Normal 31 5 2" xfId="4177"/>
    <cellStyle name="Normal 31 5 2 2" xfId="4178"/>
    <cellStyle name="Normal 31 5 2 2 2" xfId="4179"/>
    <cellStyle name="Normal 31 5 2 2 3" xfId="4180"/>
    <cellStyle name="Normal 31 5 2 3" xfId="4181"/>
    <cellStyle name="Normal 31 5 2 4" xfId="4182"/>
    <cellStyle name="Normal 31 5 3" xfId="4183"/>
    <cellStyle name="Normal 31 5 3 2" xfId="4184"/>
    <cellStyle name="Normal 31 5 3 3" xfId="4185"/>
    <cellStyle name="Normal 31 5 4" xfId="4186"/>
    <cellStyle name="Normal 31 5 5" xfId="4187"/>
    <cellStyle name="Normal 31 6" xfId="4188"/>
    <cellStyle name="Normal 31 6 2" xfId="4189"/>
    <cellStyle name="Normal 31 6 2 2" xfId="4190"/>
    <cellStyle name="Normal 31 6 2 2 2" xfId="4191"/>
    <cellStyle name="Normal 31 6 2 2 3" xfId="4192"/>
    <cellStyle name="Normal 31 6 2 3" xfId="4193"/>
    <cellStyle name="Normal 31 6 2 4" xfId="4194"/>
    <cellStyle name="Normal 31 6 3" xfId="4195"/>
    <cellStyle name="Normal 31 6 3 2" xfId="4196"/>
    <cellStyle name="Normal 31 6 3 3" xfId="4197"/>
    <cellStyle name="Normal 31 6 4" xfId="4198"/>
    <cellStyle name="Normal 31 6 5" xfId="4199"/>
    <cellStyle name="Normal 31 7" xfId="4200"/>
    <cellStyle name="Normal 31 7 2" xfId="4201"/>
    <cellStyle name="Normal 31 7 2 2" xfId="4202"/>
    <cellStyle name="Normal 31 7 2 3" xfId="4203"/>
    <cellStyle name="Normal 31 7 3" xfId="4204"/>
    <cellStyle name="Normal 31 7 4" xfId="4205"/>
    <cellStyle name="Normal 31 8" xfId="4206"/>
    <cellStyle name="Normal 31 8 2" xfId="4207"/>
    <cellStyle name="Normal 31 9" xfId="4208"/>
    <cellStyle name="Normal 31 9 2" xfId="4209"/>
    <cellStyle name="Normal 31 9 3" xfId="4210"/>
    <cellStyle name="Normal 32" xfId="4211"/>
    <cellStyle name="Normal 32 2" xfId="132"/>
    <cellStyle name="Normal 32 2 2" xfId="4212"/>
    <cellStyle name="Normal 32 3" xfId="4213"/>
    <cellStyle name="Normal 32 3 2" xfId="4214"/>
    <cellStyle name="Normal 32 3 3" xfId="4215"/>
    <cellStyle name="Normal 32 4" xfId="4216"/>
    <cellStyle name="Normal 33" xfId="4217"/>
    <cellStyle name="Normal 33 10" xfId="4218"/>
    <cellStyle name="Normal 33 2" xfId="4219"/>
    <cellStyle name="Normal 33 2 2" xfId="4220"/>
    <cellStyle name="Normal 33 2 2 2" xfId="4221"/>
    <cellStyle name="Normal 33 2 2 2 2" xfId="4222"/>
    <cellStyle name="Normal 33 2 2 2 3" xfId="4223"/>
    <cellStyle name="Normal 33 2 2 3" xfId="4224"/>
    <cellStyle name="Normal 33 2 2 4" xfId="4225"/>
    <cellStyle name="Normal 33 2 3" xfId="4226"/>
    <cellStyle name="Normal 33 2 3 2" xfId="4227"/>
    <cellStyle name="Normal 33 2 3 3" xfId="4228"/>
    <cellStyle name="Normal 33 2 4" xfId="4229"/>
    <cellStyle name="Normal 33 2 5" xfId="4230"/>
    <cellStyle name="Normal 33 3" xfId="4231"/>
    <cellStyle name="Normal 33 3 2" xfId="4232"/>
    <cellStyle name="Normal 33 3 2 2" xfId="4233"/>
    <cellStyle name="Normal 33 3 2 2 2" xfId="4234"/>
    <cellStyle name="Normal 33 3 2 2 3" xfId="4235"/>
    <cellStyle name="Normal 33 3 2 3" xfId="4236"/>
    <cellStyle name="Normal 33 3 2 4" xfId="4237"/>
    <cellStyle name="Normal 33 3 3" xfId="4238"/>
    <cellStyle name="Normal 33 3 3 2" xfId="4239"/>
    <cellStyle name="Normal 33 3 3 3" xfId="4240"/>
    <cellStyle name="Normal 33 3 4" xfId="4241"/>
    <cellStyle name="Normal 33 3 5" xfId="4242"/>
    <cellStyle name="Normal 33 4" xfId="4243"/>
    <cellStyle name="Normal 33 4 2" xfId="4244"/>
    <cellStyle name="Normal 33 4 2 2" xfId="4245"/>
    <cellStyle name="Normal 33 4 2 2 2" xfId="4246"/>
    <cellStyle name="Normal 33 4 2 2 3" xfId="4247"/>
    <cellStyle name="Normal 33 4 2 3" xfId="4248"/>
    <cellStyle name="Normal 33 4 2 4" xfId="4249"/>
    <cellStyle name="Normal 33 4 3" xfId="4250"/>
    <cellStyle name="Normal 33 4 3 2" xfId="4251"/>
    <cellStyle name="Normal 33 4 3 3" xfId="4252"/>
    <cellStyle name="Normal 33 4 4" xfId="4253"/>
    <cellStyle name="Normal 33 4 5" xfId="4254"/>
    <cellStyle name="Normal 33 5" xfId="4255"/>
    <cellStyle name="Normal 33 5 2" xfId="4256"/>
    <cellStyle name="Normal 33 5 2 2" xfId="4257"/>
    <cellStyle name="Normal 33 5 2 2 2" xfId="4258"/>
    <cellStyle name="Normal 33 5 2 2 3" xfId="4259"/>
    <cellStyle name="Normal 33 5 2 3" xfId="4260"/>
    <cellStyle name="Normal 33 5 2 4" xfId="4261"/>
    <cellStyle name="Normal 33 5 3" xfId="4262"/>
    <cellStyle name="Normal 33 5 3 2" xfId="4263"/>
    <cellStyle name="Normal 33 5 3 3" xfId="4264"/>
    <cellStyle name="Normal 33 5 4" xfId="4265"/>
    <cellStyle name="Normal 33 5 5" xfId="4266"/>
    <cellStyle name="Normal 33 6" xfId="4267"/>
    <cellStyle name="Normal 33 6 2" xfId="4268"/>
    <cellStyle name="Normal 33 6 2 2" xfId="4269"/>
    <cellStyle name="Normal 33 6 2 2 2" xfId="4270"/>
    <cellStyle name="Normal 33 6 2 2 3" xfId="4271"/>
    <cellStyle name="Normal 33 6 2 3" xfId="4272"/>
    <cellStyle name="Normal 33 6 2 4" xfId="4273"/>
    <cellStyle name="Normal 33 6 3" xfId="4274"/>
    <cellStyle name="Normal 33 6 3 2" xfId="4275"/>
    <cellStyle name="Normal 33 6 3 3" xfId="4276"/>
    <cellStyle name="Normal 33 6 4" xfId="4277"/>
    <cellStyle name="Normal 33 6 5" xfId="4278"/>
    <cellStyle name="Normal 33 7" xfId="4279"/>
    <cellStyle name="Normal 33 7 2" xfId="4280"/>
    <cellStyle name="Normal 33 7 2 2" xfId="4281"/>
    <cellStyle name="Normal 33 7 2 3" xfId="4282"/>
    <cellStyle name="Normal 33 7 3" xfId="4283"/>
    <cellStyle name="Normal 33 7 4" xfId="4284"/>
    <cellStyle name="Normal 33 8" xfId="4285"/>
    <cellStyle name="Normal 33 8 2" xfId="4286"/>
    <cellStyle name="Normal 33 9" xfId="4287"/>
    <cellStyle name="Normal 33 9 2" xfId="4288"/>
    <cellStyle name="Normal 33 9 3" xfId="4289"/>
    <cellStyle name="Normal 34" xfId="4290"/>
    <cellStyle name="Normal 34 10" xfId="4291"/>
    <cellStyle name="Normal 34 2" xfId="4292"/>
    <cellStyle name="Normal 34 2 2" xfId="4293"/>
    <cellStyle name="Normal 34 2 2 2" xfId="4294"/>
    <cellStyle name="Normal 34 2 2 2 2" xfId="4295"/>
    <cellStyle name="Normal 34 2 2 2 3" xfId="4296"/>
    <cellStyle name="Normal 34 2 2 3" xfId="4297"/>
    <cellStyle name="Normal 34 2 2 4" xfId="4298"/>
    <cellStyle name="Normal 34 2 3" xfId="4299"/>
    <cellStyle name="Normal 34 2 3 2" xfId="4300"/>
    <cellStyle name="Normal 34 2 3 3" xfId="4301"/>
    <cellStyle name="Normal 34 2 4" xfId="4302"/>
    <cellStyle name="Normal 34 2 5" xfId="4303"/>
    <cellStyle name="Normal 34 3" xfId="4304"/>
    <cellStyle name="Normal 34 3 2" xfId="4305"/>
    <cellStyle name="Normal 34 3 2 2" xfId="4306"/>
    <cellStyle name="Normal 34 3 2 2 2" xfId="4307"/>
    <cellStyle name="Normal 34 3 2 2 3" xfId="4308"/>
    <cellStyle name="Normal 34 3 2 3" xfId="4309"/>
    <cellStyle name="Normal 34 3 2 4" xfId="4310"/>
    <cellStyle name="Normal 34 3 3" xfId="4311"/>
    <cellStyle name="Normal 34 3 3 2" xfId="4312"/>
    <cellStyle name="Normal 34 3 3 3" xfId="4313"/>
    <cellStyle name="Normal 34 3 4" xfId="4314"/>
    <cellStyle name="Normal 34 3 5" xfId="4315"/>
    <cellStyle name="Normal 34 4" xfId="4316"/>
    <cellStyle name="Normal 34 4 2" xfId="4317"/>
    <cellStyle name="Normal 34 4 2 2" xfId="4318"/>
    <cellStyle name="Normal 34 4 2 2 2" xfId="4319"/>
    <cellStyle name="Normal 34 4 2 2 3" xfId="4320"/>
    <cellStyle name="Normal 34 4 2 3" xfId="4321"/>
    <cellStyle name="Normal 34 4 2 4" xfId="4322"/>
    <cellStyle name="Normal 34 4 3" xfId="4323"/>
    <cellStyle name="Normal 34 4 3 2" xfId="4324"/>
    <cellStyle name="Normal 34 4 3 3" xfId="4325"/>
    <cellStyle name="Normal 34 4 4" xfId="4326"/>
    <cellStyle name="Normal 34 4 5" xfId="4327"/>
    <cellStyle name="Normal 34 5" xfId="4328"/>
    <cellStyle name="Normal 34 5 2" xfId="4329"/>
    <cellStyle name="Normal 34 5 2 2" xfId="4330"/>
    <cellStyle name="Normal 34 5 2 2 2" xfId="4331"/>
    <cellStyle name="Normal 34 5 2 2 3" xfId="4332"/>
    <cellStyle name="Normal 34 5 2 3" xfId="4333"/>
    <cellStyle name="Normal 34 5 2 4" xfId="4334"/>
    <cellStyle name="Normal 34 5 3" xfId="4335"/>
    <cellStyle name="Normal 34 5 3 2" xfId="4336"/>
    <cellStyle name="Normal 34 5 3 3" xfId="4337"/>
    <cellStyle name="Normal 34 5 4" xfId="4338"/>
    <cellStyle name="Normal 34 5 5" xfId="4339"/>
    <cellStyle name="Normal 34 6" xfId="4340"/>
    <cellStyle name="Normal 34 6 2" xfId="4341"/>
    <cellStyle name="Normal 34 6 2 2" xfId="4342"/>
    <cellStyle name="Normal 34 6 2 2 2" xfId="4343"/>
    <cellStyle name="Normal 34 6 2 2 3" xfId="4344"/>
    <cellStyle name="Normal 34 6 2 3" xfId="4345"/>
    <cellStyle name="Normal 34 6 2 4" xfId="4346"/>
    <cellStyle name="Normal 34 6 3" xfId="4347"/>
    <cellStyle name="Normal 34 6 3 2" xfId="4348"/>
    <cellStyle name="Normal 34 6 3 3" xfId="4349"/>
    <cellStyle name="Normal 34 6 4" xfId="4350"/>
    <cellStyle name="Normal 34 6 5" xfId="4351"/>
    <cellStyle name="Normal 34 7" xfId="4352"/>
    <cellStyle name="Normal 34 7 2" xfId="4353"/>
    <cellStyle name="Normal 34 7 2 2" xfId="4354"/>
    <cellStyle name="Normal 34 7 2 3" xfId="4355"/>
    <cellStyle name="Normal 34 7 3" xfId="4356"/>
    <cellStyle name="Normal 34 7 4" xfId="4357"/>
    <cellStyle name="Normal 34 8" xfId="4358"/>
    <cellStyle name="Normal 34 8 2" xfId="4359"/>
    <cellStyle name="Normal 34 9" xfId="4360"/>
    <cellStyle name="Normal 34 9 2" xfId="4361"/>
    <cellStyle name="Normal 34 9 3" xfId="4362"/>
    <cellStyle name="Normal 35" xfId="4363"/>
    <cellStyle name="Normal 35 10" xfId="4364"/>
    <cellStyle name="Normal 35 2" xfId="4365"/>
    <cellStyle name="Normal 35 2 2" xfId="4366"/>
    <cellStyle name="Normal 35 2 2 2" xfId="4367"/>
    <cellStyle name="Normal 35 2 2 2 2" xfId="4368"/>
    <cellStyle name="Normal 35 2 2 2 3" xfId="4369"/>
    <cellStyle name="Normal 35 2 2 3" xfId="4370"/>
    <cellStyle name="Normal 35 2 2 4" xfId="4371"/>
    <cellStyle name="Normal 35 2 3" xfId="4372"/>
    <cellStyle name="Normal 35 2 3 2" xfId="4373"/>
    <cellStyle name="Normal 35 2 3 3" xfId="4374"/>
    <cellStyle name="Normal 35 2 4" xfId="4375"/>
    <cellStyle name="Normal 35 2 5" xfId="4376"/>
    <cellStyle name="Normal 35 3" xfId="4377"/>
    <cellStyle name="Normal 35 3 2" xfId="4378"/>
    <cellStyle name="Normal 35 3 2 2" xfId="4379"/>
    <cellStyle name="Normal 35 3 2 2 2" xfId="4380"/>
    <cellStyle name="Normal 35 3 2 2 3" xfId="4381"/>
    <cellStyle name="Normal 35 3 2 3" xfId="4382"/>
    <cellStyle name="Normal 35 3 2 4" xfId="4383"/>
    <cellStyle name="Normal 35 3 3" xfId="4384"/>
    <cellStyle name="Normal 35 3 3 2" xfId="4385"/>
    <cellStyle name="Normal 35 3 3 3" xfId="4386"/>
    <cellStyle name="Normal 35 3 4" xfId="4387"/>
    <cellStyle name="Normal 35 3 5" xfId="4388"/>
    <cellStyle name="Normal 35 4" xfId="4389"/>
    <cellStyle name="Normal 35 4 2" xfId="4390"/>
    <cellStyle name="Normal 35 4 2 2" xfId="4391"/>
    <cellStyle name="Normal 35 4 2 2 2" xfId="4392"/>
    <cellStyle name="Normal 35 4 2 2 3" xfId="4393"/>
    <cellStyle name="Normal 35 4 2 3" xfId="4394"/>
    <cellStyle name="Normal 35 4 2 4" xfId="4395"/>
    <cellStyle name="Normal 35 4 3" xfId="4396"/>
    <cellStyle name="Normal 35 4 3 2" xfId="4397"/>
    <cellStyle name="Normal 35 4 3 3" xfId="4398"/>
    <cellStyle name="Normal 35 4 4" xfId="4399"/>
    <cellStyle name="Normal 35 4 5" xfId="4400"/>
    <cellStyle name="Normal 35 5" xfId="4401"/>
    <cellStyle name="Normal 35 5 2" xfId="4402"/>
    <cellStyle name="Normal 35 5 2 2" xfId="4403"/>
    <cellStyle name="Normal 35 5 2 2 2" xfId="4404"/>
    <cellStyle name="Normal 35 5 2 2 3" xfId="4405"/>
    <cellStyle name="Normal 35 5 2 3" xfId="4406"/>
    <cellStyle name="Normal 35 5 2 4" xfId="4407"/>
    <cellStyle name="Normal 35 5 3" xfId="4408"/>
    <cellStyle name="Normal 35 5 3 2" xfId="4409"/>
    <cellStyle name="Normal 35 5 3 3" xfId="4410"/>
    <cellStyle name="Normal 35 5 4" xfId="4411"/>
    <cellStyle name="Normal 35 5 5" xfId="4412"/>
    <cellStyle name="Normal 35 6" xfId="4413"/>
    <cellStyle name="Normal 35 6 2" xfId="4414"/>
    <cellStyle name="Normal 35 6 2 2" xfId="4415"/>
    <cellStyle name="Normal 35 6 2 2 2" xfId="4416"/>
    <cellStyle name="Normal 35 6 2 2 3" xfId="4417"/>
    <cellStyle name="Normal 35 6 2 3" xfId="4418"/>
    <cellStyle name="Normal 35 6 2 4" xfId="4419"/>
    <cellStyle name="Normal 35 6 3" xfId="4420"/>
    <cellStyle name="Normal 35 6 3 2" xfId="4421"/>
    <cellStyle name="Normal 35 6 3 3" xfId="4422"/>
    <cellStyle name="Normal 35 6 4" xfId="4423"/>
    <cellStyle name="Normal 35 6 5" xfId="4424"/>
    <cellStyle name="Normal 35 7" xfId="4425"/>
    <cellStyle name="Normal 35 7 2" xfId="4426"/>
    <cellStyle name="Normal 35 7 2 2" xfId="4427"/>
    <cellStyle name="Normal 35 7 2 3" xfId="4428"/>
    <cellStyle name="Normal 35 7 3" xfId="4429"/>
    <cellStyle name="Normal 35 7 4" xfId="4430"/>
    <cellStyle name="Normal 35 8" xfId="4431"/>
    <cellStyle name="Normal 35 8 2" xfId="4432"/>
    <cellStyle name="Normal 35 9" xfId="4433"/>
    <cellStyle name="Normal 35 9 2" xfId="4434"/>
    <cellStyle name="Normal 35 9 3" xfId="4435"/>
    <cellStyle name="Normal 36" xfId="131"/>
    <cellStyle name="Normal 36 10" xfId="4436"/>
    <cellStyle name="Normal 36 2" xfId="4437"/>
    <cellStyle name="Normal 36 2 2" xfId="4438"/>
    <cellStyle name="Normal 36 2 2 2" xfId="4439"/>
    <cellStyle name="Normal 36 2 2 2 2" xfId="4440"/>
    <cellStyle name="Normal 36 2 2 2 3" xfId="4441"/>
    <cellStyle name="Normal 36 2 2 3" xfId="4442"/>
    <cellStyle name="Normal 36 2 2 4" xfId="4443"/>
    <cellStyle name="Normal 36 2 3" xfId="4444"/>
    <cellStyle name="Normal 36 2 3 2" xfId="4445"/>
    <cellStyle name="Normal 36 2 3 3" xfId="4446"/>
    <cellStyle name="Normal 36 2 4" xfId="4447"/>
    <cellStyle name="Normal 36 2 5" xfId="4448"/>
    <cellStyle name="Normal 36 3" xfId="4449"/>
    <cellStyle name="Normal 36 3 2" xfId="4450"/>
    <cellStyle name="Normal 36 3 2 2" xfId="4451"/>
    <cellStyle name="Normal 36 3 2 2 2" xfId="4452"/>
    <cellStyle name="Normal 36 3 2 2 3" xfId="4453"/>
    <cellStyle name="Normal 36 3 2 3" xfId="4454"/>
    <cellStyle name="Normal 36 3 2 4" xfId="4455"/>
    <cellStyle name="Normal 36 3 3" xfId="4456"/>
    <cellStyle name="Normal 36 3 3 2" xfId="4457"/>
    <cellStyle name="Normal 36 3 3 3" xfId="4458"/>
    <cellStyle name="Normal 36 3 4" xfId="4459"/>
    <cellStyle name="Normal 36 3 5" xfId="4460"/>
    <cellStyle name="Normal 36 4" xfId="4461"/>
    <cellStyle name="Normal 36 4 2" xfId="4462"/>
    <cellStyle name="Normal 36 4 2 2" xfId="4463"/>
    <cellStyle name="Normal 36 4 2 2 2" xfId="4464"/>
    <cellStyle name="Normal 36 4 2 2 3" xfId="4465"/>
    <cellStyle name="Normal 36 4 2 3" xfId="4466"/>
    <cellStyle name="Normal 36 4 2 4" xfId="4467"/>
    <cellStyle name="Normal 36 4 3" xfId="4468"/>
    <cellStyle name="Normal 36 4 3 2" xfId="4469"/>
    <cellStyle name="Normal 36 4 3 3" xfId="4470"/>
    <cellStyle name="Normal 36 4 4" xfId="4471"/>
    <cellStyle name="Normal 36 4 5" xfId="4472"/>
    <cellStyle name="Normal 36 5" xfId="4473"/>
    <cellStyle name="Normal 36 5 2" xfId="4474"/>
    <cellStyle name="Normal 36 5 2 2" xfId="4475"/>
    <cellStyle name="Normal 36 5 2 2 2" xfId="4476"/>
    <cellStyle name="Normal 36 5 2 2 3" xfId="4477"/>
    <cellStyle name="Normal 36 5 2 3" xfId="4478"/>
    <cellStyle name="Normal 36 5 2 4" xfId="4479"/>
    <cellStyle name="Normal 36 5 3" xfId="4480"/>
    <cellStyle name="Normal 36 5 3 2" xfId="4481"/>
    <cellStyle name="Normal 36 5 3 3" xfId="4482"/>
    <cellStyle name="Normal 36 5 4" xfId="4483"/>
    <cellStyle name="Normal 36 5 5" xfId="4484"/>
    <cellStyle name="Normal 36 6" xfId="4485"/>
    <cellStyle name="Normal 36 6 2" xfId="4486"/>
    <cellStyle name="Normal 36 6 2 2" xfId="4487"/>
    <cellStyle name="Normal 36 6 2 2 2" xfId="4488"/>
    <cellStyle name="Normal 36 6 2 2 3" xfId="4489"/>
    <cellStyle name="Normal 36 6 2 3" xfId="4490"/>
    <cellStyle name="Normal 36 6 2 4" xfId="4491"/>
    <cellStyle name="Normal 36 6 3" xfId="4492"/>
    <cellStyle name="Normal 36 6 3 2" xfId="4493"/>
    <cellStyle name="Normal 36 6 3 3" xfId="4494"/>
    <cellStyle name="Normal 36 6 4" xfId="4495"/>
    <cellStyle name="Normal 36 6 5" xfId="4496"/>
    <cellStyle name="Normal 36 7" xfId="4497"/>
    <cellStyle name="Normal 36 7 2" xfId="4498"/>
    <cellStyle name="Normal 36 7 2 2" xfId="4499"/>
    <cellStyle name="Normal 36 7 2 3" xfId="4500"/>
    <cellStyle name="Normal 36 7 3" xfId="4501"/>
    <cellStyle name="Normal 36 7 4" xfId="4502"/>
    <cellStyle name="Normal 36 8" xfId="4503"/>
    <cellStyle name="Normal 36 8 2" xfId="4504"/>
    <cellStyle name="Normal 36 9" xfId="4505"/>
    <cellStyle name="Normal 36 9 2" xfId="4506"/>
    <cellStyle name="Normal 36 9 3" xfId="4507"/>
    <cellStyle name="Normal 37" xfId="4508"/>
    <cellStyle name="Normal 37 2" xfId="4509"/>
    <cellStyle name="Normal 37 2 2" xfId="4510"/>
    <cellStyle name="Normal 37 3" xfId="4511"/>
    <cellStyle name="Normal 37 3 2" xfId="4512"/>
    <cellStyle name="Normal 37 3 3" xfId="4513"/>
    <cellStyle name="Normal 37 4" xfId="4514"/>
    <cellStyle name="Normal 38" xfId="4515"/>
    <cellStyle name="Normal 38 2" xfId="4516"/>
    <cellStyle name="Normal 38 2 2" xfId="4517"/>
    <cellStyle name="Normal 38 3" xfId="4518"/>
    <cellStyle name="Normal 38 3 2" xfId="4519"/>
    <cellStyle name="Normal 38 3 3" xfId="4520"/>
    <cellStyle name="Normal 38 4" xfId="4521"/>
    <cellStyle name="Normal 39" xfId="4522"/>
    <cellStyle name="Normal 39 10" xfId="4523"/>
    <cellStyle name="Normal 39 2" xfId="140"/>
    <cellStyle name="Normal 39 2 2" xfId="4524"/>
    <cellStyle name="Normal 39 2 2 2" xfId="4525"/>
    <cellStyle name="Normal 39 2 2 2 2" xfId="4526"/>
    <cellStyle name="Normal 39 2 2 2 3" xfId="4527"/>
    <cellStyle name="Normal 39 2 2 3" xfId="4528"/>
    <cellStyle name="Normal 39 2 2 4" xfId="4529"/>
    <cellStyle name="Normal 39 2 3" xfId="4530"/>
    <cellStyle name="Normal 39 2 3 2" xfId="4531"/>
    <cellStyle name="Normal 39 2 3 3" xfId="4532"/>
    <cellStyle name="Normal 39 2 4" xfId="4533"/>
    <cellStyle name="Normal 39 2 5" xfId="4534"/>
    <cellStyle name="Normal 39 3" xfId="4535"/>
    <cellStyle name="Normal 39 3 2" xfId="4536"/>
    <cellStyle name="Normal 39 3 2 2" xfId="4537"/>
    <cellStyle name="Normal 39 3 2 2 2" xfId="4538"/>
    <cellStyle name="Normal 39 3 2 2 3" xfId="4539"/>
    <cellStyle name="Normal 39 3 2 3" xfId="4540"/>
    <cellStyle name="Normal 39 3 2 4" xfId="4541"/>
    <cellStyle name="Normal 39 3 3" xfId="4542"/>
    <cellStyle name="Normal 39 3 3 2" xfId="4543"/>
    <cellStyle name="Normal 39 3 3 3" xfId="4544"/>
    <cellStyle name="Normal 39 3 4" xfId="4545"/>
    <cellStyle name="Normal 39 3 5" xfId="4546"/>
    <cellStyle name="Normal 39 4" xfId="4547"/>
    <cellStyle name="Normal 39 4 2" xfId="4548"/>
    <cellStyle name="Normal 39 4 2 2" xfId="4549"/>
    <cellStyle name="Normal 39 4 2 2 2" xfId="4550"/>
    <cellStyle name="Normal 39 4 2 2 3" xfId="4551"/>
    <cellStyle name="Normal 39 4 2 3" xfId="4552"/>
    <cellStyle name="Normal 39 4 2 4" xfId="4553"/>
    <cellStyle name="Normal 39 4 3" xfId="4554"/>
    <cellStyle name="Normal 39 4 3 2" xfId="4555"/>
    <cellStyle name="Normal 39 4 3 3" xfId="4556"/>
    <cellStyle name="Normal 39 4 4" xfId="4557"/>
    <cellStyle name="Normal 39 4 5" xfId="4558"/>
    <cellStyle name="Normal 39 5" xfId="4559"/>
    <cellStyle name="Normal 39 5 2" xfId="4560"/>
    <cellStyle name="Normal 39 5 2 2" xfId="4561"/>
    <cellStyle name="Normal 39 5 2 2 2" xfId="4562"/>
    <cellStyle name="Normal 39 5 2 2 3" xfId="4563"/>
    <cellStyle name="Normal 39 5 2 3" xfId="4564"/>
    <cellStyle name="Normal 39 5 2 4" xfId="4565"/>
    <cellStyle name="Normal 39 5 3" xfId="4566"/>
    <cellStyle name="Normal 39 5 3 2" xfId="4567"/>
    <cellStyle name="Normal 39 5 3 3" xfId="4568"/>
    <cellStyle name="Normal 39 5 4" xfId="4569"/>
    <cellStyle name="Normal 39 5 5" xfId="4570"/>
    <cellStyle name="Normal 39 6" xfId="4571"/>
    <cellStyle name="Normal 39 6 2" xfId="4572"/>
    <cellStyle name="Normal 39 6 2 2" xfId="4573"/>
    <cellStyle name="Normal 39 6 2 2 2" xfId="4574"/>
    <cellStyle name="Normal 39 6 2 2 3" xfId="4575"/>
    <cellStyle name="Normal 39 6 2 3" xfId="4576"/>
    <cellStyle name="Normal 39 6 2 4" xfId="4577"/>
    <cellStyle name="Normal 39 6 3" xfId="4578"/>
    <cellStyle name="Normal 39 6 3 2" xfId="4579"/>
    <cellStyle name="Normal 39 6 3 3" xfId="4580"/>
    <cellStyle name="Normal 39 6 4" xfId="4581"/>
    <cellStyle name="Normal 39 6 5" xfId="4582"/>
    <cellStyle name="Normal 39 7" xfId="4583"/>
    <cellStyle name="Normal 39 7 2" xfId="4584"/>
    <cellStyle name="Normal 39 7 2 2" xfId="4585"/>
    <cellStyle name="Normal 39 7 2 3" xfId="4586"/>
    <cellStyle name="Normal 39 7 3" xfId="4587"/>
    <cellStyle name="Normal 39 7 4" xfId="4588"/>
    <cellStyle name="Normal 39 8" xfId="4589"/>
    <cellStyle name="Normal 39 8 2" xfId="4590"/>
    <cellStyle name="Normal 39 9" xfId="4591"/>
    <cellStyle name="Normal 39 9 2" xfId="4592"/>
    <cellStyle name="Normal 39 9 3" xfId="4593"/>
    <cellStyle name="Normal 4" xfId="90"/>
    <cellStyle name="Normal 4 10" xfId="11880"/>
    <cellStyle name="Normal 4 11" xfId="11881"/>
    <cellStyle name="Normal 4 11 4" xfId="11882"/>
    <cellStyle name="Normal 4 12" xfId="11883"/>
    <cellStyle name="Normal 4 13" xfId="11884"/>
    <cellStyle name="Normal 4 14" xfId="11885"/>
    <cellStyle name="Normal 4 15" xfId="11886"/>
    <cellStyle name="Normal 4 15 4" xfId="11887"/>
    <cellStyle name="Normal 4 16" xfId="11888"/>
    <cellStyle name="Normal 4 17" xfId="11889"/>
    <cellStyle name="Normal 4 18" xfId="11890"/>
    <cellStyle name="Normal 4 19" xfId="11891"/>
    <cellStyle name="Normal 4 2" xfId="91"/>
    <cellStyle name="Normal 4 2 2" xfId="205"/>
    <cellStyle name="Normal 4 2 2 2" xfId="4594"/>
    <cellStyle name="Normal 4 2 3" xfId="4595"/>
    <cellStyle name="Normal 4 2 3 2" xfId="4596"/>
    <cellStyle name="Normal 4 2 4" xfId="4597"/>
    <cellStyle name="Normal 4 2 5" xfId="9139"/>
    <cellStyle name="Normal 4 20" xfId="11892"/>
    <cellStyle name="Normal 4 21" xfId="11893"/>
    <cellStyle name="Normal 4 22" xfId="11894"/>
    <cellStyle name="Normal 4 23" xfId="11895"/>
    <cellStyle name="Normal 4 24" xfId="11896"/>
    <cellStyle name="Normal 4 25" xfId="11897"/>
    <cellStyle name="Normal 4 26" xfId="11898"/>
    <cellStyle name="Normal 4 27" xfId="11899"/>
    <cellStyle name="Normal 4 28" xfId="11900"/>
    <cellStyle name="Normal 4 29" xfId="11901"/>
    <cellStyle name="Normal 4 3" xfId="206"/>
    <cellStyle name="Normal 4 3 2" xfId="4598"/>
    <cellStyle name="Normal 4 3 2 2" xfId="4599"/>
    <cellStyle name="Normal 4 3 3" xfId="4600"/>
    <cellStyle name="Normal 4 3 3 2" xfId="4601"/>
    <cellStyle name="Normal 4 3 4" xfId="4602"/>
    <cellStyle name="Normal 4 30" xfId="11902"/>
    <cellStyle name="Normal 4 31" xfId="11903"/>
    <cellStyle name="Normal 4 32" xfId="11904"/>
    <cellStyle name="Normal 4 33" xfId="11905"/>
    <cellStyle name="Normal 4 34" xfId="11906"/>
    <cellStyle name="Normal 4 35" xfId="11907"/>
    <cellStyle name="Normal 4 36" xfId="11908"/>
    <cellStyle name="Normal 4 37" xfId="11909"/>
    <cellStyle name="Normal 4 38" xfId="11910"/>
    <cellStyle name="Normal 4 39" xfId="11911"/>
    <cellStyle name="Normal 4 4" xfId="4603"/>
    <cellStyle name="Normal 4 4 2" xfId="4604"/>
    <cellStyle name="Normal 4 4 2 2" xfId="4605"/>
    <cellStyle name="Normal 4 4 2 2 2" xfId="4606"/>
    <cellStyle name="Normal 4 4 2 2 3" xfId="4607"/>
    <cellStyle name="Normal 4 4 2 3" xfId="4608"/>
    <cellStyle name="Normal 4 4 2 4" xfId="4609"/>
    <cellStyle name="Normal 4 4 3" xfId="4610"/>
    <cellStyle name="Normal 4 4 3 2" xfId="4611"/>
    <cellStyle name="Normal 4 4 4" xfId="4612"/>
    <cellStyle name="Normal 4 4 4 2" xfId="4613"/>
    <cellStyle name="Normal 4 4 4 3" xfId="4614"/>
    <cellStyle name="Normal 4 4 5" xfId="4615"/>
    <cellStyle name="Normal 4 40" xfId="11912"/>
    <cellStyle name="Normal 4 41" xfId="11913"/>
    <cellStyle name="Normal 4 42" xfId="11914"/>
    <cellStyle name="Normal 4 43" xfId="11915"/>
    <cellStyle name="Normal 4 44" xfId="11916"/>
    <cellStyle name="Normal 4 45" xfId="11917"/>
    <cellStyle name="Normal 4 46" xfId="11918"/>
    <cellStyle name="Normal 4 47" xfId="11919"/>
    <cellStyle name="Normal 4 48" xfId="11920"/>
    <cellStyle name="Normal 4 49" xfId="11921"/>
    <cellStyle name="Normal 4 5" xfId="4616"/>
    <cellStyle name="Normal 4 5 2" xfId="4617"/>
    <cellStyle name="Normal 4 5 2 2" xfId="4618"/>
    <cellStyle name="Normal 4 5 3" xfId="4619"/>
    <cellStyle name="Normal 4 5 3 2" xfId="4620"/>
    <cellStyle name="Normal 4 5 3 3" xfId="4621"/>
    <cellStyle name="Normal 4 5 4" xfId="4622"/>
    <cellStyle name="Normal 4 6" xfId="4623"/>
    <cellStyle name="Normal 4 6 2" xfId="4624"/>
    <cellStyle name="Normal 4 6 2 2" xfId="4625"/>
    <cellStyle name="Normal 4 6 3" xfId="4626"/>
    <cellStyle name="Normal 4 6 3 2" xfId="4627"/>
    <cellStyle name="Normal 4 6 3 3" xfId="4628"/>
    <cellStyle name="Normal 4 6 4" xfId="4629"/>
    <cellStyle name="Normal 4 7" xfId="4630"/>
    <cellStyle name="Normal 4 7 2" xfId="4631"/>
    <cellStyle name="Normal 4 7 4" xfId="11922"/>
    <cellStyle name="Normal 4 8" xfId="4632"/>
    <cellStyle name="Normal 4 8 2" xfId="4633"/>
    <cellStyle name="Normal 4 9" xfId="4634"/>
    <cellStyle name="Normal 4 9 4" xfId="11923"/>
    <cellStyle name="Normal 40" xfId="4635"/>
    <cellStyle name="Normal 40 10" xfId="4636"/>
    <cellStyle name="Normal 40 2" xfId="4637"/>
    <cellStyle name="Normal 40 2 2" xfId="4638"/>
    <cellStyle name="Normal 40 2 2 2" xfId="4639"/>
    <cellStyle name="Normal 40 2 2 2 2" xfId="4640"/>
    <cellStyle name="Normal 40 2 2 2 3" xfId="4641"/>
    <cellStyle name="Normal 40 2 2 3" xfId="4642"/>
    <cellStyle name="Normal 40 2 2 4" xfId="4643"/>
    <cellStyle name="Normal 40 2 3" xfId="4644"/>
    <cellStyle name="Normal 40 2 3 2" xfId="4645"/>
    <cellStyle name="Normal 40 2 3 3" xfId="4646"/>
    <cellStyle name="Normal 40 2 4" xfId="4647"/>
    <cellStyle name="Normal 40 2 5" xfId="4648"/>
    <cellStyle name="Normal 40 3" xfId="4649"/>
    <cellStyle name="Normal 40 3 2" xfId="4650"/>
    <cellStyle name="Normal 40 3 2 2" xfId="4651"/>
    <cellStyle name="Normal 40 3 2 2 2" xfId="4652"/>
    <cellStyle name="Normal 40 3 2 2 3" xfId="4653"/>
    <cellStyle name="Normal 40 3 2 3" xfId="4654"/>
    <cellStyle name="Normal 40 3 2 4" xfId="4655"/>
    <cellStyle name="Normal 40 3 3" xfId="4656"/>
    <cellStyle name="Normal 40 3 3 2" xfId="4657"/>
    <cellStyle name="Normal 40 3 3 3" xfId="4658"/>
    <cellStyle name="Normal 40 3 4" xfId="4659"/>
    <cellStyle name="Normal 40 3 5" xfId="4660"/>
    <cellStyle name="Normal 40 4" xfId="4661"/>
    <cellStyle name="Normal 40 4 2" xfId="4662"/>
    <cellStyle name="Normal 40 4 2 2" xfId="4663"/>
    <cellStyle name="Normal 40 4 2 2 2" xfId="4664"/>
    <cellStyle name="Normal 40 4 2 2 3" xfId="4665"/>
    <cellStyle name="Normal 40 4 2 3" xfId="4666"/>
    <cellStyle name="Normal 40 4 2 4" xfId="4667"/>
    <cellStyle name="Normal 40 4 3" xfId="4668"/>
    <cellStyle name="Normal 40 4 3 2" xfId="4669"/>
    <cellStyle name="Normal 40 4 3 3" xfId="4670"/>
    <cellStyle name="Normal 40 4 4" xfId="4671"/>
    <cellStyle name="Normal 40 4 5" xfId="4672"/>
    <cellStyle name="Normal 40 5" xfId="4673"/>
    <cellStyle name="Normal 40 5 2" xfId="4674"/>
    <cellStyle name="Normal 40 5 2 2" xfId="4675"/>
    <cellStyle name="Normal 40 5 2 2 2" xfId="4676"/>
    <cellStyle name="Normal 40 5 2 2 3" xfId="4677"/>
    <cellStyle name="Normal 40 5 2 3" xfId="4678"/>
    <cellStyle name="Normal 40 5 2 4" xfId="4679"/>
    <cellStyle name="Normal 40 5 3" xfId="4680"/>
    <cellStyle name="Normal 40 5 3 2" xfId="4681"/>
    <cellStyle name="Normal 40 5 3 3" xfId="4682"/>
    <cellStyle name="Normal 40 5 4" xfId="4683"/>
    <cellStyle name="Normal 40 5 5" xfId="4684"/>
    <cellStyle name="Normal 40 6" xfId="4685"/>
    <cellStyle name="Normal 40 6 2" xfId="4686"/>
    <cellStyle name="Normal 40 6 2 2" xfId="4687"/>
    <cellStyle name="Normal 40 6 2 2 2" xfId="4688"/>
    <cellStyle name="Normal 40 6 2 2 3" xfId="4689"/>
    <cellStyle name="Normal 40 6 2 3" xfId="4690"/>
    <cellStyle name="Normal 40 6 2 4" xfId="4691"/>
    <cellStyle name="Normal 40 6 3" xfId="4692"/>
    <cellStyle name="Normal 40 6 3 2" xfId="4693"/>
    <cellStyle name="Normal 40 6 3 3" xfId="4694"/>
    <cellStyle name="Normal 40 6 4" xfId="4695"/>
    <cellStyle name="Normal 40 6 5" xfId="4696"/>
    <cellStyle name="Normal 40 7" xfId="4697"/>
    <cellStyle name="Normal 40 7 2" xfId="4698"/>
    <cellStyle name="Normal 40 7 2 2" xfId="4699"/>
    <cellStyle name="Normal 40 7 2 3" xfId="4700"/>
    <cellStyle name="Normal 40 7 3" xfId="4701"/>
    <cellStyle name="Normal 40 7 4" xfId="4702"/>
    <cellStyle name="Normal 40 8" xfId="4703"/>
    <cellStyle name="Normal 40 8 2" xfId="4704"/>
    <cellStyle name="Normal 40 9" xfId="4705"/>
    <cellStyle name="Normal 40 9 2" xfId="4706"/>
    <cellStyle name="Normal 40 9 3" xfId="4707"/>
    <cellStyle name="Normal 41" xfId="4708"/>
    <cellStyle name="Normal 41 10" xfId="4709"/>
    <cellStyle name="Normal 41 2" xfId="143"/>
    <cellStyle name="Normal 41 2 2" xfId="4710"/>
    <cellStyle name="Normal 41 2 2 2" xfId="4711"/>
    <cellStyle name="Normal 41 2 2 2 2" xfId="4712"/>
    <cellStyle name="Normal 41 2 2 2 3" xfId="4713"/>
    <cellStyle name="Normal 41 2 2 3" xfId="4714"/>
    <cellStyle name="Normal 41 2 2 4" xfId="4715"/>
    <cellStyle name="Normal 41 2 3" xfId="4716"/>
    <cellStyle name="Normal 41 2 3 2" xfId="4717"/>
    <cellStyle name="Normal 41 2 3 3" xfId="4718"/>
    <cellStyle name="Normal 41 2 4" xfId="4719"/>
    <cellStyle name="Normal 41 2 5" xfId="4720"/>
    <cellStyle name="Normal 41 3" xfId="4721"/>
    <cellStyle name="Normal 41 3 2" xfId="4722"/>
    <cellStyle name="Normal 41 3 2 2" xfId="4723"/>
    <cellStyle name="Normal 41 3 2 2 2" xfId="4724"/>
    <cellStyle name="Normal 41 3 2 2 3" xfId="4725"/>
    <cellStyle name="Normal 41 3 2 3" xfId="4726"/>
    <cellStyle name="Normal 41 3 2 4" xfId="4727"/>
    <cellStyle name="Normal 41 3 3" xfId="4728"/>
    <cellStyle name="Normal 41 3 3 2" xfId="4729"/>
    <cellStyle name="Normal 41 3 3 3" xfId="4730"/>
    <cellStyle name="Normal 41 3 4" xfId="4731"/>
    <cellStyle name="Normal 41 3 5" xfId="4732"/>
    <cellStyle name="Normal 41 4" xfId="4733"/>
    <cellStyle name="Normal 41 4 2" xfId="4734"/>
    <cellStyle name="Normal 41 4 2 2" xfId="4735"/>
    <cellStyle name="Normal 41 4 2 2 2" xfId="4736"/>
    <cellStyle name="Normal 41 4 2 2 3" xfId="4737"/>
    <cellStyle name="Normal 41 4 2 3" xfId="4738"/>
    <cellStyle name="Normal 41 4 2 4" xfId="4739"/>
    <cellStyle name="Normal 41 4 3" xfId="4740"/>
    <cellStyle name="Normal 41 4 3 2" xfId="4741"/>
    <cellStyle name="Normal 41 4 3 3" xfId="4742"/>
    <cellStyle name="Normal 41 4 4" xfId="4743"/>
    <cellStyle name="Normal 41 4 5" xfId="4744"/>
    <cellStyle name="Normal 41 5" xfId="4745"/>
    <cellStyle name="Normal 41 5 2" xfId="4746"/>
    <cellStyle name="Normal 41 5 2 2" xfId="4747"/>
    <cellStyle name="Normal 41 5 2 2 2" xfId="4748"/>
    <cellStyle name="Normal 41 5 2 2 3" xfId="4749"/>
    <cellStyle name="Normal 41 5 2 3" xfId="4750"/>
    <cellStyle name="Normal 41 5 2 4" xfId="4751"/>
    <cellStyle name="Normal 41 5 3" xfId="4752"/>
    <cellStyle name="Normal 41 5 3 2" xfId="4753"/>
    <cellStyle name="Normal 41 5 3 3" xfId="4754"/>
    <cellStyle name="Normal 41 5 4" xfId="4755"/>
    <cellStyle name="Normal 41 5 5" xfId="4756"/>
    <cellStyle name="Normal 41 6" xfId="4757"/>
    <cellStyle name="Normal 41 6 2" xfId="4758"/>
    <cellStyle name="Normal 41 6 2 2" xfId="4759"/>
    <cellStyle name="Normal 41 6 2 2 2" xfId="4760"/>
    <cellStyle name="Normal 41 6 2 2 3" xfId="4761"/>
    <cellStyle name="Normal 41 6 2 3" xfId="4762"/>
    <cellStyle name="Normal 41 6 2 4" xfId="4763"/>
    <cellStyle name="Normal 41 6 3" xfId="4764"/>
    <cellStyle name="Normal 41 6 3 2" xfId="4765"/>
    <cellStyle name="Normal 41 6 3 3" xfId="4766"/>
    <cellStyle name="Normal 41 6 4" xfId="4767"/>
    <cellStyle name="Normal 41 6 5" xfId="4768"/>
    <cellStyle name="Normal 41 7" xfId="4769"/>
    <cellStyle name="Normal 41 7 2" xfId="4770"/>
    <cellStyle name="Normal 41 7 2 2" xfId="4771"/>
    <cellStyle name="Normal 41 7 2 3" xfId="4772"/>
    <cellStyle name="Normal 41 7 3" xfId="4773"/>
    <cellStyle name="Normal 41 7 4" xfId="4774"/>
    <cellStyle name="Normal 41 8" xfId="4775"/>
    <cellStyle name="Normal 41 8 2" xfId="4776"/>
    <cellStyle name="Normal 41 9" xfId="4777"/>
    <cellStyle name="Normal 41 9 2" xfId="4778"/>
    <cellStyle name="Normal 41 9 3" xfId="4779"/>
    <cellStyle name="Normal 42" xfId="4780"/>
    <cellStyle name="Normal 42 10" xfId="4781"/>
    <cellStyle name="Normal 42 2" xfId="4782"/>
    <cellStyle name="Normal 42 2 2" xfId="4783"/>
    <cellStyle name="Normal 42 2 2 2" xfId="4784"/>
    <cellStyle name="Normal 42 2 2 2 2" xfId="4785"/>
    <cellStyle name="Normal 42 2 2 2 3" xfId="4786"/>
    <cellStyle name="Normal 42 2 2 3" xfId="4787"/>
    <cellStyle name="Normal 42 2 2 4" xfId="4788"/>
    <cellStyle name="Normal 42 2 3" xfId="4789"/>
    <cellStyle name="Normal 42 2 3 2" xfId="4790"/>
    <cellStyle name="Normal 42 2 3 3" xfId="4791"/>
    <cellStyle name="Normal 42 2 4" xfId="4792"/>
    <cellStyle name="Normal 42 2 5" xfId="4793"/>
    <cellStyle name="Normal 42 3" xfId="4794"/>
    <cellStyle name="Normal 42 3 2" xfId="4795"/>
    <cellStyle name="Normal 42 3 2 2" xfId="4796"/>
    <cellStyle name="Normal 42 3 2 2 2" xfId="4797"/>
    <cellStyle name="Normal 42 3 2 2 3" xfId="4798"/>
    <cellStyle name="Normal 42 3 2 3" xfId="4799"/>
    <cellStyle name="Normal 42 3 2 4" xfId="4800"/>
    <cellStyle name="Normal 42 3 3" xfId="4801"/>
    <cellStyle name="Normal 42 3 3 2" xfId="4802"/>
    <cellStyle name="Normal 42 3 3 3" xfId="4803"/>
    <cellStyle name="Normal 42 3 4" xfId="4804"/>
    <cellStyle name="Normal 42 3 5" xfId="4805"/>
    <cellStyle name="Normal 42 4" xfId="4806"/>
    <cellStyle name="Normal 42 4 2" xfId="4807"/>
    <cellStyle name="Normal 42 4 2 2" xfId="4808"/>
    <cellStyle name="Normal 42 4 2 2 2" xfId="4809"/>
    <cellStyle name="Normal 42 4 2 2 3" xfId="4810"/>
    <cellStyle name="Normal 42 4 2 3" xfId="4811"/>
    <cellStyle name="Normal 42 4 2 4" xfId="4812"/>
    <cellStyle name="Normal 42 4 3" xfId="4813"/>
    <cellStyle name="Normal 42 4 3 2" xfId="4814"/>
    <cellStyle name="Normal 42 4 3 3" xfId="4815"/>
    <cellStyle name="Normal 42 4 4" xfId="4816"/>
    <cellStyle name="Normal 42 4 5" xfId="4817"/>
    <cellStyle name="Normal 42 5" xfId="4818"/>
    <cellStyle name="Normal 42 5 2" xfId="4819"/>
    <cellStyle name="Normal 42 5 2 2" xfId="4820"/>
    <cellStyle name="Normal 42 5 2 2 2" xfId="4821"/>
    <cellStyle name="Normal 42 5 2 2 3" xfId="4822"/>
    <cellStyle name="Normal 42 5 2 3" xfId="4823"/>
    <cellStyle name="Normal 42 5 2 4" xfId="4824"/>
    <cellStyle name="Normal 42 5 3" xfId="4825"/>
    <cellStyle name="Normal 42 5 3 2" xfId="4826"/>
    <cellStyle name="Normal 42 5 3 3" xfId="4827"/>
    <cellStyle name="Normal 42 5 4" xfId="4828"/>
    <cellStyle name="Normal 42 5 5" xfId="4829"/>
    <cellStyle name="Normal 42 6" xfId="4830"/>
    <cellStyle name="Normal 42 6 2" xfId="4831"/>
    <cellStyle name="Normal 42 6 2 2" xfId="4832"/>
    <cellStyle name="Normal 42 6 2 2 2" xfId="4833"/>
    <cellStyle name="Normal 42 6 2 2 3" xfId="4834"/>
    <cellStyle name="Normal 42 6 2 3" xfId="4835"/>
    <cellStyle name="Normal 42 6 2 4" xfId="4836"/>
    <cellStyle name="Normal 42 6 3" xfId="4837"/>
    <cellStyle name="Normal 42 6 3 2" xfId="4838"/>
    <cellStyle name="Normal 42 6 3 3" xfId="4839"/>
    <cellStyle name="Normal 42 6 4" xfId="4840"/>
    <cellStyle name="Normal 42 6 5" xfId="4841"/>
    <cellStyle name="Normal 42 7" xfId="4842"/>
    <cellStyle name="Normal 42 7 2" xfId="4843"/>
    <cellStyle name="Normal 42 7 2 2" xfId="4844"/>
    <cellStyle name="Normal 42 7 2 3" xfId="4845"/>
    <cellStyle name="Normal 42 7 3" xfId="4846"/>
    <cellStyle name="Normal 42 7 4" xfId="4847"/>
    <cellStyle name="Normal 42 8" xfId="4848"/>
    <cellStyle name="Normal 42 8 2" xfId="4849"/>
    <cellStyle name="Normal 42 9" xfId="4850"/>
    <cellStyle name="Normal 42 9 2" xfId="4851"/>
    <cellStyle name="Normal 42 9 3" xfId="4852"/>
    <cellStyle name="Normal 43" xfId="4853"/>
    <cellStyle name="Normal 43 10" xfId="4854"/>
    <cellStyle name="Normal 43 2" xfId="4855"/>
    <cellStyle name="Normal 43 2 2" xfId="4856"/>
    <cellStyle name="Normal 43 2 2 2" xfId="4857"/>
    <cellStyle name="Normal 43 2 2 2 2" xfId="4858"/>
    <cellStyle name="Normal 43 2 2 2 3" xfId="4859"/>
    <cellStyle name="Normal 43 2 2 3" xfId="4860"/>
    <cellStyle name="Normal 43 2 2 4" xfId="4861"/>
    <cellStyle name="Normal 43 2 3" xfId="4862"/>
    <cellStyle name="Normal 43 2 3 2" xfId="4863"/>
    <cellStyle name="Normal 43 2 3 3" xfId="4864"/>
    <cellStyle name="Normal 43 2 4" xfId="4865"/>
    <cellStyle name="Normal 43 2 5" xfId="4866"/>
    <cellStyle name="Normal 43 3" xfId="4867"/>
    <cellStyle name="Normal 43 3 2" xfId="4868"/>
    <cellStyle name="Normal 43 3 2 2" xfId="4869"/>
    <cellStyle name="Normal 43 3 2 2 2" xfId="4870"/>
    <cellStyle name="Normal 43 3 2 2 3" xfId="4871"/>
    <cellStyle name="Normal 43 3 2 3" xfId="4872"/>
    <cellStyle name="Normal 43 3 2 4" xfId="4873"/>
    <cellStyle name="Normal 43 3 3" xfId="4874"/>
    <cellStyle name="Normal 43 3 3 2" xfId="4875"/>
    <cellStyle name="Normal 43 3 3 3" xfId="4876"/>
    <cellStyle name="Normal 43 3 4" xfId="4877"/>
    <cellStyle name="Normal 43 3 5" xfId="4878"/>
    <cellStyle name="Normal 43 4" xfId="4879"/>
    <cellStyle name="Normal 43 4 2" xfId="4880"/>
    <cellStyle name="Normal 43 4 2 2" xfId="4881"/>
    <cellStyle name="Normal 43 4 2 2 2" xfId="4882"/>
    <cellStyle name="Normal 43 4 2 2 3" xfId="4883"/>
    <cellStyle name="Normal 43 4 2 3" xfId="4884"/>
    <cellStyle name="Normal 43 4 2 4" xfId="4885"/>
    <cellStyle name="Normal 43 4 3" xfId="4886"/>
    <cellStyle name="Normal 43 4 3 2" xfId="4887"/>
    <cellStyle name="Normal 43 4 3 3" xfId="4888"/>
    <cellStyle name="Normal 43 4 4" xfId="4889"/>
    <cellStyle name="Normal 43 4 5" xfId="4890"/>
    <cellStyle name="Normal 43 5" xfId="4891"/>
    <cellStyle name="Normal 43 5 2" xfId="4892"/>
    <cellStyle name="Normal 43 5 2 2" xfId="4893"/>
    <cellStyle name="Normal 43 5 2 2 2" xfId="4894"/>
    <cellStyle name="Normal 43 5 2 2 3" xfId="4895"/>
    <cellStyle name="Normal 43 5 2 3" xfId="4896"/>
    <cellStyle name="Normal 43 5 2 4" xfId="4897"/>
    <cellStyle name="Normal 43 5 3" xfId="4898"/>
    <cellStyle name="Normal 43 5 3 2" xfId="4899"/>
    <cellStyle name="Normal 43 5 3 3" xfId="4900"/>
    <cellStyle name="Normal 43 5 4" xfId="4901"/>
    <cellStyle name="Normal 43 5 5" xfId="4902"/>
    <cellStyle name="Normal 43 6" xfId="4903"/>
    <cellStyle name="Normal 43 6 2" xfId="4904"/>
    <cellStyle name="Normal 43 6 2 2" xfId="4905"/>
    <cellStyle name="Normal 43 6 2 2 2" xfId="4906"/>
    <cellStyle name="Normal 43 6 2 2 3" xfId="4907"/>
    <cellStyle name="Normal 43 6 2 3" xfId="4908"/>
    <cellStyle name="Normal 43 6 2 4" xfId="4909"/>
    <cellStyle name="Normal 43 6 3" xfId="4910"/>
    <cellStyle name="Normal 43 6 3 2" xfId="4911"/>
    <cellStyle name="Normal 43 6 3 3" xfId="4912"/>
    <cellStyle name="Normal 43 6 4" xfId="4913"/>
    <cellStyle name="Normal 43 6 5" xfId="4914"/>
    <cellStyle name="Normal 43 7" xfId="4915"/>
    <cellStyle name="Normal 43 7 2" xfId="4916"/>
    <cellStyle name="Normal 43 7 2 2" xfId="4917"/>
    <cellStyle name="Normal 43 7 2 3" xfId="4918"/>
    <cellStyle name="Normal 43 7 3" xfId="4919"/>
    <cellStyle name="Normal 43 7 4" xfId="4920"/>
    <cellStyle name="Normal 43 8" xfId="4921"/>
    <cellStyle name="Normal 43 8 2" xfId="4922"/>
    <cellStyle name="Normal 43 9" xfId="4923"/>
    <cellStyle name="Normal 43 9 2" xfId="4924"/>
    <cellStyle name="Normal 43 9 3" xfId="4925"/>
    <cellStyle name="Normal 44" xfId="4926"/>
    <cellStyle name="Normal 44 10" xfId="4927"/>
    <cellStyle name="Normal 44 2" xfId="133"/>
    <cellStyle name="Normal 44 2 2" xfId="4928"/>
    <cellStyle name="Normal 44 2 2 2" xfId="4929"/>
    <cellStyle name="Normal 44 2 2 2 2" xfId="4930"/>
    <cellStyle name="Normal 44 2 2 2 3" xfId="4931"/>
    <cellStyle name="Normal 44 2 2 3" xfId="4932"/>
    <cellStyle name="Normal 44 2 2 4" xfId="4933"/>
    <cellStyle name="Normal 44 2 3" xfId="4934"/>
    <cellStyle name="Normal 44 2 3 2" xfId="4935"/>
    <cellStyle name="Normal 44 2 3 3" xfId="4936"/>
    <cellStyle name="Normal 44 2 4" xfId="4937"/>
    <cellStyle name="Normal 44 2 5" xfId="4938"/>
    <cellStyle name="Normal 44 3" xfId="4939"/>
    <cellStyle name="Normal 44 3 2" xfId="4940"/>
    <cellStyle name="Normal 44 3 2 2" xfId="4941"/>
    <cellStyle name="Normal 44 3 2 2 2" xfId="4942"/>
    <cellStyle name="Normal 44 3 2 2 3" xfId="4943"/>
    <cellStyle name="Normal 44 3 2 3" xfId="4944"/>
    <cellStyle name="Normal 44 3 2 4" xfId="4945"/>
    <cellStyle name="Normal 44 3 3" xfId="4946"/>
    <cellStyle name="Normal 44 3 3 2" xfId="4947"/>
    <cellStyle name="Normal 44 3 3 3" xfId="4948"/>
    <cellStyle name="Normal 44 3 4" xfId="4949"/>
    <cellStyle name="Normal 44 3 5" xfId="4950"/>
    <cellStyle name="Normal 44 4" xfId="4951"/>
    <cellStyle name="Normal 44 4 2" xfId="4952"/>
    <cellStyle name="Normal 44 4 2 2" xfId="4953"/>
    <cellStyle name="Normal 44 4 2 2 2" xfId="4954"/>
    <cellStyle name="Normal 44 4 2 2 3" xfId="4955"/>
    <cellStyle name="Normal 44 4 2 3" xfId="4956"/>
    <cellStyle name="Normal 44 4 2 4" xfId="4957"/>
    <cellStyle name="Normal 44 4 3" xfId="4958"/>
    <cellStyle name="Normal 44 4 3 2" xfId="4959"/>
    <cellStyle name="Normal 44 4 3 3" xfId="4960"/>
    <cellStyle name="Normal 44 4 4" xfId="4961"/>
    <cellStyle name="Normal 44 4 5" xfId="4962"/>
    <cellStyle name="Normal 44 5" xfId="4963"/>
    <cellStyle name="Normal 44 5 2" xfId="4964"/>
    <cellStyle name="Normal 44 5 2 2" xfId="4965"/>
    <cellStyle name="Normal 44 5 2 2 2" xfId="4966"/>
    <cellStyle name="Normal 44 5 2 2 3" xfId="4967"/>
    <cellStyle name="Normal 44 5 2 3" xfId="4968"/>
    <cellStyle name="Normal 44 5 2 4" xfId="4969"/>
    <cellStyle name="Normal 44 5 3" xfId="4970"/>
    <cellStyle name="Normal 44 5 3 2" xfId="4971"/>
    <cellStyle name="Normal 44 5 3 3" xfId="4972"/>
    <cellStyle name="Normal 44 5 4" xfId="4973"/>
    <cellStyle name="Normal 44 5 5" xfId="4974"/>
    <cellStyle name="Normal 44 6" xfId="4975"/>
    <cellStyle name="Normal 44 6 2" xfId="4976"/>
    <cellStyle name="Normal 44 6 2 2" xfId="4977"/>
    <cellStyle name="Normal 44 6 2 2 2" xfId="4978"/>
    <cellStyle name="Normal 44 6 2 2 3" xfId="4979"/>
    <cellStyle name="Normal 44 6 2 3" xfId="4980"/>
    <cellStyle name="Normal 44 6 2 4" xfId="4981"/>
    <cellStyle name="Normal 44 6 3" xfId="4982"/>
    <cellStyle name="Normal 44 6 3 2" xfId="4983"/>
    <cellStyle name="Normal 44 6 3 3" xfId="4984"/>
    <cellStyle name="Normal 44 6 4" xfId="4985"/>
    <cellStyle name="Normal 44 6 5" xfId="4986"/>
    <cellStyle name="Normal 44 7" xfId="4987"/>
    <cellStyle name="Normal 44 7 2" xfId="4988"/>
    <cellStyle name="Normal 44 7 2 2" xfId="4989"/>
    <cellStyle name="Normal 44 7 2 3" xfId="4990"/>
    <cellStyle name="Normal 44 7 3" xfId="4991"/>
    <cellStyle name="Normal 44 7 4" xfId="4992"/>
    <cellStyle name="Normal 44 8" xfId="4993"/>
    <cellStyle name="Normal 44 8 2" xfId="4994"/>
    <cellStyle name="Normal 44 9" xfId="4995"/>
    <cellStyle name="Normal 44 9 2" xfId="4996"/>
    <cellStyle name="Normal 44 9 3" xfId="4997"/>
    <cellStyle name="Normal 45" xfId="4998"/>
    <cellStyle name="Normal 45 10" xfId="4999"/>
    <cellStyle name="Normal 45 2" xfId="5000"/>
    <cellStyle name="Normal 45 2 2" xfId="5001"/>
    <cellStyle name="Normal 45 2 2 2" xfId="5002"/>
    <cellStyle name="Normal 45 2 2 2 2" xfId="5003"/>
    <cellStyle name="Normal 45 2 2 2 3" xfId="5004"/>
    <cellStyle name="Normal 45 2 2 3" xfId="5005"/>
    <cellStyle name="Normal 45 2 2 4" xfId="5006"/>
    <cellStyle name="Normal 45 2 3" xfId="5007"/>
    <cellStyle name="Normal 45 2 3 2" xfId="5008"/>
    <cellStyle name="Normal 45 2 3 3" xfId="5009"/>
    <cellStyle name="Normal 45 2 4" xfId="5010"/>
    <cellStyle name="Normal 45 2 5" xfId="5011"/>
    <cellStyle name="Normal 45 3" xfId="5012"/>
    <cellStyle name="Normal 45 3 2" xfId="5013"/>
    <cellStyle name="Normal 45 3 2 2" xfId="5014"/>
    <cellStyle name="Normal 45 3 2 2 2" xfId="5015"/>
    <cellStyle name="Normal 45 3 2 2 3" xfId="5016"/>
    <cellStyle name="Normal 45 3 2 3" xfId="5017"/>
    <cellStyle name="Normal 45 3 2 4" xfId="5018"/>
    <cellStyle name="Normal 45 3 3" xfId="5019"/>
    <cellStyle name="Normal 45 3 3 2" xfId="5020"/>
    <cellStyle name="Normal 45 3 3 3" xfId="5021"/>
    <cellStyle name="Normal 45 3 4" xfId="5022"/>
    <cellStyle name="Normal 45 3 5" xfId="5023"/>
    <cellStyle name="Normal 45 4" xfId="5024"/>
    <cellStyle name="Normal 45 4 2" xfId="5025"/>
    <cellStyle name="Normal 45 4 2 2" xfId="5026"/>
    <cellStyle name="Normal 45 4 2 2 2" xfId="5027"/>
    <cellStyle name="Normal 45 4 2 2 3" xfId="5028"/>
    <cellStyle name="Normal 45 4 2 3" xfId="5029"/>
    <cellStyle name="Normal 45 4 2 4" xfId="5030"/>
    <cellStyle name="Normal 45 4 3" xfId="5031"/>
    <cellStyle name="Normal 45 4 3 2" xfId="5032"/>
    <cellStyle name="Normal 45 4 3 3" xfId="5033"/>
    <cellStyle name="Normal 45 4 4" xfId="5034"/>
    <cellStyle name="Normal 45 4 5" xfId="5035"/>
    <cellStyle name="Normal 45 5" xfId="5036"/>
    <cellStyle name="Normal 45 5 2" xfId="5037"/>
    <cellStyle name="Normal 45 5 2 2" xfId="5038"/>
    <cellStyle name="Normal 45 5 2 2 2" xfId="5039"/>
    <cellStyle name="Normal 45 5 2 2 3" xfId="5040"/>
    <cellStyle name="Normal 45 5 2 3" xfId="5041"/>
    <cellStyle name="Normal 45 5 2 4" xfId="5042"/>
    <cellStyle name="Normal 45 5 3" xfId="5043"/>
    <cellStyle name="Normal 45 5 3 2" xfId="5044"/>
    <cellStyle name="Normal 45 5 3 3" xfId="5045"/>
    <cellStyle name="Normal 45 5 4" xfId="5046"/>
    <cellStyle name="Normal 45 5 5" xfId="5047"/>
    <cellStyle name="Normal 45 6" xfId="5048"/>
    <cellStyle name="Normal 45 6 2" xfId="5049"/>
    <cellStyle name="Normal 45 6 2 2" xfId="5050"/>
    <cellStyle name="Normal 45 6 2 2 2" xfId="5051"/>
    <cellStyle name="Normal 45 6 2 2 3" xfId="5052"/>
    <cellStyle name="Normal 45 6 2 3" xfId="5053"/>
    <cellStyle name="Normal 45 6 2 4" xfId="5054"/>
    <cellStyle name="Normal 45 6 3" xfId="5055"/>
    <cellStyle name="Normal 45 6 3 2" xfId="5056"/>
    <cellStyle name="Normal 45 6 3 3" xfId="5057"/>
    <cellStyle name="Normal 45 6 4" xfId="5058"/>
    <cellStyle name="Normal 45 6 5" xfId="5059"/>
    <cellStyle name="Normal 45 7" xfId="5060"/>
    <cellStyle name="Normal 45 7 2" xfId="5061"/>
    <cellStyle name="Normal 45 7 2 2" xfId="5062"/>
    <cellStyle name="Normal 45 7 2 3" xfId="5063"/>
    <cellStyle name="Normal 45 7 3" xfId="5064"/>
    <cellStyle name="Normal 45 7 4" xfId="5065"/>
    <cellStyle name="Normal 45 8" xfId="5066"/>
    <cellStyle name="Normal 45 8 2" xfId="5067"/>
    <cellStyle name="Normal 45 9" xfId="5068"/>
    <cellStyle name="Normal 45 9 2" xfId="5069"/>
    <cellStyle name="Normal 45 9 3" xfId="5070"/>
    <cellStyle name="Normal 46" xfId="5071"/>
    <cellStyle name="Normal 46 10" xfId="5072"/>
    <cellStyle name="Normal 46 2" xfId="5073"/>
    <cellStyle name="Normal 46 2 2" xfId="5074"/>
    <cellStyle name="Normal 46 2 2 2" xfId="5075"/>
    <cellStyle name="Normal 46 2 2 2 2" xfId="5076"/>
    <cellStyle name="Normal 46 2 2 2 3" xfId="5077"/>
    <cellStyle name="Normal 46 2 2 3" xfId="5078"/>
    <cellStyle name="Normal 46 2 2 4" xfId="5079"/>
    <cellStyle name="Normal 46 2 3" xfId="5080"/>
    <cellStyle name="Normal 46 2 3 2" xfId="5081"/>
    <cellStyle name="Normal 46 2 3 3" xfId="5082"/>
    <cellStyle name="Normal 46 2 4" xfId="5083"/>
    <cellStyle name="Normal 46 2 5" xfId="5084"/>
    <cellStyle name="Normal 46 3" xfId="5085"/>
    <cellStyle name="Normal 46 3 2" xfId="5086"/>
    <cellStyle name="Normal 46 3 2 2" xfId="5087"/>
    <cellStyle name="Normal 46 3 2 2 2" xfId="5088"/>
    <cellStyle name="Normal 46 3 2 2 3" xfId="5089"/>
    <cellStyle name="Normal 46 3 2 3" xfId="5090"/>
    <cellStyle name="Normal 46 3 2 4" xfId="5091"/>
    <cellStyle name="Normal 46 3 3" xfId="5092"/>
    <cellStyle name="Normal 46 3 3 2" xfId="5093"/>
    <cellStyle name="Normal 46 3 3 3" xfId="5094"/>
    <cellStyle name="Normal 46 3 4" xfId="5095"/>
    <cellStyle name="Normal 46 3 5" xfId="5096"/>
    <cellStyle name="Normal 46 4" xfId="5097"/>
    <cellStyle name="Normal 46 4 2" xfId="5098"/>
    <cellStyle name="Normal 46 4 2 2" xfId="5099"/>
    <cellStyle name="Normal 46 4 2 2 2" xfId="5100"/>
    <cellStyle name="Normal 46 4 2 2 3" xfId="5101"/>
    <cellStyle name="Normal 46 4 2 3" xfId="5102"/>
    <cellStyle name="Normal 46 4 2 4" xfId="5103"/>
    <cellStyle name="Normal 46 4 3" xfId="5104"/>
    <cellStyle name="Normal 46 4 3 2" xfId="5105"/>
    <cellStyle name="Normal 46 4 3 3" xfId="5106"/>
    <cellStyle name="Normal 46 4 4" xfId="5107"/>
    <cellStyle name="Normal 46 4 5" xfId="5108"/>
    <cellStyle name="Normal 46 5" xfId="5109"/>
    <cellStyle name="Normal 46 5 2" xfId="5110"/>
    <cellStyle name="Normal 46 5 2 2" xfId="5111"/>
    <cellStyle name="Normal 46 5 2 2 2" xfId="5112"/>
    <cellStyle name="Normal 46 5 2 2 3" xfId="5113"/>
    <cellStyle name="Normal 46 5 2 3" xfId="5114"/>
    <cellStyle name="Normal 46 5 2 4" xfId="5115"/>
    <cellStyle name="Normal 46 5 3" xfId="5116"/>
    <cellStyle name="Normal 46 5 3 2" xfId="5117"/>
    <cellStyle name="Normal 46 5 3 3" xfId="5118"/>
    <cellStyle name="Normal 46 5 4" xfId="5119"/>
    <cellStyle name="Normal 46 5 5" xfId="5120"/>
    <cellStyle name="Normal 46 6" xfId="5121"/>
    <cellStyle name="Normal 46 6 2" xfId="5122"/>
    <cellStyle name="Normal 46 6 2 2" xfId="5123"/>
    <cellStyle name="Normal 46 6 2 2 2" xfId="5124"/>
    <cellStyle name="Normal 46 6 2 2 3" xfId="5125"/>
    <cellStyle name="Normal 46 6 2 3" xfId="5126"/>
    <cellStyle name="Normal 46 6 2 4" xfId="5127"/>
    <cellStyle name="Normal 46 6 3" xfId="5128"/>
    <cellStyle name="Normal 46 6 3 2" xfId="5129"/>
    <cellStyle name="Normal 46 6 3 3" xfId="5130"/>
    <cellStyle name="Normal 46 6 4" xfId="5131"/>
    <cellStyle name="Normal 46 6 5" xfId="5132"/>
    <cellStyle name="Normal 46 7" xfId="5133"/>
    <cellStyle name="Normal 46 7 2" xfId="5134"/>
    <cellStyle name="Normal 46 7 2 2" xfId="5135"/>
    <cellStyle name="Normal 46 7 2 3" xfId="5136"/>
    <cellStyle name="Normal 46 7 3" xfId="5137"/>
    <cellStyle name="Normal 46 7 4" xfId="5138"/>
    <cellStyle name="Normal 46 8" xfId="5139"/>
    <cellStyle name="Normal 46 8 2" xfId="5140"/>
    <cellStyle name="Normal 46 9" xfId="5141"/>
    <cellStyle name="Normal 46 9 2" xfId="5142"/>
    <cellStyle name="Normal 46 9 3" xfId="5143"/>
    <cellStyle name="Normal 47" xfId="5144"/>
    <cellStyle name="Normal 47 2" xfId="5145"/>
    <cellStyle name="Normal 47 2 10" xfId="5146"/>
    <cellStyle name="Normal 47 2 2" xfId="5147"/>
    <cellStyle name="Normal 47 2 2 2" xfId="5148"/>
    <cellStyle name="Normal 47 2 2 2 2" xfId="5149"/>
    <cellStyle name="Normal 47 2 2 2 2 2" xfId="5150"/>
    <cellStyle name="Normal 47 2 2 2 2 3" xfId="5151"/>
    <cellStyle name="Normal 47 2 2 2 3" xfId="5152"/>
    <cellStyle name="Normal 47 2 2 2 4" xfId="5153"/>
    <cellStyle name="Normal 47 2 2 3" xfId="5154"/>
    <cellStyle name="Normal 47 2 2 3 2" xfId="5155"/>
    <cellStyle name="Normal 47 2 2 3 3" xfId="5156"/>
    <cellStyle name="Normal 47 2 2 4" xfId="5157"/>
    <cellStyle name="Normal 47 2 2 5" xfId="5158"/>
    <cellStyle name="Normal 47 2 3" xfId="5159"/>
    <cellStyle name="Normal 47 2 3 2" xfId="5160"/>
    <cellStyle name="Normal 47 2 3 2 2" xfId="5161"/>
    <cellStyle name="Normal 47 2 3 2 2 2" xfId="5162"/>
    <cellStyle name="Normal 47 2 3 2 2 3" xfId="5163"/>
    <cellStyle name="Normal 47 2 3 2 3" xfId="5164"/>
    <cellStyle name="Normal 47 2 3 2 4" xfId="5165"/>
    <cellStyle name="Normal 47 2 3 3" xfId="5166"/>
    <cellStyle name="Normal 47 2 3 3 2" xfId="5167"/>
    <cellStyle name="Normal 47 2 3 3 3" xfId="5168"/>
    <cellStyle name="Normal 47 2 3 4" xfId="5169"/>
    <cellStyle name="Normal 47 2 3 5" xfId="5170"/>
    <cellStyle name="Normal 47 2 4" xfId="5171"/>
    <cellStyle name="Normal 47 2 4 2" xfId="5172"/>
    <cellStyle name="Normal 47 2 4 2 2" xfId="5173"/>
    <cellStyle name="Normal 47 2 4 2 2 2" xfId="5174"/>
    <cellStyle name="Normal 47 2 4 2 2 3" xfId="5175"/>
    <cellStyle name="Normal 47 2 4 2 3" xfId="5176"/>
    <cellStyle name="Normal 47 2 4 2 4" xfId="5177"/>
    <cellStyle name="Normal 47 2 4 3" xfId="5178"/>
    <cellStyle name="Normal 47 2 4 3 2" xfId="5179"/>
    <cellStyle name="Normal 47 2 4 3 3" xfId="5180"/>
    <cellStyle name="Normal 47 2 4 4" xfId="5181"/>
    <cellStyle name="Normal 47 2 4 5" xfId="5182"/>
    <cellStyle name="Normal 47 2 5" xfId="5183"/>
    <cellStyle name="Normal 47 2 5 2" xfId="5184"/>
    <cellStyle name="Normal 47 2 5 2 2" xfId="5185"/>
    <cellStyle name="Normal 47 2 5 2 2 2" xfId="5186"/>
    <cellStyle name="Normal 47 2 5 2 2 3" xfId="5187"/>
    <cellStyle name="Normal 47 2 5 2 3" xfId="5188"/>
    <cellStyle name="Normal 47 2 5 2 4" xfId="5189"/>
    <cellStyle name="Normal 47 2 5 3" xfId="5190"/>
    <cellStyle name="Normal 47 2 5 3 2" xfId="5191"/>
    <cellStyle name="Normal 47 2 5 3 3" xfId="5192"/>
    <cellStyle name="Normal 47 2 5 4" xfId="5193"/>
    <cellStyle name="Normal 47 2 5 5" xfId="5194"/>
    <cellStyle name="Normal 47 2 6" xfId="5195"/>
    <cellStyle name="Normal 47 2 6 2" xfId="5196"/>
    <cellStyle name="Normal 47 2 6 2 2" xfId="5197"/>
    <cellStyle name="Normal 47 2 6 2 2 2" xfId="5198"/>
    <cellStyle name="Normal 47 2 6 2 2 3" xfId="5199"/>
    <cellStyle name="Normal 47 2 6 2 3" xfId="5200"/>
    <cellStyle name="Normal 47 2 6 2 4" xfId="5201"/>
    <cellStyle name="Normal 47 2 6 3" xfId="5202"/>
    <cellStyle name="Normal 47 2 6 3 2" xfId="5203"/>
    <cellStyle name="Normal 47 2 6 3 3" xfId="5204"/>
    <cellStyle name="Normal 47 2 6 4" xfId="5205"/>
    <cellStyle name="Normal 47 2 6 5" xfId="5206"/>
    <cellStyle name="Normal 47 2 7" xfId="5207"/>
    <cellStyle name="Normal 47 2 7 2" xfId="5208"/>
    <cellStyle name="Normal 47 2 7 2 2" xfId="5209"/>
    <cellStyle name="Normal 47 2 7 2 3" xfId="5210"/>
    <cellStyle name="Normal 47 2 7 3" xfId="5211"/>
    <cellStyle name="Normal 47 2 7 4" xfId="5212"/>
    <cellStyle name="Normal 47 2 8" xfId="5213"/>
    <cellStyle name="Normal 47 2 8 2" xfId="5214"/>
    <cellStyle name="Normal 47 2 8 3" xfId="5215"/>
    <cellStyle name="Normal 47 2 9" xfId="5216"/>
    <cellStyle name="Normal 47 3" xfId="5217"/>
    <cellStyle name="Normal 48" xfId="5218"/>
    <cellStyle name="Normal 48 10" xfId="5219"/>
    <cellStyle name="Normal 48 2" xfId="5220"/>
    <cellStyle name="Normal 48 2 2" xfId="5221"/>
    <cellStyle name="Normal 48 2 2 2" xfId="5222"/>
    <cellStyle name="Normal 48 2 2 2 2" xfId="5223"/>
    <cellStyle name="Normal 48 2 2 2 3" xfId="5224"/>
    <cellStyle name="Normal 48 2 2 3" xfId="5225"/>
    <cellStyle name="Normal 48 2 2 4" xfId="5226"/>
    <cellStyle name="Normal 48 2 3" xfId="5227"/>
    <cellStyle name="Normal 48 2 3 2" xfId="5228"/>
    <cellStyle name="Normal 48 2 3 3" xfId="5229"/>
    <cellStyle name="Normal 48 2 4" xfId="5230"/>
    <cellStyle name="Normal 48 2 5" xfId="5231"/>
    <cellStyle name="Normal 48 3" xfId="5232"/>
    <cellStyle name="Normal 48 3 2" xfId="5233"/>
    <cellStyle name="Normal 48 3 2 2" xfId="5234"/>
    <cellStyle name="Normal 48 3 2 2 2" xfId="5235"/>
    <cellStyle name="Normal 48 3 2 2 3" xfId="5236"/>
    <cellStyle name="Normal 48 3 2 3" xfId="5237"/>
    <cellStyle name="Normal 48 3 2 4" xfId="5238"/>
    <cellStyle name="Normal 48 3 3" xfId="5239"/>
    <cellStyle name="Normal 48 3 3 2" xfId="5240"/>
    <cellStyle name="Normal 48 3 3 3" xfId="5241"/>
    <cellStyle name="Normal 48 3 4" xfId="5242"/>
    <cellStyle name="Normal 48 3 5" xfId="5243"/>
    <cellStyle name="Normal 48 4" xfId="5244"/>
    <cellStyle name="Normal 48 4 2" xfId="5245"/>
    <cellStyle name="Normal 48 4 2 2" xfId="5246"/>
    <cellStyle name="Normal 48 4 2 2 2" xfId="5247"/>
    <cellStyle name="Normal 48 4 2 2 3" xfId="5248"/>
    <cellStyle name="Normal 48 4 2 3" xfId="5249"/>
    <cellStyle name="Normal 48 4 2 4" xfId="5250"/>
    <cellStyle name="Normal 48 4 3" xfId="5251"/>
    <cellStyle name="Normal 48 4 3 2" xfId="5252"/>
    <cellStyle name="Normal 48 4 3 3" xfId="5253"/>
    <cellStyle name="Normal 48 4 4" xfId="5254"/>
    <cellStyle name="Normal 48 4 5" xfId="5255"/>
    <cellStyle name="Normal 48 5" xfId="5256"/>
    <cellStyle name="Normal 48 5 2" xfId="5257"/>
    <cellStyle name="Normal 48 5 2 2" xfId="5258"/>
    <cellStyle name="Normal 48 5 2 2 2" xfId="5259"/>
    <cellStyle name="Normal 48 5 2 2 3" xfId="5260"/>
    <cellStyle name="Normal 48 5 2 3" xfId="5261"/>
    <cellStyle name="Normal 48 5 2 4" xfId="5262"/>
    <cellStyle name="Normal 48 5 3" xfId="5263"/>
    <cellStyle name="Normal 48 5 3 2" xfId="5264"/>
    <cellStyle name="Normal 48 5 3 3" xfId="5265"/>
    <cellStyle name="Normal 48 5 4" xfId="5266"/>
    <cellStyle name="Normal 48 5 5" xfId="5267"/>
    <cellStyle name="Normal 48 6" xfId="5268"/>
    <cellStyle name="Normal 48 6 2" xfId="5269"/>
    <cellStyle name="Normal 48 6 2 2" xfId="5270"/>
    <cellStyle name="Normal 48 6 2 2 2" xfId="5271"/>
    <cellStyle name="Normal 48 6 2 2 3" xfId="5272"/>
    <cellStyle name="Normal 48 6 2 3" xfId="5273"/>
    <cellStyle name="Normal 48 6 2 4" xfId="5274"/>
    <cellStyle name="Normal 48 6 3" xfId="5275"/>
    <cellStyle name="Normal 48 6 3 2" xfId="5276"/>
    <cellStyle name="Normal 48 6 3 3" xfId="5277"/>
    <cellStyle name="Normal 48 6 4" xfId="5278"/>
    <cellStyle name="Normal 48 6 5" xfId="5279"/>
    <cellStyle name="Normal 48 7" xfId="5280"/>
    <cellStyle name="Normal 48 7 2" xfId="5281"/>
    <cellStyle name="Normal 48 7 2 2" xfId="5282"/>
    <cellStyle name="Normal 48 7 2 3" xfId="5283"/>
    <cellStyle name="Normal 48 7 3" xfId="5284"/>
    <cellStyle name="Normal 48 7 4" xfId="5285"/>
    <cellStyle name="Normal 48 8" xfId="5286"/>
    <cellStyle name="Normal 48 8 2" xfId="5287"/>
    <cellStyle name="Normal 48 9" xfId="5288"/>
    <cellStyle name="Normal 48 9 2" xfId="5289"/>
    <cellStyle name="Normal 48 9 3" xfId="5290"/>
    <cellStyle name="Normal 49" xfId="5291"/>
    <cellStyle name="Normal 49 10" xfId="5292"/>
    <cellStyle name="Normal 49 2" xfId="5293"/>
    <cellStyle name="Normal 49 2 2" xfId="5294"/>
    <cellStyle name="Normal 49 2 2 2" xfId="5295"/>
    <cellStyle name="Normal 49 2 2 2 2" xfId="5296"/>
    <cellStyle name="Normal 49 2 2 2 3" xfId="5297"/>
    <cellStyle name="Normal 49 2 2 3" xfId="5298"/>
    <cellStyle name="Normal 49 2 2 4" xfId="5299"/>
    <cellStyle name="Normal 49 2 3" xfId="5300"/>
    <cellStyle name="Normal 49 2 3 2" xfId="5301"/>
    <cellStyle name="Normal 49 2 3 3" xfId="5302"/>
    <cellStyle name="Normal 49 2 4" xfId="5303"/>
    <cellStyle name="Normal 49 2 5" xfId="5304"/>
    <cellStyle name="Normal 49 3" xfId="5305"/>
    <cellStyle name="Normal 49 3 2" xfId="5306"/>
    <cellStyle name="Normal 49 3 2 2" xfId="5307"/>
    <cellStyle name="Normal 49 3 2 2 2" xfId="5308"/>
    <cellStyle name="Normal 49 3 2 2 3" xfId="5309"/>
    <cellStyle name="Normal 49 3 2 3" xfId="5310"/>
    <cellStyle name="Normal 49 3 2 4" xfId="5311"/>
    <cellStyle name="Normal 49 3 3" xfId="5312"/>
    <cellStyle name="Normal 49 3 3 2" xfId="5313"/>
    <cellStyle name="Normal 49 3 3 3" xfId="5314"/>
    <cellStyle name="Normal 49 3 4" xfId="5315"/>
    <cellStyle name="Normal 49 3 5" xfId="5316"/>
    <cellStyle name="Normal 49 4" xfId="5317"/>
    <cellStyle name="Normal 49 4 2" xfId="5318"/>
    <cellStyle name="Normal 49 4 2 2" xfId="5319"/>
    <cellStyle name="Normal 49 4 2 2 2" xfId="5320"/>
    <cellStyle name="Normal 49 4 2 2 3" xfId="5321"/>
    <cellStyle name="Normal 49 4 2 3" xfId="5322"/>
    <cellStyle name="Normal 49 4 2 4" xfId="5323"/>
    <cellStyle name="Normal 49 4 3" xfId="5324"/>
    <cellStyle name="Normal 49 4 3 2" xfId="5325"/>
    <cellStyle name="Normal 49 4 3 3" xfId="5326"/>
    <cellStyle name="Normal 49 4 4" xfId="5327"/>
    <cellStyle name="Normal 49 4 5" xfId="5328"/>
    <cellStyle name="Normal 49 5" xfId="5329"/>
    <cellStyle name="Normal 49 5 2" xfId="5330"/>
    <cellStyle name="Normal 49 5 2 2" xfId="5331"/>
    <cellStyle name="Normal 49 5 2 2 2" xfId="5332"/>
    <cellStyle name="Normal 49 5 2 2 3" xfId="5333"/>
    <cellStyle name="Normal 49 5 2 3" xfId="5334"/>
    <cellStyle name="Normal 49 5 2 4" xfId="5335"/>
    <cellStyle name="Normal 49 5 3" xfId="5336"/>
    <cellStyle name="Normal 49 5 3 2" xfId="5337"/>
    <cellStyle name="Normal 49 5 3 3" xfId="5338"/>
    <cellStyle name="Normal 49 5 4" xfId="5339"/>
    <cellStyle name="Normal 49 5 5" xfId="5340"/>
    <cellStyle name="Normal 49 6" xfId="5341"/>
    <cellStyle name="Normal 49 6 2" xfId="5342"/>
    <cellStyle name="Normal 49 6 2 2" xfId="5343"/>
    <cellStyle name="Normal 49 6 2 2 2" xfId="5344"/>
    <cellStyle name="Normal 49 6 2 2 3" xfId="5345"/>
    <cellStyle name="Normal 49 6 2 3" xfId="5346"/>
    <cellStyle name="Normal 49 6 2 4" xfId="5347"/>
    <cellStyle name="Normal 49 6 3" xfId="5348"/>
    <cellStyle name="Normal 49 6 3 2" xfId="5349"/>
    <cellStyle name="Normal 49 6 3 3" xfId="5350"/>
    <cellStyle name="Normal 49 6 4" xfId="5351"/>
    <cellStyle name="Normal 49 6 5" xfId="5352"/>
    <cellStyle name="Normal 49 7" xfId="5353"/>
    <cellStyle name="Normal 49 7 2" xfId="5354"/>
    <cellStyle name="Normal 49 7 2 2" xfId="5355"/>
    <cellStyle name="Normal 49 7 2 3" xfId="5356"/>
    <cellStyle name="Normal 49 7 3" xfId="5357"/>
    <cellStyle name="Normal 49 7 4" xfId="5358"/>
    <cellStyle name="Normal 49 8" xfId="5359"/>
    <cellStyle name="Normal 49 8 2" xfId="5360"/>
    <cellStyle name="Normal 49 9" xfId="5361"/>
    <cellStyle name="Normal 49 9 2" xfId="5362"/>
    <cellStyle name="Normal 49 9 3" xfId="5363"/>
    <cellStyle name="Normal 5" xfId="92"/>
    <cellStyle name="Normal 5 10" xfId="5364"/>
    <cellStyle name="Normal 5 10 2" xfId="5365"/>
    <cellStyle name="Normal 5 10 2 2" xfId="5366"/>
    <cellStyle name="Normal 5 10 2 3" xfId="5367"/>
    <cellStyle name="Normal 5 10 3" xfId="5368"/>
    <cellStyle name="Normal 5 10 4" xfId="5369"/>
    <cellStyle name="Normal 5 10 5" xfId="11924"/>
    <cellStyle name="Normal 5 10 7" xfId="11925"/>
    <cellStyle name="Normal 5 11" xfId="5370"/>
    <cellStyle name="Normal 5 11 2" xfId="5371"/>
    <cellStyle name="Normal 5 11 2 2" xfId="11926"/>
    <cellStyle name="Normal 5 11 3" xfId="11927"/>
    <cellStyle name="Normal 5 11 4" xfId="11928"/>
    <cellStyle name="Normal 5 11 5" xfId="11929"/>
    <cellStyle name="Normal 5 11 7" xfId="11930"/>
    <cellStyle name="Normal 5 12" xfId="5372"/>
    <cellStyle name="Normal 5 12 2" xfId="11931"/>
    <cellStyle name="Normal 5 12 2 2" xfId="11932"/>
    <cellStyle name="Normal 5 12 3" xfId="11933"/>
    <cellStyle name="Normal 5 12 4" xfId="11934"/>
    <cellStyle name="Normal 5 13" xfId="11935"/>
    <cellStyle name="Normal 5 13 2" xfId="11936"/>
    <cellStyle name="Normal 5 13 3" xfId="11937"/>
    <cellStyle name="Normal 5 13 4" xfId="11938"/>
    <cellStyle name="Normal 5 13 5" xfId="11939"/>
    <cellStyle name="Normal 5 13 7" xfId="11940"/>
    <cellStyle name="Normal 5 14" xfId="11941"/>
    <cellStyle name="Normal 5 14 2" xfId="11942"/>
    <cellStyle name="Normal 5 14 3" xfId="11943"/>
    <cellStyle name="Normal 5 14 4" xfId="11944"/>
    <cellStyle name="Normal 5 14 5" xfId="11945"/>
    <cellStyle name="Normal 5 15" xfId="11946"/>
    <cellStyle name="Normal 5 15 2" xfId="11947"/>
    <cellStyle name="Normal 5 15 4" xfId="11948"/>
    <cellStyle name="Normal 5 16" xfId="11949"/>
    <cellStyle name="Normal 5 16 2" xfId="11950"/>
    <cellStyle name="Normal 5 17" xfId="11951"/>
    <cellStyle name="Normal 5 17 2" xfId="11952"/>
    <cellStyle name="Normal 5 17 4" xfId="11953"/>
    <cellStyle name="Normal 5 18" xfId="11954"/>
    <cellStyle name="Normal 5 18 2" xfId="11955"/>
    <cellStyle name="Normal 5 19" xfId="11956"/>
    <cellStyle name="Normal 5 19 2" xfId="11957"/>
    <cellStyle name="Normal 5 19 4" xfId="11958"/>
    <cellStyle name="Normal 5 2" xfId="93"/>
    <cellStyle name="Normal 5 2 2" xfId="5373"/>
    <cellStyle name="Normal 5 2 2 2" xfId="5374"/>
    <cellStyle name="Normal 5 2 2 2 13" xfId="11959"/>
    <cellStyle name="Normal 5 2 2 2 2 12" xfId="11960"/>
    <cellStyle name="Normal 5 2 2 2 2 13" xfId="11961"/>
    <cellStyle name="Normal 5 2 2 29" xfId="11962"/>
    <cellStyle name="Normal 5 2 2 3" xfId="11963"/>
    <cellStyle name="Normal 5 2 3" xfId="5375"/>
    <cellStyle name="Normal 5 2 3 13" xfId="11964"/>
    <cellStyle name="Normal 5 2 3 2" xfId="5376"/>
    <cellStyle name="Normal 5 2 3 2 12" xfId="11965"/>
    <cellStyle name="Normal 5 2 3 2 13" xfId="11966"/>
    <cellStyle name="Normal 5 2 4" xfId="5377"/>
    <cellStyle name="Normal 5 2 4 2" xfId="5378"/>
    <cellStyle name="Normal 5 2 5" xfId="5379"/>
    <cellStyle name="Normal 5 2 5 2" xfId="5380"/>
    <cellStyle name="Normal 5 2 6" xfId="5381"/>
    <cellStyle name="Normal 5 2 6 2" xfId="5382"/>
    <cellStyle name="Normal 5 2 7" xfId="5383"/>
    <cellStyle name="Normal 5 2 7 2" xfId="5384"/>
    <cellStyle name="Normal 5 2 8" xfId="5385"/>
    <cellStyle name="Normal 5 2 8 2" xfId="5386"/>
    <cellStyle name="Normal 5 2 9" xfId="5387"/>
    <cellStyle name="Normal 5 20" xfId="11967"/>
    <cellStyle name="Normal 5 20 2" xfId="11968"/>
    <cellStyle name="Normal 5 21" xfId="11969"/>
    <cellStyle name="Normal 5 22" xfId="11970"/>
    <cellStyle name="Normal 5 23" xfId="11971"/>
    <cellStyle name="Normal 5 24" xfId="11972"/>
    <cellStyle name="Normal 5 25" xfId="11973"/>
    <cellStyle name="Normal 5 26" xfId="11974"/>
    <cellStyle name="Normal 5 27" xfId="11975"/>
    <cellStyle name="Normal 5 28" xfId="11976"/>
    <cellStyle name="Normal 5 29" xfId="11977"/>
    <cellStyle name="Normal 5 3" xfId="5388"/>
    <cellStyle name="Normal 5 3 18" xfId="11978"/>
    <cellStyle name="Normal 5 3 2" xfId="5389"/>
    <cellStyle name="Normal 5 3 3" xfId="11979"/>
    <cellStyle name="Normal 5 3 4" xfId="11980"/>
    <cellStyle name="Normal 5 3 5" xfId="11981"/>
    <cellStyle name="Normal 5 3 6" xfId="11982"/>
    <cellStyle name="Normal 5 30" xfId="11983"/>
    <cellStyle name="Normal 5 31" xfId="11984"/>
    <cellStyle name="Normal 5 32" xfId="11985"/>
    <cellStyle name="Normal 5 33" xfId="11986"/>
    <cellStyle name="Normal 5 34" xfId="11987"/>
    <cellStyle name="Normal 5 35" xfId="11988"/>
    <cellStyle name="Normal 5 36" xfId="11989"/>
    <cellStyle name="Normal 5 37" xfId="11990"/>
    <cellStyle name="Normal 5 38" xfId="11991"/>
    <cellStyle name="Normal 5 39" xfId="11992"/>
    <cellStyle name="Normal 5 4" xfId="5390"/>
    <cellStyle name="Normal 5 4 2" xfId="5391"/>
    <cellStyle name="Normal 5 4 2 2" xfId="5392"/>
    <cellStyle name="Normal 5 4 2 2 2" xfId="5393"/>
    <cellStyle name="Normal 5 4 2 2 3" xfId="5394"/>
    <cellStyle name="Normal 5 4 2 3" xfId="5395"/>
    <cellStyle name="Normal 5 4 2 4" xfId="5396"/>
    <cellStyle name="Normal 5 4 3" xfId="5397"/>
    <cellStyle name="Normal 5 4 3 2" xfId="5398"/>
    <cellStyle name="Normal 5 4 3 3" xfId="5399"/>
    <cellStyle name="Normal 5 4 4" xfId="5400"/>
    <cellStyle name="Normal 5 4 5" xfId="5401"/>
    <cellStyle name="Normal 5 4 8" xfId="11993"/>
    <cellStyle name="Normal 5 5" xfId="5402"/>
    <cellStyle name="Normal 5 5 2" xfId="5403"/>
    <cellStyle name="Normal 5 5 4" xfId="11994"/>
    <cellStyle name="Normal 5 5 5" xfId="11995"/>
    <cellStyle name="Normal 5 6" xfId="5404"/>
    <cellStyle name="Normal 5 6 2" xfId="5405"/>
    <cellStyle name="Normal 5 6 2 2" xfId="11996"/>
    <cellStyle name="Normal 5 7" xfId="5406"/>
    <cellStyle name="Normal 5 7 2" xfId="5407"/>
    <cellStyle name="Normal 5 8" xfId="5408"/>
    <cellStyle name="Normal 5 8 2" xfId="5409"/>
    <cellStyle name="Normal 5 9" xfId="5410"/>
    <cellStyle name="Normal 5 9 2" xfId="5411"/>
    <cellStyle name="Normal 5 9 2 2" xfId="5412"/>
    <cellStyle name="Normal 5 9 2 3" xfId="5413"/>
    <cellStyle name="Normal 5 9 3" xfId="5414"/>
    <cellStyle name="Normal 5 9 4" xfId="5415"/>
    <cellStyle name="Normal 5_Mapa Operacional Philips Healthcare - Novembro 2011" xfId="519"/>
    <cellStyle name="Normal 50" xfId="5416"/>
    <cellStyle name="Normal 50 10" xfId="5417"/>
    <cellStyle name="Normal 50 2" xfId="5418"/>
    <cellStyle name="Normal 50 2 2" xfId="5419"/>
    <cellStyle name="Normal 50 2 2 2" xfId="5420"/>
    <cellStyle name="Normal 50 2 2 2 2" xfId="5421"/>
    <cellStyle name="Normal 50 2 2 2 3" xfId="5422"/>
    <cellStyle name="Normal 50 2 2 3" xfId="5423"/>
    <cellStyle name="Normal 50 2 2 4" xfId="5424"/>
    <cellStyle name="Normal 50 2 3" xfId="5425"/>
    <cellStyle name="Normal 50 2 3 2" xfId="5426"/>
    <cellStyle name="Normal 50 2 3 3" xfId="5427"/>
    <cellStyle name="Normal 50 2 4" xfId="5428"/>
    <cellStyle name="Normal 50 2 5" xfId="5429"/>
    <cellStyle name="Normal 50 3" xfId="5430"/>
    <cellStyle name="Normal 50 3 2" xfId="5431"/>
    <cellStyle name="Normal 50 3 2 2" xfId="5432"/>
    <cellStyle name="Normal 50 3 2 2 2" xfId="5433"/>
    <cellStyle name="Normal 50 3 2 2 3" xfId="5434"/>
    <cellStyle name="Normal 50 3 2 3" xfId="5435"/>
    <cellStyle name="Normal 50 3 2 4" xfId="5436"/>
    <cellStyle name="Normal 50 3 3" xfId="5437"/>
    <cellStyle name="Normal 50 3 3 2" xfId="5438"/>
    <cellStyle name="Normal 50 3 3 3" xfId="5439"/>
    <cellStyle name="Normal 50 3 4" xfId="5440"/>
    <cellStyle name="Normal 50 3 5" xfId="5441"/>
    <cellStyle name="Normal 50 4" xfId="5442"/>
    <cellStyle name="Normal 50 4 2" xfId="5443"/>
    <cellStyle name="Normal 50 4 2 2" xfId="5444"/>
    <cellStyle name="Normal 50 4 2 2 2" xfId="5445"/>
    <cellStyle name="Normal 50 4 2 2 3" xfId="5446"/>
    <cellStyle name="Normal 50 4 2 3" xfId="5447"/>
    <cellStyle name="Normal 50 4 2 4" xfId="5448"/>
    <cellStyle name="Normal 50 4 3" xfId="5449"/>
    <cellStyle name="Normal 50 4 3 2" xfId="5450"/>
    <cellStyle name="Normal 50 4 3 3" xfId="5451"/>
    <cellStyle name="Normal 50 4 4" xfId="5452"/>
    <cellStyle name="Normal 50 4 5" xfId="5453"/>
    <cellStyle name="Normal 50 5" xfId="5454"/>
    <cellStyle name="Normal 50 5 2" xfId="5455"/>
    <cellStyle name="Normal 50 5 2 2" xfId="5456"/>
    <cellStyle name="Normal 50 5 2 2 2" xfId="5457"/>
    <cellStyle name="Normal 50 5 2 2 3" xfId="5458"/>
    <cellStyle name="Normal 50 5 2 3" xfId="5459"/>
    <cellStyle name="Normal 50 5 2 4" xfId="5460"/>
    <cellStyle name="Normal 50 5 3" xfId="5461"/>
    <cellStyle name="Normal 50 5 3 2" xfId="5462"/>
    <cellStyle name="Normal 50 5 3 3" xfId="5463"/>
    <cellStyle name="Normal 50 5 4" xfId="5464"/>
    <cellStyle name="Normal 50 5 5" xfId="5465"/>
    <cellStyle name="Normal 50 6" xfId="5466"/>
    <cellStyle name="Normal 50 6 2" xfId="5467"/>
    <cellStyle name="Normal 50 6 2 2" xfId="5468"/>
    <cellStyle name="Normal 50 6 2 2 2" xfId="5469"/>
    <cellStyle name="Normal 50 6 2 2 3" xfId="5470"/>
    <cellStyle name="Normal 50 6 2 3" xfId="5471"/>
    <cellStyle name="Normal 50 6 2 4" xfId="5472"/>
    <cellStyle name="Normal 50 6 3" xfId="5473"/>
    <cellStyle name="Normal 50 6 3 2" xfId="5474"/>
    <cellStyle name="Normal 50 6 3 3" xfId="5475"/>
    <cellStyle name="Normal 50 6 4" xfId="5476"/>
    <cellStyle name="Normal 50 6 5" xfId="5477"/>
    <cellStyle name="Normal 50 7" xfId="5478"/>
    <cellStyle name="Normal 50 7 2" xfId="5479"/>
    <cellStyle name="Normal 50 7 2 2" xfId="5480"/>
    <cellStyle name="Normal 50 7 2 3" xfId="5481"/>
    <cellStyle name="Normal 50 7 3" xfId="5482"/>
    <cellStyle name="Normal 50 7 4" xfId="5483"/>
    <cellStyle name="Normal 50 8" xfId="5484"/>
    <cellStyle name="Normal 50 8 2" xfId="5485"/>
    <cellStyle name="Normal 50 9" xfId="5486"/>
    <cellStyle name="Normal 50 9 2" xfId="5487"/>
    <cellStyle name="Normal 50 9 3" xfId="5488"/>
    <cellStyle name="Normal 51" xfId="5489"/>
    <cellStyle name="Normal 51 10" xfId="5490"/>
    <cellStyle name="Normal 51 2" xfId="5491"/>
    <cellStyle name="Normal 51 2 2" xfId="5492"/>
    <cellStyle name="Normal 51 2 2 2" xfId="5493"/>
    <cellStyle name="Normal 51 2 2 2 2" xfId="5494"/>
    <cellStyle name="Normal 51 2 2 2 3" xfId="5495"/>
    <cellStyle name="Normal 51 2 2 3" xfId="5496"/>
    <cellStyle name="Normal 51 2 2 4" xfId="5497"/>
    <cellStyle name="Normal 51 2 3" xfId="5498"/>
    <cellStyle name="Normal 51 2 3 2" xfId="5499"/>
    <cellStyle name="Normal 51 2 3 3" xfId="5500"/>
    <cellStyle name="Normal 51 2 4" xfId="5501"/>
    <cellStyle name="Normal 51 2 5" xfId="5502"/>
    <cellStyle name="Normal 51 3" xfId="5503"/>
    <cellStyle name="Normal 51 3 2" xfId="5504"/>
    <cellStyle name="Normal 51 3 2 2" xfId="5505"/>
    <cellStyle name="Normal 51 3 2 2 2" xfId="5506"/>
    <cellStyle name="Normal 51 3 2 2 3" xfId="5507"/>
    <cellStyle name="Normal 51 3 2 3" xfId="5508"/>
    <cellStyle name="Normal 51 3 2 4" xfId="5509"/>
    <cellStyle name="Normal 51 3 3" xfId="5510"/>
    <cellStyle name="Normal 51 3 3 2" xfId="5511"/>
    <cellStyle name="Normal 51 3 3 3" xfId="5512"/>
    <cellStyle name="Normal 51 3 4" xfId="5513"/>
    <cellStyle name="Normal 51 3 5" xfId="5514"/>
    <cellStyle name="Normal 51 4" xfId="5515"/>
    <cellStyle name="Normal 51 4 2" xfId="5516"/>
    <cellStyle name="Normal 51 4 2 2" xfId="5517"/>
    <cellStyle name="Normal 51 4 2 2 2" xfId="5518"/>
    <cellStyle name="Normal 51 4 2 2 3" xfId="5519"/>
    <cellStyle name="Normal 51 4 2 3" xfId="5520"/>
    <cellStyle name="Normal 51 4 2 4" xfId="5521"/>
    <cellStyle name="Normal 51 4 3" xfId="5522"/>
    <cellStyle name="Normal 51 4 3 2" xfId="5523"/>
    <cellStyle name="Normal 51 4 3 3" xfId="5524"/>
    <cellStyle name="Normal 51 4 4" xfId="5525"/>
    <cellStyle name="Normal 51 4 5" xfId="5526"/>
    <cellStyle name="Normal 51 5" xfId="5527"/>
    <cellStyle name="Normal 51 5 2" xfId="5528"/>
    <cellStyle name="Normal 51 5 2 2" xfId="5529"/>
    <cellStyle name="Normal 51 5 2 2 2" xfId="5530"/>
    <cellStyle name="Normal 51 5 2 2 3" xfId="5531"/>
    <cellStyle name="Normal 51 5 2 3" xfId="5532"/>
    <cellStyle name="Normal 51 5 2 4" xfId="5533"/>
    <cellStyle name="Normal 51 5 3" xfId="5534"/>
    <cellStyle name="Normal 51 5 3 2" xfId="5535"/>
    <cellStyle name="Normal 51 5 3 3" xfId="5536"/>
    <cellStyle name="Normal 51 5 4" xfId="5537"/>
    <cellStyle name="Normal 51 5 5" xfId="5538"/>
    <cellStyle name="Normal 51 6" xfId="5539"/>
    <cellStyle name="Normal 51 6 2" xfId="5540"/>
    <cellStyle name="Normal 51 6 2 2" xfId="5541"/>
    <cellStyle name="Normal 51 6 2 2 2" xfId="5542"/>
    <cellStyle name="Normal 51 6 2 2 3" xfId="5543"/>
    <cellStyle name="Normal 51 6 2 3" xfId="5544"/>
    <cellStyle name="Normal 51 6 2 4" xfId="5545"/>
    <cellStyle name="Normal 51 6 3" xfId="5546"/>
    <cellStyle name="Normal 51 6 3 2" xfId="5547"/>
    <cellStyle name="Normal 51 6 3 3" xfId="5548"/>
    <cellStyle name="Normal 51 6 4" xfId="5549"/>
    <cellStyle name="Normal 51 6 5" xfId="5550"/>
    <cellStyle name="Normal 51 7" xfId="5551"/>
    <cellStyle name="Normal 51 7 2" xfId="5552"/>
    <cellStyle name="Normal 51 7 2 2" xfId="5553"/>
    <cellStyle name="Normal 51 7 2 3" xfId="5554"/>
    <cellStyle name="Normal 51 7 3" xfId="5555"/>
    <cellStyle name="Normal 51 7 4" xfId="5556"/>
    <cellStyle name="Normal 51 8" xfId="5557"/>
    <cellStyle name="Normal 51 8 2" xfId="5558"/>
    <cellStyle name="Normal 51 9" xfId="5559"/>
    <cellStyle name="Normal 51 9 2" xfId="5560"/>
    <cellStyle name="Normal 51 9 3" xfId="5561"/>
    <cellStyle name="Normal 52" xfId="5562"/>
    <cellStyle name="Normal 52 2" xfId="5563"/>
    <cellStyle name="Normal 53" xfId="5564"/>
    <cellStyle name="Normal 53 10" xfId="5565"/>
    <cellStyle name="Normal 53 2" xfId="5566"/>
    <cellStyle name="Normal 53 2 2" xfId="5567"/>
    <cellStyle name="Normal 53 2 2 2" xfId="5568"/>
    <cellStyle name="Normal 53 2 2 2 2" xfId="5569"/>
    <cellStyle name="Normal 53 2 2 2 3" xfId="5570"/>
    <cellStyle name="Normal 53 2 2 3" xfId="5571"/>
    <cellStyle name="Normal 53 2 2 4" xfId="5572"/>
    <cellStyle name="Normal 53 2 3" xfId="5573"/>
    <cellStyle name="Normal 53 2 3 2" xfId="5574"/>
    <cellStyle name="Normal 53 2 3 3" xfId="5575"/>
    <cellStyle name="Normal 53 2 4" xfId="5576"/>
    <cellStyle name="Normal 53 2 5" xfId="5577"/>
    <cellStyle name="Normal 53 3" xfId="5578"/>
    <cellStyle name="Normal 53 3 2" xfId="5579"/>
    <cellStyle name="Normal 53 3 2 2" xfId="5580"/>
    <cellStyle name="Normal 53 3 2 2 2" xfId="5581"/>
    <cellStyle name="Normal 53 3 2 2 3" xfId="5582"/>
    <cellStyle name="Normal 53 3 2 3" xfId="5583"/>
    <cellStyle name="Normal 53 3 2 4" xfId="5584"/>
    <cellStyle name="Normal 53 3 3" xfId="5585"/>
    <cellStyle name="Normal 53 3 3 2" xfId="5586"/>
    <cellStyle name="Normal 53 3 3 3" xfId="5587"/>
    <cellStyle name="Normal 53 3 4" xfId="5588"/>
    <cellStyle name="Normal 53 3 5" xfId="5589"/>
    <cellStyle name="Normal 53 4" xfId="5590"/>
    <cellStyle name="Normal 53 4 2" xfId="5591"/>
    <cellStyle name="Normal 53 4 2 2" xfId="5592"/>
    <cellStyle name="Normal 53 4 2 2 2" xfId="5593"/>
    <cellStyle name="Normal 53 4 2 2 3" xfId="5594"/>
    <cellStyle name="Normal 53 4 2 3" xfId="5595"/>
    <cellStyle name="Normal 53 4 2 4" xfId="5596"/>
    <cellStyle name="Normal 53 4 3" xfId="5597"/>
    <cellStyle name="Normal 53 4 3 2" xfId="5598"/>
    <cellStyle name="Normal 53 4 3 3" xfId="5599"/>
    <cellStyle name="Normal 53 4 4" xfId="5600"/>
    <cellStyle name="Normal 53 4 5" xfId="5601"/>
    <cellStyle name="Normal 53 5" xfId="5602"/>
    <cellStyle name="Normal 53 5 2" xfId="5603"/>
    <cellStyle name="Normal 53 5 2 2" xfId="5604"/>
    <cellStyle name="Normal 53 5 2 2 2" xfId="5605"/>
    <cellStyle name="Normal 53 5 2 2 3" xfId="5606"/>
    <cellStyle name="Normal 53 5 2 3" xfId="5607"/>
    <cellStyle name="Normal 53 5 2 4" xfId="5608"/>
    <cellStyle name="Normal 53 5 3" xfId="5609"/>
    <cellStyle name="Normal 53 5 3 2" xfId="5610"/>
    <cellStyle name="Normal 53 5 3 3" xfId="5611"/>
    <cellStyle name="Normal 53 5 4" xfId="5612"/>
    <cellStyle name="Normal 53 5 5" xfId="5613"/>
    <cellStyle name="Normal 53 6" xfId="5614"/>
    <cellStyle name="Normal 53 6 2" xfId="5615"/>
    <cellStyle name="Normal 53 6 2 2" xfId="5616"/>
    <cellStyle name="Normal 53 6 2 2 2" xfId="5617"/>
    <cellStyle name="Normal 53 6 2 2 3" xfId="5618"/>
    <cellStyle name="Normal 53 6 2 3" xfId="5619"/>
    <cellStyle name="Normal 53 6 2 4" xfId="5620"/>
    <cellStyle name="Normal 53 6 3" xfId="5621"/>
    <cellStyle name="Normal 53 6 3 2" xfId="5622"/>
    <cellStyle name="Normal 53 6 3 3" xfId="5623"/>
    <cellStyle name="Normal 53 6 4" xfId="5624"/>
    <cellStyle name="Normal 53 6 5" xfId="5625"/>
    <cellStyle name="Normal 53 7" xfId="5626"/>
    <cellStyle name="Normal 53 7 2" xfId="5627"/>
    <cellStyle name="Normal 53 7 2 2" xfId="5628"/>
    <cellStyle name="Normal 53 7 2 3" xfId="5629"/>
    <cellStyle name="Normal 53 7 3" xfId="5630"/>
    <cellStyle name="Normal 53 7 4" xfId="5631"/>
    <cellStyle name="Normal 53 8" xfId="5632"/>
    <cellStyle name="Normal 53 8 2" xfId="5633"/>
    <cellStyle name="Normal 53 9" xfId="5634"/>
    <cellStyle name="Normal 53 9 2" xfId="5635"/>
    <cellStyle name="Normal 53 9 3" xfId="5636"/>
    <cellStyle name="Normal 54" xfId="5637"/>
    <cellStyle name="Normal 54 10" xfId="5638"/>
    <cellStyle name="Normal 54 2" xfId="5639"/>
    <cellStyle name="Normal 54 2 2" xfId="5640"/>
    <cellStyle name="Normal 54 2 2 2" xfId="5641"/>
    <cellStyle name="Normal 54 2 2 2 2" xfId="5642"/>
    <cellStyle name="Normal 54 2 2 2 3" xfId="5643"/>
    <cellStyle name="Normal 54 2 2 3" xfId="5644"/>
    <cellStyle name="Normal 54 2 2 4" xfId="5645"/>
    <cellStyle name="Normal 54 2 3" xfId="5646"/>
    <cellStyle name="Normal 54 2 3 2" xfId="5647"/>
    <cellStyle name="Normal 54 2 3 3" xfId="5648"/>
    <cellStyle name="Normal 54 2 4" xfId="5649"/>
    <cellStyle name="Normal 54 2 5" xfId="5650"/>
    <cellStyle name="Normal 54 3" xfId="5651"/>
    <cellStyle name="Normal 54 3 2" xfId="5652"/>
    <cellStyle name="Normal 54 3 2 2" xfId="5653"/>
    <cellStyle name="Normal 54 3 2 2 2" xfId="5654"/>
    <cellStyle name="Normal 54 3 2 2 3" xfId="5655"/>
    <cellStyle name="Normal 54 3 2 3" xfId="5656"/>
    <cellStyle name="Normal 54 3 2 4" xfId="5657"/>
    <cellStyle name="Normal 54 3 3" xfId="5658"/>
    <cellStyle name="Normal 54 3 3 2" xfId="5659"/>
    <cellStyle name="Normal 54 3 3 3" xfId="5660"/>
    <cellStyle name="Normal 54 3 4" xfId="5661"/>
    <cellStyle name="Normal 54 3 5" xfId="5662"/>
    <cellStyle name="Normal 54 4" xfId="5663"/>
    <cellStyle name="Normal 54 4 2" xfId="5664"/>
    <cellStyle name="Normal 54 4 2 2" xfId="5665"/>
    <cellStyle name="Normal 54 4 2 2 2" xfId="5666"/>
    <cellStyle name="Normal 54 4 2 2 3" xfId="5667"/>
    <cellStyle name="Normal 54 4 2 3" xfId="5668"/>
    <cellStyle name="Normal 54 4 2 4" xfId="5669"/>
    <cellStyle name="Normal 54 4 3" xfId="5670"/>
    <cellStyle name="Normal 54 4 3 2" xfId="5671"/>
    <cellStyle name="Normal 54 4 3 3" xfId="5672"/>
    <cellStyle name="Normal 54 4 4" xfId="5673"/>
    <cellStyle name="Normal 54 4 5" xfId="5674"/>
    <cellStyle name="Normal 54 5" xfId="5675"/>
    <cellStyle name="Normal 54 5 2" xfId="5676"/>
    <cellStyle name="Normal 54 5 2 2" xfId="5677"/>
    <cellStyle name="Normal 54 5 2 2 2" xfId="5678"/>
    <cellStyle name="Normal 54 5 2 2 3" xfId="5679"/>
    <cellStyle name="Normal 54 5 2 3" xfId="5680"/>
    <cellStyle name="Normal 54 5 2 4" xfId="5681"/>
    <cellStyle name="Normal 54 5 3" xfId="5682"/>
    <cellStyle name="Normal 54 5 3 2" xfId="5683"/>
    <cellStyle name="Normal 54 5 3 3" xfId="5684"/>
    <cellStyle name="Normal 54 5 4" xfId="5685"/>
    <cellStyle name="Normal 54 5 5" xfId="5686"/>
    <cellStyle name="Normal 54 6" xfId="5687"/>
    <cellStyle name="Normal 54 6 2" xfId="5688"/>
    <cellStyle name="Normal 54 6 2 2" xfId="5689"/>
    <cellStyle name="Normal 54 6 2 2 2" xfId="5690"/>
    <cellStyle name="Normal 54 6 2 2 3" xfId="5691"/>
    <cellStyle name="Normal 54 6 2 3" xfId="5692"/>
    <cellStyle name="Normal 54 6 2 4" xfId="5693"/>
    <cellStyle name="Normal 54 6 3" xfId="5694"/>
    <cellStyle name="Normal 54 6 3 2" xfId="5695"/>
    <cellStyle name="Normal 54 6 3 3" xfId="5696"/>
    <cellStyle name="Normal 54 6 4" xfId="5697"/>
    <cellStyle name="Normal 54 6 5" xfId="5698"/>
    <cellStyle name="Normal 54 7" xfId="5699"/>
    <cellStyle name="Normal 54 7 2" xfId="5700"/>
    <cellStyle name="Normal 54 7 2 2" xfId="5701"/>
    <cellStyle name="Normal 54 7 2 3" xfId="5702"/>
    <cellStyle name="Normal 54 7 3" xfId="5703"/>
    <cellStyle name="Normal 54 7 4" xfId="5704"/>
    <cellStyle name="Normal 54 8" xfId="5705"/>
    <cellStyle name="Normal 54 8 2" xfId="5706"/>
    <cellStyle name="Normal 54 9" xfId="5707"/>
    <cellStyle name="Normal 54 9 2" xfId="5708"/>
    <cellStyle name="Normal 54 9 3" xfId="5709"/>
    <cellStyle name="Normal 55" xfId="5710"/>
    <cellStyle name="Normal 55 10" xfId="5711"/>
    <cellStyle name="Normal 55 2" xfId="5712"/>
    <cellStyle name="Normal 55 2 10" xfId="5713"/>
    <cellStyle name="Normal 55 2 2" xfId="5714"/>
    <cellStyle name="Normal 55 2 2 2" xfId="5715"/>
    <cellStyle name="Normal 55 2 2 2 2" xfId="5716"/>
    <cellStyle name="Normal 55 2 2 2 2 2" xfId="5717"/>
    <cellStyle name="Normal 55 2 2 2 2 3" xfId="5718"/>
    <cellStyle name="Normal 55 2 2 2 3" xfId="5719"/>
    <cellStyle name="Normal 55 2 2 2 4" xfId="5720"/>
    <cellStyle name="Normal 55 2 2 3" xfId="5721"/>
    <cellStyle name="Normal 55 2 2 3 2" xfId="5722"/>
    <cellStyle name="Normal 55 2 2 3 3" xfId="5723"/>
    <cellStyle name="Normal 55 2 2 4" xfId="5724"/>
    <cellStyle name="Normal 55 2 2 5" xfId="5725"/>
    <cellStyle name="Normal 55 2 3" xfId="5726"/>
    <cellStyle name="Normal 55 2 3 2" xfId="5727"/>
    <cellStyle name="Normal 55 2 3 2 2" xfId="5728"/>
    <cellStyle name="Normal 55 2 3 2 2 2" xfId="5729"/>
    <cellStyle name="Normal 55 2 3 2 2 3" xfId="5730"/>
    <cellStyle name="Normal 55 2 3 2 3" xfId="5731"/>
    <cellStyle name="Normal 55 2 3 2 4" xfId="5732"/>
    <cellStyle name="Normal 55 2 3 3" xfId="5733"/>
    <cellStyle name="Normal 55 2 3 3 2" xfId="5734"/>
    <cellStyle name="Normal 55 2 3 3 3" xfId="5735"/>
    <cellStyle name="Normal 55 2 3 4" xfId="5736"/>
    <cellStyle name="Normal 55 2 3 5" xfId="5737"/>
    <cellStyle name="Normal 55 2 4" xfId="5738"/>
    <cellStyle name="Normal 55 2 4 2" xfId="5739"/>
    <cellStyle name="Normal 55 2 4 2 2" xfId="5740"/>
    <cellStyle name="Normal 55 2 4 2 2 2" xfId="5741"/>
    <cellStyle name="Normal 55 2 4 2 2 3" xfId="5742"/>
    <cellStyle name="Normal 55 2 4 2 3" xfId="5743"/>
    <cellStyle name="Normal 55 2 4 2 4" xfId="5744"/>
    <cellStyle name="Normal 55 2 4 3" xfId="5745"/>
    <cellStyle name="Normal 55 2 4 3 2" xfId="5746"/>
    <cellStyle name="Normal 55 2 4 3 3" xfId="5747"/>
    <cellStyle name="Normal 55 2 4 4" xfId="5748"/>
    <cellStyle name="Normal 55 2 4 5" xfId="5749"/>
    <cellStyle name="Normal 55 2 5" xfId="5750"/>
    <cellStyle name="Normal 55 2 5 2" xfId="5751"/>
    <cellStyle name="Normal 55 2 5 2 2" xfId="5752"/>
    <cellStyle name="Normal 55 2 5 2 2 2" xfId="5753"/>
    <cellStyle name="Normal 55 2 5 2 2 3" xfId="5754"/>
    <cellStyle name="Normal 55 2 5 2 3" xfId="5755"/>
    <cellStyle name="Normal 55 2 5 2 4" xfId="5756"/>
    <cellStyle name="Normal 55 2 5 3" xfId="5757"/>
    <cellStyle name="Normal 55 2 5 3 2" xfId="5758"/>
    <cellStyle name="Normal 55 2 5 3 3" xfId="5759"/>
    <cellStyle name="Normal 55 2 5 4" xfId="5760"/>
    <cellStyle name="Normal 55 2 5 5" xfId="5761"/>
    <cellStyle name="Normal 55 2 6" xfId="5762"/>
    <cellStyle name="Normal 55 2 6 2" xfId="5763"/>
    <cellStyle name="Normal 55 2 6 2 2" xfId="5764"/>
    <cellStyle name="Normal 55 2 6 2 2 2" xfId="5765"/>
    <cellStyle name="Normal 55 2 6 2 2 3" xfId="5766"/>
    <cellStyle name="Normal 55 2 6 2 3" xfId="5767"/>
    <cellStyle name="Normal 55 2 6 2 4" xfId="5768"/>
    <cellStyle name="Normal 55 2 6 3" xfId="5769"/>
    <cellStyle name="Normal 55 2 6 3 2" xfId="5770"/>
    <cellStyle name="Normal 55 2 6 3 3" xfId="5771"/>
    <cellStyle name="Normal 55 2 6 4" xfId="5772"/>
    <cellStyle name="Normal 55 2 6 5" xfId="5773"/>
    <cellStyle name="Normal 55 2 7" xfId="5774"/>
    <cellStyle name="Normal 55 2 7 2" xfId="5775"/>
    <cellStyle name="Normal 55 2 7 2 2" xfId="5776"/>
    <cellStyle name="Normal 55 2 7 2 3" xfId="5777"/>
    <cellStyle name="Normal 55 2 7 3" xfId="5778"/>
    <cellStyle name="Normal 55 2 7 4" xfId="5779"/>
    <cellStyle name="Normal 55 2 8" xfId="5780"/>
    <cellStyle name="Normal 55 2 8 2" xfId="5781"/>
    <cellStyle name="Normal 55 2 8 3" xfId="5782"/>
    <cellStyle name="Normal 55 2 9" xfId="5783"/>
    <cellStyle name="Normal 55 3" xfId="5784"/>
    <cellStyle name="Normal 55 3 2" xfId="5785"/>
    <cellStyle name="Normal 55 3 2 2" xfId="5786"/>
    <cellStyle name="Normal 55 3 2 2 2" xfId="5787"/>
    <cellStyle name="Normal 55 3 2 3" xfId="5788"/>
    <cellStyle name="Normal 55 3 3" xfId="5789"/>
    <cellStyle name="Normal 55 3 3 2" xfId="5790"/>
    <cellStyle name="Normal 55 3 4" xfId="5791"/>
    <cellStyle name="Normal 55 4" xfId="5792"/>
    <cellStyle name="Normal 55 4 2" xfId="5793"/>
    <cellStyle name="Normal 55 4 2 2" xfId="5794"/>
    <cellStyle name="Normal 55 4 2 2 2" xfId="5795"/>
    <cellStyle name="Normal 55 4 2 3" xfId="5796"/>
    <cellStyle name="Normal 55 4 3" xfId="5797"/>
    <cellStyle name="Normal 55 4 3 2" xfId="5798"/>
    <cellStyle name="Normal 55 4 4" xfId="5799"/>
    <cellStyle name="Normal 55 5" xfId="5800"/>
    <cellStyle name="Normal 55 5 2" xfId="5801"/>
    <cellStyle name="Normal 55 5 2 2" xfId="5802"/>
    <cellStyle name="Normal 55 5 2 2 2" xfId="5803"/>
    <cellStyle name="Normal 55 5 2 3" xfId="5804"/>
    <cellStyle name="Normal 55 5 3" xfId="5805"/>
    <cellStyle name="Normal 55 5 3 2" xfId="5806"/>
    <cellStyle name="Normal 55 5 4" xfId="5807"/>
    <cellStyle name="Normal 55 6" xfId="5808"/>
    <cellStyle name="Normal 55 6 2" xfId="5809"/>
    <cellStyle name="Normal 55 6 2 2" xfId="5810"/>
    <cellStyle name="Normal 55 6 2 2 2" xfId="5811"/>
    <cellStyle name="Normal 55 6 2 3" xfId="5812"/>
    <cellStyle name="Normal 55 6 3" xfId="5813"/>
    <cellStyle name="Normal 55 6 3 2" xfId="5814"/>
    <cellStyle name="Normal 55 6 4" xfId="5815"/>
    <cellStyle name="Normal 55 7" xfId="5816"/>
    <cellStyle name="Normal 55 7 2" xfId="5817"/>
    <cellStyle name="Normal 55 7 2 2" xfId="5818"/>
    <cellStyle name="Normal 55 7 2 2 2" xfId="5819"/>
    <cellStyle name="Normal 55 7 2 3" xfId="5820"/>
    <cellStyle name="Normal 55 7 3" xfId="5821"/>
    <cellStyle name="Normal 55 7 3 2" xfId="5822"/>
    <cellStyle name="Normal 55 7 4" xfId="5823"/>
    <cellStyle name="Normal 55 8" xfId="5824"/>
    <cellStyle name="Normal 55 8 2" xfId="5825"/>
    <cellStyle name="Normal 55 8 2 2" xfId="5826"/>
    <cellStyle name="Normal 55 8 3" xfId="5827"/>
    <cellStyle name="Normal 55 9" xfId="5828"/>
    <cellStyle name="Normal 55 9 2" xfId="5829"/>
    <cellStyle name="Normal 56" xfId="5830"/>
    <cellStyle name="Normal 56 10" xfId="5831"/>
    <cellStyle name="Normal 56 2" xfId="5832"/>
    <cellStyle name="Normal 56 2 2" xfId="5833"/>
    <cellStyle name="Normal 56 2 2 2" xfId="5834"/>
    <cellStyle name="Normal 56 2 2 2 2" xfId="5835"/>
    <cellStyle name="Normal 56 2 2 2 3" xfId="5836"/>
    <cellStyle name="Normal 56 2 2 3" xfId="5837"/>
    <cellStyle name="Normal 56 2 2 4" xfId="5838"/>
    <cellStyle name="Normal 56 2 3" xfId="5839"/>
    <cellStyle name="Normal 56 2 3 2" xfId="5840"/>
    <cellStyle name="Normal 56 2 3 3" xfId="5841"/>
    <cellStyle name="Normal 56 2 4" xfId="5842"/>
    <cellStyle name="Normal 56 2 5" xfId="5843"/>
    <cellStyle name="Normal 56 3" xfId="5844"/>
    <cellStyle name="Normal 56 3 2" xfId="5845"/>
    <cellStyle name="Normal 56 3 2 2" xfId="5846"/>
    <cellStyle name="Normal 56 3 2 2 2" xfId="5847"/>
    <cellStyle name="Normal 56 3 2 2 3" xfId="5848"/>
    <cellStyle name="Normal 56 3 2 3" xfId="5849"/>
    <cellStyle name="Normal 56 3 2 4" xfId="5850"/>
    <cellStyle name="Normal 56 3 3" xfId="5851"/>
    <cellStyle name="Normal 56 3 3 2" xfId="5852"/>
    <cellStyle name="Normal 56 3 3 3" xfId="5853"/>
    <cellStyle name="Normal 56 3 4" xfId="5854"/>
    <cellStyle name="Normal 56 3 5" xfId="5855"/>
    <cellStyle name="Normal 56 4" xfId="5856"/>
    <cellStyle name="Normal 56 4 2" xfId="5857"/>
    <cellStyle name="Normal 56 4 2 2" xfId="5858"/>
    <cellStyle name="Normal 56 4 2 2 2" xfId="5859"/>
    <cellStyle name="Normal 56 4 2 2 3" xfId="5860"/>
    <cellStyle name="Normal 56 4 2 3" xfId="5861"/>
    <cellStyle name="Normal 56 4 2 4" xfId="5862"/>
    <cellStyle name="Normal 56 4 3" xfId="5863"/>
    <cellStyle name="Normal 56 4 3 2" xfId="5864"/>
    <cellStyle name="Normal 56 4 3 3" xfId="5865"/>
    <cellStyle name="Normal 56 4 4" xfId="5866"/>
    <cellStyle name="Normal 56 4 5" xfId="5867"/>
    <cellStyle name="Normal 56 5" xfId="5868"/>
    <cellStyle name="Normal 56 5 2" xfId="5869"/>
    <cellStyle name="Normal 56 5 2 2" xfId="5870"/>
    <cellStyle name="Normal 56 5 2 2 2" xfId="5871"/>
    <cellStyle name="Normal 56 5 2 2 3" xfId="5872"/>
    <cellStyle name="Normal 56 5 2 3" xfId="5873"/>
    <cellStyle name="Normal 56 5 2 4" xfId="5874"/>
    <cellStyle name="Normal 56 5 3" xfId="5875"/>
    <cellStyle name="Normal 56 5 3 2" xfId="5876"/>
    <cellStyle name="Normal 56 5 3 3" xfId="5877"/>
    <cellStyle name="Normal 56 5 4" xfId="5878"/>
    <cellStyle name="Normal 56 5 5" xfId="5879"/>
    <cellStyle name="Normal 56 6" xfId="5880"/>
    <cellStyle name="Normal 56 6 2" xfId="5881"/>
    <cellStyle name="Normal 56 6 2 2" xfId="5882"/>
    <cellStyle name="Normal 56 6 2 2 2" xfId="5883"/>
    <cellStyle name="Normal 56 6 2 2 3" xfId="5884"/>
    <cellStyle name="Normal 56 6 2 3" xfId="5885"/>
    <cellStyle name="Normal 56 6 2 4" xfId="5886"/>
    <cellStyle name="Normal 56 6 3" xfId="5887"/>
    <cellStyle name="Normal 56 6 3 2" xfId="5888"/>
    <cellStyle name="Normal 56 6 3 3" xfId="5889"/>
    <cellStyle name="Normal 56 6 4" xfId="5890"/>
    <cellStyle name="Normal 56 6 5" xfId="5891"/>
    <cellStyle name="Normal 56 7" xfId="5892"/>
    <cellStyle name="Normal 56 7 2" xfId="5893"/>
    <cellStyle name="Normal 56 7 2 2" xfId="5894"/>
    <cellStyle name="Normal 56 7 2 3" xfId="5895"/>
    <cellStyle name="Normal 56 7 3" xfId="5896"/>
    <cellStyle name="Normal 56 7 4" xfId="5897"/>
    <cellStyle name="Normal 56 8" xfId="5898"/>
    <cellStyle name="Normal 56 8 2" xfId="5899"/>
    <cellStyle name="Normal 56 9" xfId="5900"/>
    <cellStyle name="Normal 56 9 2" xfId="5901"/>
    <cellStyle name="Normal 56 9 3" xfId="5902"/>
    <cellStyle name="Normal 57" xfId="5903"/>
    <cellStyle name="Normal 57 10" xfId="5904"/>
    <cellStyle name="Normal 57 2" xfId="5905"/>
    <cellStyle name="Normal 57 2 2" xfId="5906"/>
    <cellStyle name="Normal 57 2 2 2" xfId="5907"/>
    <cellStyle name="Normal 57 2 2 2 2" xfId="5908"/>
    <cellStyle name="Normal 57 2 2 2 3" xfId="5909"/>
    <cellStyle name="Normal 57 2 2 3" xfId="5910"/>
    <cellStyle name="Normal 57 2 2 4" xfId="5911"/>
    <cellStyle name="Normal 57 2 3" xfId="5912"/>
    <cellStyle name="Normal 57 2 3 2" xfId="5913"/>
    <cellStyle name="Normal 57 2 4" xfId="5914"/>
    <cellStyle name="Normal 57 2 4 2" xfId="5915"/>
    <cellStyle name="Normal 57 2 4 3" xfId="5916"/>
    <cellStyle name="Normal 57 2 5" xfId="5917"/>
    <cellStyle name="Normal 57 3" xfId="5918"/>
    <cellStyle name="Normal 57 3 2" xfId="5919"/>
    <cellStyle name="Normal 57 3 2 2" xfId="5920"/>
    <cellStyle name="Normal 57 3 2 2 2" xfId="5921"/>
    <cellStyle name="Normal 57 3 2 2 3" xfId="5922"/>
    <cellStyle name="Normal 57 3 2 3" xfId="5923"/>
    <cellStyle name="Normal 57 3 2 4" xfId="5924"/>
    <cellStyle name="Normal 57 3 3" xfId="5925"/>
    <cellStyle name="Normal 57 3 3 2" xfId="5926"/>
    <cellStyle name="Normal 57 3 3 3" xfId="5927"/>
    <cellStyle name="Normal 57 3 4" xfId="5928"/>
    <cellStyle name="Normal 57 3 5" xfId="5929"/>
    <cellStyle name="Normal 57 4" xfId="5930"/>
    <cellStyle name="Normal 57 4 2" xfId="5931"/>
    <cellStyle name="Normal 57 4 2 2" xfId="5932"/>
    <cellStyle name="Normal 57 4 2 2 2" xfId="5933"/>
    <cellStyle name="Normal 57 4 2 2 3" xfId="5934"/>
    <cellStyle name="Normal 57 4 2 3" xfId="5935"/>
    <cellStyle name="Normal 57 4 2 4" xfId="5936"/>
    <cellStyle name="Normal 57 4 3" xfId="5937"/>
    <cellStyle name="Normal 57 4 3 2" xfId="5938"/>
    <cellStyle name="Normal 57 4 3 3" xfId="5939"/>
    <cellStyle name="Normal 57 4 4" xfId="5940"/>
    <cellStyle name="Normal 57 4 5" xfId="5941"/>
    <cellStyle name="Normal 57 5" xfId="5942"/>
    <cellStyle name="Normal 57 5 2" xfId="5943"/>
    <cellStyle name="Normal 57 5 2 2" xfId="5944"/>
    <cellStyle name="Normal 57 5 2 2 2" xfId="5945"/>
    <cellStyle name="Normal 57 5 2 2 3" xfId="5946"/>
    <cellStyle name="Normal 57 5 2 3" xfId="5947"/>
    <cellStyle name="Normal 57 5 2 4" xfId="5948"/>
    <cellStyle name="Normal 57 5 3" xfId="5949"/>
    <cellStyle name="Normal 57 5 3 2" xfId="5950"/>
    <cellStyle name="Normal 57 5 3 3" xfId="5951"/>
    <cellStyle name="Normal 57 5 4" xfId="5952"/>
    <cellStyle name="Normal 57 5 5" xfId="5953"/>
    <cellStyle name="Normal 57 6" xfId="5954"/>
    <cellStyle name="Normal 57 6 2" xfId="5955"/>
    <cellStyle name="Normal 57 6 2 2" xfId="5956"/>
    <cellStyle name="Normal 57 6 2 2 2" xfId="5957"/>
    <cellStyle name="Normal 57 6 2 2 3" xfId="5958"/>
    <cellStyle name="Normal 57 6 2 3" xfId="5959"/>
    <cellStyle name="Normal 57 6 2 4" xfId="5960"/>
    <cellStyle name="Normal 57 6 3" xfId="5961"/>
    <cellStyle name="Normal 57 6 3 2" xfId="5962"/>
    <cellStyle name="Normal 57 6 3 3" xfId="5963"/>
    <cellStyle name="Normal 57 6 4" xfId="5964"/>
    <cellStyle name="Normal 57 6 5" xfId="5965"/>
    <cellStyle name="Normal 57 7" xfId="5966"/>
    <cellStyle name="Normal 57 7 2" xfId="5967"/>
    <cellStyle name="Normal 57 7 2 2" xfId="5968"/>
    <cellStyle name="Normal 57 7 2 3" xfId="5969"/>
    <cellStyle name="Normal 57 7 3" xfId="5970"/>
    <cellStyle name="Normal 57 7 4" xfId="5971"/>
    <cellStyle name="Normal 57 8" xfId="5972"/>
    <cellStyle name="Normal 57 8 2" xfId="5973"/>
    <cellStyle name="Normal 57 9" xfId="5974"/>
    <cellStyle name="Normal 57 9 2" xfId="5975"/>
    <cellStyle name="Normal 57 9 3" xfId="5976"/>
    <cellStyle name="Normal 58" xfId="5977"/>
    <cellStyle name="Normal 58 10" xfId="5978"/>
    <cellStyle name="Normal 58 2" xfId="5979"/>
    <cellStyle name="Normal 58 2 2" xfId="5980"/>
    <cellStyle name="Normal 58 2 2 2" xfId="5981"/>
    <cellStyle name="Normal 58 2 2 2 2" xfId="5982"/>
    <cellStyle name="Normal 58 2 2 2 3" xfId="5983"/>
    <cellStyle name="Normal 58 2 2 3" xfId="5984"/>
    <cellStyle name="Normal 58 2 2 4" xfId="5985"/>
    <cellStyle name="Normal 58 2 3" xfId="5986"/>
    <cellStyle name="Normal 58 2 3 2" xfId="5987"/>
    <cellStyle name="Normal 58 2 3 3" xfId="5988"/>
    <cellStyle name="Normal 58 2 4" xfId="5989"/>
    <cellStyle name="Normal 58 2 5" xfId="5990"/>
    <cellStyle name="Normal 58 3" xfId="5991"/>
    <cellStyle name="Normal 58 3 2" xfId="5992"/>
    <cellStyle name="Normal 58 3 2 2" xfId="5993"/>
    <cellStyle name="Normal 58 3 2 2 2" xfId="5994"/>
    <cellStyle name="Normal 58 3 2 2 3" xfId="5995"/>
    <cellStyle name="Normal 58 3 2 3" xfId="5996"/>
    <cellStyle name="Normal 58 3 2 4" xfId="5997"/>
    <cellStyle name="Normal 58 3 3" xfId="5998"/>
    <cellStyle name="Normal 58 3 3 2" xfId="5999"/>
    <cellStyle name="Normal 58 3 3 3" xfId="6000"/>
    <cellStyle name="Normal 58 3 4" xfId="6001"/>
    <cellStyle name="Normal 58 3 5" xfId="6002"/>
    <cellStyle name="Normal 58 4" xfId="6003"/>
    <cellStyle name="Normal 58 4 2" xfId="6004"/>
    <cellStyle name="Normal 58 4 2 2" xfId="6005"/>
    <cellStyle name="Normal 58 4 2 2 2" xfId="6006"/>
    <cellStyle name="Normal 58 4 2 2 3" xfId="6007"/>
    <cellStyle name="Normal 58 4 2 3" xfId="6008"/>
    <cellStyle name="Normal 58 4 2 4" xfId="6009"/>
    <cellStyle name="Normal 58 4 3" xfId="6010"/>
    <cellStyle name="Normal 58 4 3 2" xfId="6011"/>
    <cellStyle name="Normal 58 4 3 3" xfId="6012"/>
    <cellStyle name="Normal 58 4 4" xfId="6013"/>
    <cellStyle name="Normal 58 4 5" xfId="6014"/>
    <cellStyle name="Normal 58 5" xfId="6015"/>
    <cellStyle name="Normal 58 5 2" xfId="6016"/>
    <cellStyle name="Normal 58 5 2 2" xfId="6017"/>
    <cellStyle name="Normal 58 5 2 2 2" xfId="6018"/>
    <cellStyle name="Normal 58 5 2 2 3" xfId="6019"/>
    <cellStyle name="Normal 58 5 2 3" xfId="6020"/>
    <cellStyle name="Normal 58 5 2 4" xfId="6021"/>
    <cellStyle name="Normal 58 5 3" xfId="6022"/>
    <cellStyle name="Normal 58 5 3 2" xfId="6023"/>
    <cellStyle name="Normal 58 5 3 3" xfId="6024"/>
    <cellStyle name="Normal 58 5 4" xfId="6025"/>
    <cellStyle name="Normal 58 5 5" xfId="6026"/>
    <cellStyle name="Normal 58 6" xfId="6027"/>
    <cellStyle name="Normal 58 6 2" xfId="6028"/>
    <cellStyle name="Normal 58 6 2 2" xfId="6029"/>
    <cellStyle name="Normal 58 6 2 2 2" xfId="6030"/>
    <cellStyle name="Normal 58 6 2 2 3" xfId="6031"/>
    <cellStyle name="Normal 58 6 2 3" xfId="6032"/>
    <cellStyle name="Normal 58 6 2 4" xfId="6033"/>
    <cellStyle name="Normal 58 6 3" xfId="6034"/>
    <cellStyle name="Normal 58 6 3 2" xfId="6035"/>
    <cellStyle name="Normal 58 6 3 3" xfId="6036"/>
    <cellStyle name="Normal 58 6 4" xfId="6037"/>
    <cellStyle name="Normal 58 6 5" xfId="6038"/>
    <cellStyle name="Normal 58 7" xfId="6039"/>
    <cellStyle name="Normal 58 7 2" xfId="6040"/>
    <cellStyle name="Normal 58 7 2 2" xfId="6041"/>
    <cellStyle name="Normal 58 7 2 3" xfId="6042"/>
    <cellStyle name="Normal 58 7 3" xfId="6043"/>
    <cellStyle name="Normal 58 7 4" xfId="6044"/>
    <cellStyle name="Normal 58 8" xfId="6045"/>
    <cellStyle name="Normal 58 8 2" xfId="6046"/>
    <cellStyle name="Normal 58 9" xfId="6047"/>
    <cellStyle name="Normal 58 9 2" xfId="6048"/>
    <cellStyle name="Normal 58 9 3" xfId="6049"/>
    <cellStyle name="Normal 59" xfId="6050"/>
    <cellStyle name="Normal 59 2" xfId="6051"/>
    <cellStyle name="Normal 59 2 2" xfId="6052"/>
    <cellStyle name="Normal 59 3" xfId="6053"/>
    <cellStyle name="Normal 6" xfId="6054"/>
    <cellStyle name="Normal 6 10" xfId="6055"/>
    <cellStyle name="Normal 6 10 2" xfId="6056"/>
    <cellStyle name="Normal 6 10 2 2" xfId="6057"/>
    <cellStyle name="Normal 6 10 2 3" xfId="6058"/>
    <cellStyle name="Normal 6 10 3" xfId="6059"/>
    <cellStyle name="Normal 6 10 4" xfId="6060"/>
    <cellStyle name="Normal 6 11" xfId="6061"/>
    <cellStyle name="Normal 6 11 2" xfId="6062"/>
    <cellStyle name="Normal 6 12" xfId="6063"/>
    <cellStyle name="Normal 6 2" xfId="94"/>
    <cellStyle name="Normal 6 2 2" xfId="208"/>
    <cellStyle name="Normal 6 2 2 2" xfId="6064"/>
    <cellStyle name="Normal 6 2 3" xfId="6065"/>
    <cellStyle name="Normal 6 2 3 2" xfId="6066"/>
    <cellStyle name="Normal 6 2 4" xfId="6067"/>
    <cellStyle name="Normal 6 2 4 2" xfId="6068"/>
    <cellStyle name="Normal 6 2 5" xfId="6069"/>
    <cellStyle name="Normal 6 2 5 2" xfId="6070"/>
    <cellStyle name="Normal 6 2 6" xfId="6071"/>
    <cellStyle name="Normal 6 2 6 2" xfId="6072"/>
    <cellStyle name="Normal 6 2 7" xfId="6073"/>
    <cellStyle name="Normal 6 2 7 2" xfId="6074"/>
    <cellStyle name="Normal 6 2 8" xfId="6075"/>
    <cellStyle name="Normal 6 2 8 2" xfId="6076"/>
    <cellStyle name="Normal 6 2 9" xfId="6077"/>
    <cellStyle name="Normal 6 3" xfId="95"/>
    <cellStyle name="Normal 6 3 2" xfId="6078"/>
    <cellStyle name="Normal 6 4" xfId="96"/>
    <cellStyle name="Normal 6 4 2" xfId="6079"/>
    <cellStyle name="Normal 6 4 2 2" xfId="6080"/>
    <cellStyle name="Normal 6 4 2 2 2" xfId="6081"/>
    <cellStyle name="Normal 6 4 2 2 3" xfId="6082"/>
    <cellStyle name="Normal 6 4 2 3" xfId="6083"/>
    <cellStyle name="Normal 6 4 2 4" xfId="6084"/>
    <cellStyle name="Normal 6 4 3" xfId="6085"/>
    <cellStyle name="Normal 6 4 3 2" xfId="6086"/>
    <cellStyle name="Normal 6 4 4" xfId="6087"/>
    <cellStyle name="Normal 6 4 4 2" xfId="6088"/>
    <cellStyle name="Normal 6 4 4 3" xfId="6089"/>
    <cellStyle name="Normal 6 4 5" xfId="6090"/>
    <cellStyle name="Normal 6 5" xfId="207"/>
    <cellStyle name="Normal 6 5 2" xfId="6091"/>
    <cellStyle name="Normal 6 6" xfId="6092"/>
    <cellStyle name="Normal 6 6 2" xfId="6093"/>
    <cellStyle name="Normal 6 7" xfId="6094"/>
    <cellStyle name="Normal 6 7 2" xfId="6095"/>
    <cellStyle name="Normal 6 8" xfId="6096"/>
    <cellStyle name="Normal 6 8 2" xfId="6097"/>
    <cellStyle name="Normal 6 9" xfId="6098"/>
    <cellStyle name="Normal 6 9 2" xfId="6099"/>
    <cellStyle name="Normal 6 9 2 2" xfId="6100"/>
    <cellStyle name="Normal 6 9 2 3" xfId="6101"/>
    <cellStyle name="Normal 6 9 3" xfId="6102"/>
    <cellStyle name="Normal 6 9 4" xfId="6103"/>
    <cellStyle name="Normal 60" xfId="6104"/>
    <cellStyle name="Normal 60 2" xfId="6105"/>
    <cellStyle name="Normal 60 2 2" xfId="6106"/>
    <cellStyle name="Normal 60 3" xfId="6107"/>
    <cellStyle name="Normal 61" xfId="6108"/>
    <cellStyle name="Normal 61 2" xfId="6109"/>
    <cellStyle name="Normal 61 2 2" xfId="6110"/>
    <cellStyle name="Normal 61 3" xfId="6111"/>
    <cellStyle name="Normal 61 3 2" xfId="6112"/>
    <cellStyle name="Normal 61 4" xfId="6113"/>
    <cellStyle name="Normal 61 4 2" xfId="6114"/>
    <cellStyle name="Normal 61 5" xfId="6115"/>
    <cellStyle name="Normal 61 5 2" xfId="6116"/>
    <cellStyle name="Normal 61 6" xfId="6117"/>
    <cellStyle name="Normal 61 6 2" xfId="6118"/>
    <cellStyle name="Normal 61 7" xfId="6119"/>
    <cellStyle name="Normal 62" xfId="6120"/>
    <cellStyle name="Normal 62 2" xfId="6121"/>
    <cellStyle name="Normal 62 2 2" xfId="6122"/>
    <cellStyle name="Normal 62 3" xfId="6123"/>
    <cellStyle name="Normal 62 3 2" xfId="6124"/>
    <cellStyle name="Normal 62 4" xfId="6125"/>
    <cellStyle name="Normal 62 4 2" xfId="6126"/>
    <cellStyle name="Normal 62 5" xfId="6127"/>
    <cellStyle name="Normal 62 5 2" xfId="6128"/>
    <cellStyle name="Normal 62 6" xfId="6129"/>
    <cellStyle name="Normal 62 6 2" xfId="6130"/>
    <cellStyle name="Normal 62 7" xfId="6131"/>
    <cellStyle name="Normal 63" xfId="6132"/>
    <cellStyle name="Normal 63 2" xfId="6133"/>
    <cellStyle name="Normal 63 2 2" xfId="6134"/>
    <cellStyle name="Normal 63 3" xfId="6135"/>
    <cellStyle name="Normal 64" xfId="6136"/>
    <cellStyle name="Normal 64 2" xfId="6137"/>
    <cellStyle name="Normal 64 2 2" xfId="6138"/>
    <cellStyle name="Normal 64 3" xfId="6139"/>
    <cellStyle name="Normal 64 3 2" xfId="6140"/>
    <cellStyle name="Normal 64 4" xfId="6141"/>
    <cellStyle name="Normal 64 4 2" xfId="6142"/>
    <cellStyle name="Normal 64 5" xfId="6143"/>
    <cellStyle name="Normal 64 5 2" xfId="6144"/>
    <cellStyle name="Normal 64 6" xfId="6145"/>
    <cellStyle name="Normal 64 6 2" xfId="6146"/>
    <cellStyle name="Normal 64 7" xfId="6147"/>
    <cellStyle name="Normal 65" xfId="6148"/>
    <cellStyle name="Normal 65 2" xfId="6149"/>
    <cellStyle name="Normal 65 2 2" xfId="6150"/>
    <cellStyle name="Normal 65 2 2 2" xfId="6151"/>
    <cellStyle name="Normal 65 2 2 2 2" xfId="6152"/>
    <cellStyle name="Normal 65 2 2 2 3" xfId="6153"/>
    <cellStyle name="Normal 65 2 2 3" xfId="6154"/>
    <cellStyle name="Normal 65 2 2 4" xfId="6155"/>
    <cellStyle name="Normal 65 2 3" xfId="6156"/>
    <cellStyle name="Normal 65 2 3 2" xfId="6157"/>
    <cellStyle name="Normal 65 2 4" xfId="6158"/>
    <cellStyle name="Normal 65 2 4 2" xfId="6159"/>
    <cellStyle name="Normal 65 2 4 3" xfId="6160"/>
    <cellStyle name="Normal 65 2 5" xfId="6161"/>
    <cellStyle name="Normal 65 3" xfId="6162"/>
    <cellStyle name="Normal 65 3 2" xfId="6163"/>
    <cellStyle name="Normal 65 3 2 2" xfId="6164"/>
    <cellStyle name="Normal 65 3 2 2 2" xfId="6165"/>
    <cellStyle name="Normal 65 3 2 2 3" xfId="6166"/>
    <cellStyle name="Normal 65 3 2 3" xfId="6167"/>
    <cellStyle name="Normal 65 3 2 4" xfId="6168"/>
    <cellStyle name="Normal 65 3 3" xfId="6169"/>
    <cellStyle name="Normal 65 3 3 2" xfId="6170"/>
    <cellStyle name="Normal 65 3 3 3" xfId="6171"/>
    <cellStyle name="Normal 65 3 4" xfId="6172"/>
    <cellStyle name="Normal 65 3 5" xfId="6173"/>
    <cellStyle name="Normal 65 4" xfId="6174"/>
    <cellStyle name="Normal 65 4 2" xfId="6175"/>
    <cellStyle name="Normal 65 4 2 2" xfId="6176"/>
    <cellStyle name="Normal 65 4 2 2 2" xfId="6177"/>
    <cellStyle name="Normal 65 4 2 2 3" xfId="6178"/>
    <cellStyle name="Normal 65 4 2 3" xfId="6179"/>
    <cellStyle name="Normal 65 4 2 4" xfId="6180"/>
    <cellStyle name="Normal 65 4 3" xfId="6181"/>
    <cellStyle name="Normal 65 4 3 2" xfId="6182"/>
    <cellStyle name="Normal 65 4 3 3" xfId="6183"/>
    <cellStyle name="Normal 65 4 4" xfId="6184"/>
    <cellStyle name="Normal 65 4 5" xfId="6185"/>
    <cellStyle name="Normal 65 5" xfId="6186"/>
    <cellStyle name="Normal 65 5 2" xfId="6187"/>
    <cellStyle name="Normal 65 5 2 2" xfId="6188"/>
    <cellStyle name="Normal 65 5 2 2 2" xfId="6189"/>
    <cellStyle name="Normal 65 5 2 2 3" xfId="6190"/>
    <cellStyle name="Normal 65 5 2 3" xfId="6191"/>
    <cellStyle name="Normal 65 5 2 4" xfId="6192"/>
    <cellStyle name="Normal 65 5 3" xfId="6193"/>
    <cellStyle name="Normal 65 5 3 2" xfId="6194"/>
    <cellStyle name="Normal 65 5 3 3" xfId="6195"/>
    <cellStyle name="Normal 65 5 4" xfId="6196"/>
    <cellStyle name="Normal 65 5 5" xfId="6197"/>
    <cellStyle name="Normal 65 6" xfId="6198"/>
    <cellStyle name="Normal 65 6 2" xfId="6199"/>
    <cellStyle name="Normal 65 6 2 2" xfId="6200"/>
    <cellStyle name="Normal 65 6 2 2 2" xfId="6201"/>
    <cellStyle name="Normal 65 6 2 2 3" xfId="6202"/>
    <cellStyle name="Normal 65 6 2 3" xfId="6203"/>
    <cellStyle name="Normal 65 6 2 4" xfId="6204"/>
    <cellStyle name="Normal 65 6 3" xfId="6205"/>
    <cellStyle name="Normal 65 6 3 2" xfId="6206"/>
    <cellStyle name="Normal 65 6 3 3" xfId="6207"/>
    <cellStyle name="Normal 65 6 4" xfId="6208"/>
    <cellStyle name="Normal 65 6 5" xfId="6209"/>
    <cellStyle name="Normal 65 7" xfId="6210"/>
    <cellStyle name="Normal 65 7 2" xfId="6211"/>
    <cellStyle name="Normal 65 7 2 2" xfId="6212"/>
    <cellStyle name="Normal 65 7 2 3" xfId="6213"/>
    <cellStyle name="Normal 65 7 3" xfId="6214"/>
    <cellStyle name="Normal 65 7 4" xfId="6215"/>
    <cellStyle name="Normal 65 8" xfId="6216"/>
    <cellStyle name="Normal 65 8 2" xfId="6217"/>
    <cellStyle name="Normal 65 8 2 2" xfId="6218"/>
    <cellStyle name="Normal 65 8 2 3" xfId="6219"/>
    <cellStyle name="Normal 65 8 3" xfId="6220"/>
    <cellStyle name="Normal 65 8 4" xfId="6221"/>
    <cellStyle name="Normal 65 9" xfId="6222"/>
    <cellStyle name="Normal 66" xfId="6223"/>
    <cellStyle name="Normal 66 10" xfId="6224"/>
    <cellStyle name="Normal 66 2" xfId="6225"/>
    <cellStyle name="Normal 66 2 2" xfId="6226"/>
    <cellStyle name="Normal 66 2 2 2" xfId="6227"/>
    <cellStyle name="Normal 66 2 2 2 2" xfId="6228"/>
    <cellStyle name="Normal 66 2 2 2 3" xfId="6229"/>
    <cellStyle name="Normal 66 2 2 3" xfId="6230"/>
    <cellStyle name="Normal 66 2 2 4" xfId="6231"/>
    <cellStyle name="Normal 66 2 3" xfId="6232"/>
    <cellStyle name="Normal 66 2 3 2" xfId="6233"/>
    <cellStyle name="Normal 66 2 4" xfId="6234"/>
    <cellStyle name="Normal 66 2 4 2" xfId="6235"/>
    <cellStyle name="Normal 66 2 4 3" xfId="6236"/>
    <cellStyle name="Normal 66 2 5" xfId="6237"/>
    <cellStyle name="Normal 66 3" xfId="6238"/>
    <cellStyle name="Normal 66 3 2" xfId="6239"/>
    <cellStyle name="Normal 66 3 2 2" xfId="6240"/>
    <cellStyle name="Normal 66 3 2 2 2" xfId="6241"/>
    <cellStyle name="Normal 66 3 2 2 3" xfId="6242"/>
    <cellStyle name="Normal 66 3 2 3" xfId="6243"/>
    <cellStyle name="Normal 66 3 2 4" xfId="6244"/>
    <cellStyle name="Normal 66 3 3" xfId="6245"/>
    <cellStyle name="Normal 66 3 3 2" xfId="6246"/>
    <cellStyle name="Normal 66 3 3 3" xfId="6247"/>
    <cellStyle name="Normal 66 3 4" xfId="6248"/>
    <cellStyle name="Normal 66 3 5" xfId="6249"/>
    <cellStyle name="Normal 66 4" xfId="6250"/>
    <cellStyle name="Normal 66 4 2" xfId="6251"/>
    <cellStyle name="Normal 66 4 2 2" xfId="6252"/>
    <cellStyle name="Normal 66 4 2 2 2" xfId="6253"/>
    <cellStyle name="Normal 66 4 2 2 3" xfId="6254"/>
    <cellStyle name="Normal 66 4 2 3" xfId="6255"/>
    <cellStyle name="Normal 66 4 2 4" xfId="6256"/>
    <cellStyle name="Normal 66 4 3" xfId="6257"/>
    <cellStyle name="Normal 66 4 3 2" xfId="6258"/>
    <cellStyle name="Normal 66 4 3 3" xfId="6259"/>
    <cellStyle name="Normal 66 4 4" xfId="6260"/>
    <cellStyle name="Normal 66 4 5" xfId="6261"/>
    <cellStyle name="Normal 66 5" xfId="6262"/>
    <cellStyle name="Normal 66 5 2" xfId="6263"/>
    <cellStyle name="Normal 66 5 2 2" xfId="6264"/>
    <cellStyle name="Normal 66 5 2 2 2" xfId="6265"/>
    <cellStyle name="Normal 66 5 2 2 3" xfId="6266"/>
    <cellStyle name="Normal 66 5 2 3" xfId="6267"/>
    <cellStyle name="Normal 66 5 2 4" xfId="6268"/>
    <cellStyle name="Normal 66 5 3" xfId="6269"/>
    <cellStyle name="Normal 66 5 3 2" xfId="6270"/>
    <cellStyle name="Normal 66 5 3 3" xfId="6271"/>
    <cellStyle name="Normal 66 5 4" xfId="6272"/>
    <cellStyle name="Normal 66 5 5" xfId="6273"/>
    <cellStyle name="Normal 66 6" xfId="6274"/>
    <cellStyle name="Normal 66 6 2" xfId="6275"/>
    <cellStyle name="Normal 66 6 2 2" xfId="6276"/>
    <cellStyle name="Normal 66 6 2 2 2" xfId="6277"/>
    <cellStyle name="Normal 66 6 2 2 3" xfId="6278"/>
    <cellStyle name="Normal 66 6 2 3" xfId="6279"/>
    <cellStyle name="Normal 66 6 2 4" xfId="6280"/>
    <cellStyle name="Normal 66 6 3" xfId="6281"/>
    <cellStyle name="Normal 66 6 3 2" xfId="6282"/>
    <cellStyle name="Normal 66 6 3 3" xfId="6283"/>
    <cellStyle name="Normal 66 6 4" xfId="6284"/>
    <cellStyle name="Normal 66 6 5" xfId="6285"/>
    <cellStyle name="Normal 66 7" xfId="6286"/>
    <cellStyle name="Normal 66 7 2" xfId="6287"/>
    <cellStyle name="Normal 66 7 2 2" xfId="6288"/>
    <cellStyle name="Normal 66 7 2 3" xfId="6289"/>
    <cellStyle name="Normal 66 7 3" xfId="6290"/>
    <cellStyle name="Normal 66 7 4" xfId="6291"/>
    <cellStyle name="Normal 66 8" xfId="6292"/>
    <cellStyle name="Normal 66 8 2" xfId="6293"/>
    <cellStyle name="Normal 66 9" xfId="6294"/>
    <cellStyle name="Normal 66 9 2" xfId="6295"/>
    <cellStyle name="Normal 66 9 3" xfId="6296"/>
    <cellStyle name="Normal 67" xfId="6297"/>
    <cellStyle name="Normal 67 2" xfId="6298"/>
    <cellStyle name="Normal 67 2 2" xfId="6299"/>
    <cellStyle name="Normal 67 2 2 2" xfId="6300"/>
    <cellStyle name="Normal 67 2 2 2 2" xfId="6301"/>
    <cellStyle name="Normal 67 2 2 2 3" xfId="6302"/>
    <cellStyle name="Normal 67 2 2 3" xfId="6303"/>
    <cellStyle name="Normal 67 2 2 4" xfId="6304"/>
    <cellStyle name="Normal 67 2 3" xfId="6305"/>
    <cellStyle name="Normal 67 2 3 2" xfId="6306"/>
    <cellStyle name="Normal 67 2 4" xfId="6307"/>
    <cellStyle name="Normal 67 2 4 2" xfId="6308"/>
    <cellStyle name="Normal 67 2 4 3" xfId="6309"/>
    <cellStyle name="Normal 67 2 5" xfId="6310"/>
    <cellStyle name="Normal 67 3" xfId="6311"/>
    <cellStyle name="Normal 67 3 2" xfId="6312"/>
    <cellStyle name="Normal 67 3 2 2" xfId="6313"/>
    <cellStyle name="Normal 67 3 2 2 2" xfId="6314"/>
    <cellStyle name="Normal 67 3 2 2 3" xfId="6315"/>
    <cellStyle name="Normal 67 3 2 3" xfId="6316"/>
    <cellStyle name="Normal 67 3 2 4" xfId="6317"/>
    <cellStyle name="Normal 67 3 3" xfId="6318"/>
    <cellStyle name="Normal 67 3 3 2" xfId="6319"/>
    <cellStyle name="Normal 67 3 3 3" xfId="6320"/>
    <cellStyle name="Normal 67 3 4" xfId="6321"/>
    <cellStyle name="Normal 67 3 5" xfId="6322"/>
    <cellStyle name="Normal 67 4" xfId="6323"/>
    <cellStyle name="Normal 67 4 2" xfId="6324"/>
    <cellStyle name="Normal 67 4 2 2" xfId="6325"/>
    <cellStyle name="Normal 67 4 2 2 2" xfId="6326"/>
    <cellStyle name="Normal 67 4 2 2 3" xfId="6327"/>
    <cellStyle name="Normal 67 4 2 3" xfId="6328"/>
    <cellStyle name="Normal 67 4 2 4" xfId="6329"/>
    <cellStyle name="Normal 67 4 3" xfId="6330"/>
    <cellStyle name="Normal 67 4 3 2" xfId="6331"/>
    <cellStyle name="Normal 67 4 3 3" xfId="6332"/>
    <cellStyle name="Normal 67 4 4" xfId="6333"/>
    <cellStyle name="Normal 67 4 5" xfId="6334"/>
    <cellStyle name="Normal 67 5" xfId="6335"/>
    <cellStyle name="Normal 67 5 2" xfId="6336"/>
    <cellStyle name="Normal 67 5 2 2" xfId="6337"/>
    <cellStyle name="Normal 67 5 2 2 2" xfId="6338"/>
    <cellStyle name="Normal 67 5 2 2 3" xfId="6339"/>
    <cellStyle name="Normal 67 5 2 3" xfId="6340"/>
    <cellStyle name="Normal 67 5 2 4" xfId="6341"/>
    <cellStyle name="Normal 67 5 3" xfId="6342"/>
    <cellStyle name="Normal 67 5 3 2" xfId="6343"/>
    <cellStyle name="Normal 67 5 3 3" xfId="6344"/>
    <cellStyle name="Normal 67 5 4" xfId="6345"/>
    <cellStyle name="Normal 67 5 5" xfId="6346"/>
    <cellStyle name="Normal 67 6" xfId="6347"/>
    <cellStyle name="Normal 67 6 2" xfId="6348"/>
    <cellStyle name="Normal 67 6 2 2" xfId="6349"/>
    <cellStyle name="Normal 67 6 2 2 2" xfId="6350"/>
    <cellStyle name="Normal 67 6 2 2 3" xfId="6351"/>
    <cellStyle name="Normal 67 6 2 3" xfId="6352"/>
    <cellStyle name="Normal 67 6 2 4" xfId="6353"/>
    <cellStyle name="Normal 67 6 3" xfId="6354"/>
    <cellStyle name="Normal 67 6 3 2" xfId="6355"/>
    <cellStyle name="Normal 67 6 3 3" xfId="6356"/>
    <cellStyle name="Normal 67 6 4" xfId="6357"/>
    <cellStyle name="Normal 67 6 5" xfId="6358"/>
    <cellStyle name="Normal 67 7" xfId="6359"/>
    <cellStyle name="Normal 67 7 2" xfId="6360"/>
    <cellStyle name="Normal 67 7 2 2" xfId="6361"/>
    <cellStyle name="Normal 67 7 2 3" xfId="6362"/>
    <cellStyle name="Normal 67 7 3" xfId="6363"/>
    <cellStyle name="Normal 67 7 4" xfId="6364"/>
    <cellStyle name="Normal 67 8" xfId="6365"/>
    <cellStyle name="Normal 67 8 2" xfId="6366"/>
    <cellStyle name="Normal 67 8 2 2" xfId="6367"/>
    <cellStyle name="Normal 67 8 2 3" xfId="6368"/>
    <cellStyle name="Normal 67 8 3" xfId="6369"/>
    <cellStyle name="Normal 67 8 4" xfId="6370"/>
    <cellStyle name="Normal 67 9" xfId="6371"/>
    <cellStyle name="Normal 68" xfId="6372"/>
    <cellStyle name="Normal 68 10" xfId="6373"/>
    <cellStyle name="Normal 68 2" xfId="6374"/>
    <cellStyle name="Normal 68 2 2" xfId="6375"/>
    <cellStyle name="Normal 68 2 2 2" xfId="6376"/>
    <cellStyle name="Normal 68 2 2 2 2" xfId="6377"/>
    <cellStyle name="Normal 68 2 2 2 3" xfId="6378"/>
    <cellStyle name="Normal 68 2 2 3" xfId="6379"/>
    <cellStyle name="Normal 68 2 2 4" xfId="6380"/>
    <cellStyle name="Normal 68 2 3" xfId="6381"/>
    <cellStyle name="Normal 68 2 3 2" xfId="6382"/>
    <cellStyle name="Normal 68 2 4" xfId="6383"/>
    <cellStyle name="Normal 68 2 4 2" xfId="6384"/>
    <cellStyle name="Normal 68 2 4 3" xfId="6385"/>
    <cellStyle name="Normal 68 2 5" xfId="6386"/>
    <cellStyle name="Normal 68 3" xfId="6387"/>
    <cellStyle name="Normal 68 3 2" xfId="6388"/>
    <cellStyle name="Normal 68 3 2 2" xfId="6389"/>
    <cellStyle name="Normal 68 3 2 2 2" xfId="6390"/>
    <cellStyle name="Normal 68 3 2 2 3" xfId="6391"/>
    <cellStyle name="Normal 68 3 2 3" xfId="6392"/>
    <cellStyle name="Normal 68 3 2 4" xfId="6393"/>
    <cellStyle name="Normal 68 3 3" xfId="6394"/>
    <cellStyle name="Normal 68 3 3 2" xfId="6395"/>
    <cellStyle name="Normal 68 3 3 3" xfId="6396"/>
    <cellStyle name="Normal 68 3 4" xfId="6397"/>
    <cellStyle name="Normal 68 3 5" xfId="6398"/>
    <cellStyle name="Normal 68 4" xfId="6399"/>
    <cellStyle name="Normal 68 4 2" xfId="6400"/>
    <cellStyle name="Normal 68 4 2 2" xfId="6401"/>
    <cellStyle name="Normal 68 4 2 2 2" xfId="6402"/>
    <cellStyle name="Normal 68 4 2 2 3" xfId="6403"/>
    <cellStyle name="Normal 68 4 2 3" xfId="6404"/>
    <cellStyle name="Normal 68 4 2 4" xfId="6405"/>
    <cellStyle name="Normal 68 4 3" xfId="6406"/>
    <cellStyle name="Normal 68 4 3 2" xfId="6407"/>
    <cellStyle name="Normal 68 4 3 3" xfId="6408"/>
    <cellStyle name="Normal 68 4 4" xfId="6409"/>
    <cellStyle name="Normal 68 4 5" xfId="6410"/>
    <cellStyle name="Normal 68 5" xfId="6411"/>
    <cellStyle name="Normal 68 5 2" xfId="6412"/>
    <cellStyle name="Normal 68 5 2 2" xfId="6413"/>
    <cellStyle name="Normal 68 5 2 2 2" xfId="6414"/>
    <cellStyle name="Normal 68 5 2 2 3" xfId="6415"/>
    <cellStyle name="Normal 68 5 2 3" xfId="6416"/>
    <cellStyle name="Normal 68 5 2 4" xfId="6417"/>
    <cellStyle name="Normal 68 5 3" xfId="6418"/>
    <cellStyle name="Normal 68 5 3 2" xfId="6419"/>
    <cellStyle name="Normal 68 5 3 3" xfId="6420"/>
    <cellStyle name="Normal 68 5 4" xfId="6421"/>
    <cellStyle name="Normal 68 5 5" xfId="6422"/>
    <cellStyle name="Normal 68 6" xfId="6423"/>
    <cellStyle name="Normal 68 6 2" xfId="6424"/>
    <cellStyle name="Normal 68 6 2 2" xfId="6425"/>
    <cellStyle name="Normal 68 6 2 2 2" xfId="6426"/>
    <cellStyle name="Normal 68 6 2 2 3" xfId="6427"/>
    <cellStyle name="Normal 68 6 2 3" xfId="6428"/>
    <cellStyle name="Normal 68 6 2 4" xfId="6429"/>
    <cellStyle name="Normal 68 6 3" xfId="6430"/>
    <cellStyle name="Normal 68 6 3 2" xfId="6431"/>
    <cellStyle name="Normal 68 6 3 3" xfId="6432"/>
    <cellStyle name="Normal 68 6 4" xfId="6433"/>
    <cellStyle name="Normal 68 6 5" xfId="6434"/>
    <cellStyle name="Normal 68 7" xfId="6435"/>
    <cellStyle name="Normal 68 7 2" xfId="6436"/>
    <cellStyle name="Normal 68 7 2 2" xfId="6437"/>
    <cellStyle name="Normal 68 7 2 3" xfId="6438"/>
    <cellStyle name="Normal 68 7 3" xfId="6439"/>
    <cellStyle name="Normal 68 7 4" xfId="6440"/>
    <cellStyle name="Normal 68 8" xfId="6441"/>
    <cellStyle name="Normal 68 8 2" xfId="6442"/>
    <cellStyle name="Normal 68 9" xfId="6443"/>
    <cellStyle name="Normal 68 9 2" xfId="6444"/>
    <cellStyle name="Normal 68 9 3" xfId="6445"/>
    <cellStyle name="Normal 69" xfId="6446"/>
    <cellStyle name="Normal 69 2" xfId="6447"/>
    <cellStyle name="Normal 69 2 2" xfId="6448"/>
    <cellStyle name="Normal 69 2 2 2" xfId="6449"/>
    <cellStyle name="Normal 69 2 2 2 2" xfId="6450"/>
    <cellStyle name="Normal 69 2 2 2 3" xfId="6451"/>
    <cellStyle name="Normal 69 2 2 3" xfId="6452"/>
    <cellStyle name="Normal 69 2 2 4" xfId="6453"/>
    <cellStyle name="Normal 69 2 3" xfId="6454"/>
    <cellStyle name="Normal 69 2 3 2" xfId="6455"/>
    <cellStyle name="Normal 69 2 4" xfId="6456"/>
    <cellStyle name="Normal 69 2 4 2" xfId="6457"/>
    <cellStyle name="Normal 69 2 4 3" xfId="6458"/>
    <cellStyle name="Normal 69 2 5" xfId="6459"/>
    <cellStyle name="Normal 69 3" xfId="6460"/>
    <cellStyle name="Normal 69 3 2" xfId="6461"/>
    <cellStyle name="Normal 69 3 2 2" xfId="6462"/>
    <cellStyle name="Normal 69 3 2 2 2" xfId="6463"/>
    <cellStyle name="Normal 69 3 2 2 3" xfId="6464"/>
    <cellStyle name="Normal 69 3 2 3" xfId="6465"/>
    <cellStyle name="Normal 69 3 2 4" xfId="6466"/>
    <cellStyle name="Normal 69 3 3" xfId="6467"/>
    <cellStyle name="Normal 69 3 3 2" xfId="6468"/>
    <cellStyle name="Normal 69 3 3 3" xfId="6469"/>
    <cellStyle name="Normal 69 3 4" xfId="6470"/>
    <cellStyle name="Normal 69 3 5" xfId="6471"/>
    <cellStyle name="Normal 69 4" xfId="6472"/>
    <cellStyle name="Normal 69 4 2" xfId="6473"/>
    <cellStyle name="Normal 69 4 2 2" xfId="6474"/>
    <cellStyle name="Normal 69 4 2 2 2" xfId="6475"/>
    <cellStyle name="Normal 69 4 2 2 3" xfId="6476"/>
    <cellStyle name="Normal 69 4 2 3" xfId="6477"/>
    <cellStyle name="Normal 69 4 2 4" xfId="6478"/>
    <cellStyle name="Normal 69 4 3" xfId="6479"/>
    <cellStyle name="Normal 69 4 3 2" xfId="6480"/>
    <cellStyle name="Normal 69 4 3 3" xfId="6481"/>
    <cellStyle name="Normal 69 4 4" xfId="6482"/>
    <cellStyle name="Normal 69 4 5" xfId="6483"/>
    <cellStyle name="Normal 69 5" xfId="6484"/>
    <cellStyle name="Normal 69 5 2" xfId="6485"/>
    <cellStyle name="Normal 69 5 2 2" xfId="6486"/>
    <cellStyle name="Normal 69 5 2 2 2" xfId="6487"/>
    <cellStyle name="Normal 69 5 2 2 3" xfId="6488"/>
    <cellStyle name="Normal 69 5 2 3" xfId="6489"/>
    <cellStyle name="Normal 69 5 2 4" xfId="6490"/>
    <cellStyle name="Normal 69 5 3" xfId="6491"/>
    <cellStyle name="Normal 69 5 3 2" xfId="6492"/>
    <cellStyle name="Normal 69 5 3 3" xfId="6493"/>
    <cellStyle name="Normal 69 5 4" xfId="6494"/>
    <cellStyle name="Normal 69 5 5" xfId="6495"/>
    <cellStyle name="Normal 69 6" xfId="6496"/>
    <cellStyle name="Normal 69 6 2" xfId="6497"/>
    <cellStyle name="Normal 69 6 2 2" xfId="6498"/>
    <cellStyle name="Normal 69 6 2 2 2" xfId="6499"/>
    <cellStyle name="Normal 69 6 2 2 3" xfId="6500"/>
    <cellStyle name="Normal 69 6 2 3" xfId="6501"/>
    <cellStyle name="Normal 69 6 2 4" xfId="6502"/>
    <cellStyle name="Normal 69 6 3" xfId="6503"/>
    <cellStyle name="Normal 69 6 3 2" xfId="6504"/>
    <cellStyle name="Normal 69 6 3 3" xfId="6505"/>
    <cellStyle name="Normal 69 6 4" xfId="6506"/>
    <cellStyle name="Normal 69 6 5" xfId="6507"/>
    <cellStyle name="Normal 69 7" xfId="6508"/>
    <cellStyle name="Normal 69 7 2" xfId="6509"/>
    <cellStyle name="Normal 69 7 2 2" xfId="6510"/>
    <cellStyle name="Normal 69 7 2 3" xfId="6511"/>
    <cellStyle name="Normal 69 7 3" xfId="6512"/>
    <cellStyle name="Normal 69 7 4" xfId="6513"/>
    <cellStyle name="Normal 69 8" xfId="6514"/>
    <cellStyle name="Normal 69 8 2" xfId="6515"/>
    <cellStyle name="Normal 69 8 2 2" xfId="6516"/>
    <cellStyle name="Normal 69 8 2 3" xfId="6517"/>
    <cellStyle name="Normal 69 8 3" xfId="6518"/>
    <cellStyle name="Normal 69 8 4" xfId="6519"/>
    <cellStyle name="Normal 69 9" xfId="6520"/>
    <cellStyle name="Normal 7" xfId="97"/>
    <cellStyle name="Normal 7 10" xfId="6521"/>
    <cellStyle name="Normal 7 10 2" xfId="6522"/>
    <cellStyle name="Normal 7 11" xfId="6523"/>
    <cellStyle name="Normal 7 2" xfId="98"/>
    <cellStyle name="Normal 7 2 10" xfId="6524"/>
    <cellStyle name="Normal 7 2 2" xfId="209"/>
    <cellStyle name="Normal 7 2 2 2" xfId="6525"/>
    <cellStyle name="Normal 7 2 3" xfId="6526"/>
    <cellStyle name="Normal 7 2 3 2" xfId="6527"/>
    <cellStyle name="Normal 7 2 4" xfId="6528"/>
    <cellStyle name="Normal 7 2 4 2" xfId="6529"/>
    <cellStyle name="Normal 7 2 5" xfId="6530"/>
    <cellStyle name="Normal 7 2 5 2" xfId="6531"/>
    <cellStyle name="Normal 7 2 6" xfId="6532"/>
    <cellStyle name="Normal 7 2 6 2" xfId="6533"/>
    <cellStyle name="Normal 7 2 7" xfId="6534"/>
    <cellStyle name="Normal 7 2 7 2" xfId="6535"/>
    <cellStyle name="Normal 7 2 7 2 2" xfId="6536"/>
    <cellStyle name="Normal 7 2 7 2 3" xfId="6537"/>
    <cellStyle name="Normal 7 2 7 3" xfId="6538"/>
    <cellStyle name="Normal 7 2 7 4" xfId="6539"/>
    <cellStyle name="Normal 7 2 8" xfId="6540"/>
    <cellStyle name="Normal 7 2 8 2" xfId="6541"/>
    <cellStyle name="Normal 7 2 9" xfId="6542"/>
    <cellStyle name="Normal 7 2 9 2" xfId="6543"/>
    <cellStyle name="Normal 7 2 9 3" xfId="6544"/>
    <cellStyle name="Normal 7 3" xfId="210"/>
    <cellStyle name="Normal 7 3 2" xfId="6545"/>
    <cellStyle name="Normal 7 3 2 2" xfId="6546"/>
    <cellStyle name="Normal 7 3 3" xfId="6547"/>
    <cellStyle name="Normal 7 3 3 2" xfId="6548"/>
    <cellStyle name="Normal 7 3 4" xfId="6549"/>
    <cellStyle name="Normal 7 4" xfId="6550"/>
    <cellStyle name="Normal 7 4 2" xfId="6551"/>
    <cellStyle name="Normal 7 4 2 2" xfId="6552"/>
    <cellStyle name="Normal 7 4 2 2 2" xfId="6553"/>
    <cellStyle name="Normal 7 4 2 2 3" xfId="6554"/>
    <cellStyle name="Normal 7 4 2 3" xfId="6555"/>
    <cellStyle name="Normal 7 4 2 4" xfId="6556"/>
    <cellStyle name="Normal 7 4 3" xfId="6557"/>
    <cellStyle name="Normal 7 4 3 2" xfId="6558"/>
    <cellStyle name="Normal 7 4 4" xfId="6559"/>
    <cellStyle name="Normal 7 4 4 2" xfId="6560"/>
    <cellStyle name="Normal 7 4 4 3" xfId="6561"/>
    <cellStyle name="Normal 7 4 5" xfId="6562"/>
    <cellStyle name="Normal 7 5" xfId="6563"/>
    <cellStyle name="Normal 7 5 2" xfId="6564"/>
    <cellStyle name="Normal 7 5 2 2" xfId="6565"/>
    <cellStyle name="Normal 7 5 2 2 2" xfId="6566"/>
    <cellStyle name="Normal 7 5 2 2 3" xfId="6567"/>
    <cellStyle name="Normal 7 5 2 3" xfId="6568"/>
    <cellStyle name="Normal 7 5 2 4" xfId="6569"/>
    <cellStyle name="Normal 7 5 3" xfId="6570"/>
    <cellStyle name="Normal 7 5 3 2" xfId="6571"/>
    <cellStyle name="Normal 7 5 4" xfId="6572"/>
    <cellStyle name="Normal 7 5 4 2" xfId="6573"/>
    <cellStyle name="Normal 7 5 4 3" xfId="6574"/>
    <cellStyle name="Normal 7 5 5" xfId="6575"/>
    <cellStyle name="Normal 7 6" xfId="6576"/>
    <cellStyle name="Normal 7 6 2" xfId="6577"/>
    <cellStyle name="Normal 7 6 2 2" xfId="6578"/>
    <cellStyle name="Normal 7 6 2 2 2" xfId="6579"/>
    <cellStyle name="Normal 7 6 2 2 3" xfId="6580"/>
    <cellStyle name="Normal 7 6 2 3" xfId="6581"/>
    <cellStyle name="Normal 7 6 2 4" xfId="6582"/>
    <cellStyle name="Normal 7 6 3" xfId="6583"/>
    <cellStyle name="Normal 7 6 3 2" xfId="6584"/>
    <cellStyle name="Normal 7 6 4" xfId="6585"/>
    <cellStyle name="Normal 7 6 4 2" xfId="6586"/>
    <cellStyle name="Normal 7 6 4 3" xfId="6587"/>
    <cellStyle name="Normal 7 6 5" xfId="6588"/>
    <cellStyle name="Normal 7 7" xfId="6589"/>
    <cellStyle name="Normal 7 7 2" xfId="6590"/>
    <cellStyle name="Normal 7 7 2 2" xfId="6591"/>
    <cellStyle name="Normal 7 7 2 2 2" xfId="6592"/>
    <cellStyle name="Normal 7 7 2 2 3" xfId="6593"/>
    <cellStyle name="Normal 7 7 2 3" xfId="6594"/>
    <cellStyle name="Normal 7 7 2 4" xfId="6595"/>
    <cellStyle name="Normal 7 7 3" xfId="6596"/>
    <cellStyle name="Normal 7 7 3 2" xfId="6597"/>
    <cellStyle name="Normal 7 7 4" xfId="6598"/>
    <cellStyle name="Normal 7 7 4 2" xfId="6599"/>
    <cellStyle name="Normal 7 7 4 3" xfId="6600"/>
    <cellStyle name="Normal 7 7 5" xfId="6601"/>
    <cellStyle name="Normal 7 8" xfId="6602"/>
    <cellStyle name="Normal 7 8 2" xfId="6603"/>
    <cellStyle name="Normal 7 8 2 2" xfId="6604"/>
    <cellStyle name="Normal 7 8 2 3" xfId="6605"/>
    <cellStyle name="Normal 7 8 3" xfId="6606"/>
    <cellStyle name="Normal 7 8 4" xfId="6607"/>
    <cellStyle name="Normal 7 9" xfId="6608"/>
    <cellStyle name="Normal 7 9 2" xfId="6609"/>
    <cellStyle name="Normal 7 9 2 2" xfId="6610"/>
    <cellStyle name="Normal 7 9 2 3" xfId="6611"/>
    <cellStyle name="Normal 7 9 3" xfId="6612"/>
    <cellStyle name="Normal 7 9 4" xfId="6613"/>
    <cellStyle name="Normal 7_ConsolidadoAbssenteismo" xfId="211"/>
    <cellStyle name="Normal 70" xfId="6614"/>
    <cellStyle name="Normal 70 2" xfId="6615"/>
    <cellStyle name="Normal 70 2 10" xfId="6616"/>
    <cellStyle name="Normal 70 2 2" xfId="6617"/>
    <cellStyle name="Normal 70 2 2 2" xfId="6618"/>
    <cellStyle name="Normal 70 2 2 2 2" xfId="6619"/>
    <cellStyle name="Normal 70 2 2 2 2 2" xfId="6620"/>
    <cellStyle name="Normal 70 2 2 2 2 3" xfId="6621"/>
    <cellStyle name="Normal 70 2 2 2 3" xfId="6622"/>
    <cellStyle name="Normal 70 2 2 2 4" xfId="6623"/>
    <cellStyle name="Normal 70 2 2 3" xfId="6624"/>
    <cellStyle name="Normal 70 2 2 3 2" xfId="6625"/>
    <cellStyle name="Normal 70 2 2 3 3" xfId="6626"/>
    <cellStyle name="Normal 70 2 2 4" xfId="6627"/>
    <cellStyle name="Normal 70 2 2 5" xfId="6628"/>
    <cellStyle name="Normal 70 2 3" xfId="6629"/>
    <cellStyle name="Normal 70 2 3 2" xfId="6630"/>
    <cellStyle name="Normal 70 2 3 2 2" xfId="6631"/>
    <cellStyle name="Normal 70 2 3 2 2 2" xfId="6632"/>
    <cellStyle name="Normal 70 2 3 2 2 3" xfId="6633"/>
    <cellStyle name="Normal 70 2 3 2 3" xfId="6634"/>
    <cellStyle name="Normal 70 2 3 2 4" xfId="6635"/>
    <cellStyle name="Normal 70 2 3 3" xfId="6636"/>
    <cellStyle name="Normal 70 2 3 3 2" xfId="6637"/>
    <cellStyle name="Normal 70 2 3 3 3" xfId="6638"/>
    <cellStyle name="Normal 70 2 3 4" xfId="6639"/>
    <cellStyle name="Normal 70 2 3 5" xfId="6640"/>
    <cellStyle name="Normal 70 2 4" xfId="6641"/>
    <cellStyle name="Normal 70 2 4 2" xfId="6642"/>
    <cellStyle name="Normal 70 2 4 2 2" xfId="6643"/>
    <cellStyle name="Normal 70 2 4 2 2 2" xfId="6644"/>
    <cellStyle name="Normal 70 2 4 2 2 3" xfId="6645"/>
    <cellStyle name="Normal 70 2 4 2 3" xfId="6646"/>
    <cellStyle name="Normal 70 2 4 2 4" xfId="6647"/>
    <cellStyle name="Normal 70 2 4 3" xfId="6648"/>
    <cellStyle name="Normal 70 2 4 3 2" xfId="6649"/>
    <cellStyle name="Normal 70 2 4 3 3" xfId="6650"/>
    <cellStyle name="Normal 70 2 4 4" xfId="6651"/>
    <cellStyle name="Normal 70 2 4 5" xfId="6652"/>
    <cellStyle name="Normal 70 2 5" xfId="6653"/>
    <cellStyle name="Normal 70 2 5 2" xfId="6654"/>
    <cellStyle name="Normal 70 2 5 2 2" xfId="6655"/>
    <cellStyle name="Normal 70 2 5 2 2 2" xfId="6656"/>
    <cellStyle name="Normal 70 2 5 2 2 3" xfId="6657"/>
    <cellStyle name="Normal 70 2 5 2 3" xfId="6658"/>
    <cellStyle name="Normal 70 2 5 2 4" xfId="6659"/>
    <cellStyle name="Normal 70 2 5 3" xfId="6660"/>
    <cellStyle name="Normal 70 2 5 3 2" xfId="6661"/>
    <cellStyle name="Normal 70 2 5 3 3" xfId="6662"/>
    <cellStyle name="Normal 70 2 5 4" xfId="6663"/>
    <cellStyle name="Normal 70 2 5 5" xfId="6664"/>
    <cellStyle name="Normal 70 2 6" xfId="6665"/>
    <cellStyle name="Normal 70 2 6 2" xfId="6666"/>
    <cellStyle name="Normal 70 2 6 2 2" xfId="6667"/>
    <cellStyle name="Normal 70 2 6 2 2 2" xfId="6668"/>
    <cellStyle name="Normal 70 2 6 2 2 3" xfId="6669"/>
    <cellStyle name="Normal 70 2 6 2 3" xfId="6670"/>
    <cellStyle name="Normal 70 2 6 2 4" xfId="6671"/>
    <cellStyle name="Normal 70 2 6 3" xfId="6672"/>
    <cellStyle name="Normal 70 2 6 3 2" xfId="6673"/>
    <cellStyle name="Normal 70 2 6 3 3" xfId="6674"/>
    <cellStyle name="Normal 70 2 6 4" xfId="6675"/>
    <cellStyle name="Normal 70 2 6 5" xfId="6676"/>
    <cellStyle name="Normal 70 2 7" xfId="6677"/>
    <cellStyle name="Normal 70 2 7 2" xfId="6678"/>
    <cellStyle name="Normal 70 2 7 2 2" xfId="6679"/>
    <cellStyle name="Normal 70 2 7 2 3" xfId="6680"/>
    <cellStyle name="Normal 70 2 7 3" xfId="6681"/>
    <cellStyle name="Normal 70 2 7 4" xfId="6682"/>
    <cellStyle name="Normal 70 2 8" xfId="6683"/>
    <cellStyle name="Normal 70 2 8 2" xfId="6684"/>
    <cellStyle name="Normal 70 2 9" xfId="6685"/>
    <cellStyle name="Normal 70 2 9 2" xfId="6686"/>
    <cellStyle name="Normal 70 2 9 3" xfId="6687"/>
    <cellStyle name="Normal 70 3" xfId="6688"/>
    <cellStyle name="Normal 70 3 2" xfId="6689"/>
    <cellStyle name="Normal 70 4" xfId="6690"/>
    <cellStyle name="Normal 70 4 2" xfId="6691"/>
    <cellStyle name="Normal 70 5" xfId="6692"/>
    <cellStyle name="Normal 71" xfId="6693"/>
    <cellStyle name="Normal 71 2" xfId="6694"/>
    <cellStyle name="Normal 71 2 2" xfId="6695"/>
    <cellStyle name="Normal 71 2 2 2" xfId="6696"/>
    <cellStyle name="Normal 71 2 2 2 2" xfId="6697"/>
    <cellStyle name="Normal 71 2 2 2 3" xfId="6698"/>
    <cellStyle name="Normal 71 2 2 3" xfId="6699"/>
    <cellStyle name="Normal 71 2 2 4" xfId="6700"/>
    <cellStyle name="Normal 71 2 3" xfId="6701"/>
    <cellStyle name="Normal 71 2 3 2" xfId="6702"/>
    <cellStyle name="Normal 71 2 4" xfId="6703"/>
    <cellStyle name="Normal 71 2 4 2" xfId="6704"/>
    <cellStyle name="Normal 71 2 4 3" xfId="6705"/>
    <cellStyle name="Normal 71 2 5" xfId="6706"/>
    <cellStyle name="Normal 71 3" xfId="6707"/>
    <cellStyle name="Normal 71 3 2" xfId="6708"/>
    <cellStyle name="Normal 71 3 2 2" xfId="6709"/>
    <cellStyle name="Normal 71 3 2 2 2" xfId="6710"/>
    <cellStyle name="Normal 71 3 2 2 3" xfId="6711"/>
    <cellStyle name="Normal 71 3 2 3" xfId="6712"/>
    <cellStyle name="Normal 71 3 2 4" xfId="6713"/>
    <cellStyle name="Normal 71 3 3" xfId="6714"/>
    <cellStyle name="Normal 71 3 3 2" xfId="6715"/>
    <cellStyle name="Normal 71 3 3 3" xfId="6716"/>
    <cellStyle name="Normal 71 3 4" xfId="6717"/>
    <cellStyle name="Normal 71 3 5" xfId="6718"/>
    <cellStyle name="Normal 71 4" xfId="6719"/>
    <cellStyle name="Normal 71 4 2" xfId="6720"/>
    <cellStyle name="Normal 71 4 2 2" xfId="6721"/>
    <cellStyle name="Normal 71 4 2 2 2" xfId="6722"/>
    <cellStyle name="Normal 71 4 2 2 3" xfId="6723"/>
    <cellStyle name="Normal 71 4 2 3" xfId="6724"/>
    <cellStyle name="Normal 71 4 2 4" xfId="6725"/>
    <cellStyle name="Normal 71 4 3" xfId="6726"/>
    <cellStyle name="Normal 71 4 3 2" xfId="6727"/>
    <cellStyle name="Normal 71 4 3 3" xfId="6728"/>
    <cellStyle name="Normal 71 4 4" xfId="6729"/>
    <cellStyle name="Normal 71 4 5" xfId="6730"/>
    <cellStyle name="Normal 71 5" xfId="6731"/>
    <cellStyle name="Normal 71 5 2" xfId="6732"/>
    <cellStyle name="Normal 71 5 2 2" xfId="6733"/>
    <cellStyle name="Normal 71 5 2 2 2" xfId="6734"/>
    <cellStyle name="Normal 71 5 2 2 3" xfId="6735"/>
    <cellStyle name="Normal 71 5 2 3" xfId="6736"/>
    <cellStyle name="Normal 71 5 2 4" xfId="6737"/>
    <cellStyle name="Normal 71 5 3" xfId="6738"/>
    <cellStyle name="Normal 71 5 3 2" xfId="6739"/>
    <cellStyle name="Normal 71 5 3 3" xfId="6740"/>
    <cellStyle name="Normal 71 5 4" xfId="6741"/>
    <cellStyle name="Normal 71 5 5" xfId="6742"/>
    <cellStyle name="Normal 71 6" xfId="6743"/>
    <cellStyle name="Normal 71 6 2" xfId="6744"/>
    <cellStyle name="Normal 71 6 2 2" xfId="6745"/>
    <cellStyle name="Normal 71 6 2 2 2" xfId="6746"/>
    <cellStyle name="Normal 71 6 2 2 3" xfId="6747"/>
    <cellStyle name="Normal 71 6 2 3" xfId="6748"/>
    <cellStyle name="Normal 71 6 2 4" xfId="6749"/>
    <cellStyle name="Normal 71 6 3" xfId="6750"/>
    <cellStyle name="Normal 71 6 3 2" xfId="6751"/>
    <cellStyle name="Normal 71 6 3 3" xfId="6752"/>
    <cellStyle name="Normal 71 6 4" xfId="6753"/>
    <cellStyle name="Normal 71 6 5" xfId="6754"/>
    <cellStyle name="Normal 71 7" xfId="6755"/>
    <cellStyle name="Normal 71 7 2" xfId="6756"/>
    <cellStyle name="Normal 71 7 2 2" xfId="6757"/>
    <cellStyle name="Normal 71 7 2 3" xfId="6758"/>
    <cellStyle name="Normal 71 7 3" xfId="6759"/>
    <cellStyle name="Normal 71 7 4" xfId="6760"/>
    <cellStyle name="Normal 71 8" xfId="6761"/>
    <cellStyle name="Normal 71 8 2" xfId="6762"/>
    <cellStyle name="Normal 71 8 2 2" xfId="6763"/>
    <cellStyle name="Normal 71 8 2 3" xfId="6764"/>
    <cellStyle name="Normal 71 8 3" xfId="6765"/>
    <cellStyle name="Normal 71 8 4" xfId="6766"/>
    <cellStyle name="Normal 71 9" xfId="6767"/>
    <cellStyle name="Normal 72" xfId="6768"/>
    <cellStyle name="Normal 72 10" xfId="6769"/>
    <cellStyle name="Normal 72 2" xfId="6770"/>
    <cellStyle name="Normal 72 2 2" xfId="6771"/>
    <cellStyle name="Normal 72 2 2 2" xfId="6772"/>
    <cellStyle name="Normal 72 2 2 2 2" xfId="6773"/>
    <cellStyle name="Normal 72 2 2 2 3" xfId="6774"/>
    <cellStyle name="Normal 72 2 2 3" xfId="6775"/>
    <cellStyle name="Normal 72 2 2 4" xfId="6776"/>
    <cellStyle name="Normal 72 2 3" xfId="6777"/>
    <cellStyle name="Normal 72 2 3 2" xfId="6778"/>
    <cellStyle name="Normal 72 2 4" xfId="6779"/>
    <cellStyle name="Normal 72 2 4 2" xfId="6780"/>
    <cellStyle name="Normal 72 2 4 3" xfId="6781"/>
    <cellStyle name="Normal 72 2 5" xfId="6782"/>
    <cellStyle name="Normal 72 3" xfId="6783"/>
    <cellStyle name="Normal 72 3 2" xfId="6784"/>
    <cellStyle name="Normal 72 3 2 2" xfId="6785"/>
    <cellStyle name="Normal 72 3 2 2 2" xfId="6786"/>
    <cellStyle name="Normal 72 3 2 2 3" xfId="6787"/>
    <cellStyle name="Normal 72 3 2 3" xfId="6788"/>
    <cellStyle name="Normal 72 3 2 4" xfId="6789"/>
    <cellStyle name="Normal 72 3 3" xfId="6790"/>
    <cellStyle name="Normal 72 3 3 2" xfId="6791"/>
    <cellStyle name="Normal 72 3 3 3" xfId="6792"/>
    <cellStyle name="Normal 72 3 4" xfId="6793"/>
    <cellStyle name="Normal 72 3 5" xfId="6794"/>
    <cellStyle name="Normal 72 4" xfId="6795"/>
    <cellStyle name="Normal 72 4 2" xfId="6796"/>
    <cellStyle name="Normal 72 4 2 2" xfId="6797"/>
    <cellStyle name="Normal 72 4 2 2 2" xfId="6798"/>
    <cellStyle name="Normal 72 4 2 2 3" xfId="6799"/>
    <cellStyle name="Normal 72 4 2 3" xfId="6800"/>
    <cellStyle name="Normal 72 4 2 4" xfId="6801"/>
    <cellStyle name="Normal 72 4 3" xfId="6802"/>
    <cellStyle name="Normal 72 4 3 2" xfId="6803"/>
    <cellStyle name="Normal 72 4 3 3" xfId="6804"/>
    <cellStyle name="Normal 72 4 4" xfId="6805"/>
    <cellStyle name="Normal 72 4 5" xfId="6806"/>
    <cellStyle name="Normal 72 5" xfId="6807"/>
    <cellStyle name="Normal 72 5 2" xfId="6808"/>
    <cellStyle name="Normal 72 5 2 2" xfId="6809"/>
    <cellStyle name="Normal 72 5 2 2 2" xfId="6810"/>
    <cellStyle name="Normal 72 5 2 2 3" xfId="6811"/>
    <cellStyle name="Normal 72 5 2 3" xfId="6812"/>
    <cellStyle name="Normal 72 5 2 4" xfId="6813"/>
    <cellStyle name="Normal 72 5 3" xfId="6814"/>
    <cellStyle name="Normal 72 5 3 2" xfId="6815"/>
    <cellStyle name="Normal 72 5 3 3" xfId="6816"/>
    <cellStyle name="Normal 72 5 4" xfId="6817"/>
    <cellStyle name="Normal 72 5 5" xfId="6818"/>
    <cellStyle name="Normal 72 6" xfId="6819"/>
    <cellStyle name="Normal 72 6 2" xfId="6820"/>
    <cellStyle name="Normal 72 6 2 2" xfId="6821"/>
    <cellStyle name="Normal 72 6 2 2 2" xfId="6822"/>
    <cellStyle name="Normal 72 6 2 2 3" xfId="6823"/>
    <cellStyle name="Normal 72 6 2 3" xfId="6824"/>
    <cellStyle name="Normal 72 6 2 4" xfId="6825"/>
    <cellStyle name="Normal 72 6 3" xfId="6826"/>
    <cellStyle name="Normal 72 6 3 2" xfId="6827"/>
    <cellStyle name="Normal 72 6 3 3" xfId="6828"/>
    <cellStyle name="Normal 72 6 4" xfId="6829"/>
    <cellStyle name="Normal 72 6 5" xfId="6830"/>
    <cellStyle name="Normal 72 7" xfId="6831"/>
    <cellStyle name="Normal 72 7 2" xfId="6832"/>
    <cellStyle name="Normal 72 7 2 2" xfId="6833"/>
    <cellStyle name="Normal 72 7 2 3" xfId="6834"/>
    <cellStyle name="Normal 72 7 3" xfId="6835"/>
    <cellStyle name="Normal 72 7 4" xfId="6836"/>
    <cellStyle name="Normal 72 8" xfId="6837"/>
    <cellStyle name="Normal 72 8 2" xfId="6838"/>
    <cellStyle name="Normal 72 9" xfId="6839"/>
    <cellStyle name="Normal 72 9 2" xfId="6840"/>
    <cellStyle name="Normal 72 9 3" xfId="6841"/>
    <cellStyle name="Normal 73" xfId="6842"/>
    <cellStyle name="Normal 73 10" xfId="6843"/>
    <cellStyle name="Normal 73 10 2" xfId="6844"/>
    <cellStyle name="Normal 73 10 2 2" xfId="6845"/>
    <cellStyle name="Normal 73 10 2 3" xfId="6846"/>
    <cellStyle name="Normal 73 10 3" xfId="6847"/>
    <cellStyle name="Normal 73 10 4" xfId="6848"/>
    <cellStyle name="Normal 73 11" xfId="6849"/>
    <cellStyle name="Normal 73 11 2" xfId="6850"/>
    <cellStyle name="Normal 73 11 3" xfId="6851"/>
    <cellStyle name="Normal 73 12" xfId="6852"/>
    <cellStyle name="Normal 73 13" xfId="6853"/>
    <cellStyle name="Normal 73 2" xfId="6854"/>
    <cellStyle name="Normal 73 2 10" xfId="6855"/>
    <cellStyle name="Normal 73 2 2" xfId="6856"/>
    <cellStyle name="Normal 73 2 2 2" xfId="6857"/>
    <cellStyle name="Normal 73 2 2 2 2" xfId="6858"/>
    <cellStyle name="Normal 73 2 2 2 2 2" xfId="6859"/>
    <cellStyle name="Normal 73 2 2 2 2 3" xfId="6860"/>
    <cellStyle name="Normal 73 2 2 2 3" xfId="6861"/>
    <cellStyle name="Normal 73 2 2 2 4" xfId="6862"/>
    <cellStyle name="Normal 73 2 2 3" xfId="6863"/>
    <cellStyle name="Normal 73 2 2 3 2" xfId="6864"/>
    <cellStyle name="Normal 73 2 2 3 3" xfId="6865"/>
    <cellStyle name="Normal 73 2 2 4" xfId="6866"/>
    <cellStyle name="Normal 73 2 2 5" xfId="6867"/>
    <cellStyle name="Normal 73 2 3" xfId="6868"/>
    <cellStyle name="Normal 73 2 3 2" xfId="6869"/>
    <cellStyle name="Normal 73 2 3 2 2" xfId="6870"/>
    <cellStyle name="Normal 73 2 3 2 2 2" xfId="6871"/>
    <cellStyle name="Normal 73 2 3 2 2 3" xfId="6872"/>
    <cellStyle name="Normal 73 2 3 2 3" xfId="6873"/>
    <cellStyle name="Normal 73 2 3 2 4" xfId="6874"/>
    <cellStyle name="Normal 73 2 3 3" xfId="6875"/>
    <cellStyle name="Normal 73 2 3 3 2" xfId="6876"/>
    <cellStyle name="Normal 73 2 3 3 3" xfId="6877"/>
    <cellStyle name="Normal 73 2 3 4" xfId="6878"/>
    <cellStyle name="Normal 73 2 3 5" xfId="6879"/>
    <cellStyle name="Normal 73 2 4" xfId="6880"/>
    <cellStyle name="Normal 73 2 4 2" xfId="6881"/>
    <cellStyle name="Normal 73 2 4 2 2" xfId="6882"/>
    <cellStyle name="Normal 73 2 4 2 2 2" xfId="6883"/>
    <cellStyle name="Normal 73 2 4 2 2 3" xfId="6884"/>
    <cellStyle name="Normal 73 2 4 2 3" xfId="6885"/>
    <cellStyle name="Normal 73 2 4 2 4" xfId="6886"/>
    <cellStyle name="Normal 73 2 4 3" xfId="6887"/>
    <cellStyle name="Normal 73 2 4 3 2" xfId="6888"/>
    <cellStyle name="Normal 73 2 4 3 3" xfId="6889"/>
    <cellStyle name="Normal 73 2 4 4" xfId="6890"/>
    <cellStyle name="Normal 73 2 4 5" xfId="6891"/>
    <cellStyle name="Normal 73 2 5" xfId="6892"/>
    <cellStyle name="Normal 73 2 5 2" xfId="6893"/>
    <cellStyle name="Normal 73 2 5 2 2" xfId="6894"/>
    <cellStyle name="Normal 73 2 5 2 2 2" xfId="6895"/>
    <cellStyle name="Normal 73 2 5 2 2 3" xfId="6896"/>
    <cellStyle name="Normal 73 2 5 2 3" xfId="6897"/>
    <cellStyle name="Normal 73 2 5 2 4" xfId="6898"/>
    <cellStyle name="Normal 73 2 5 3" xfId="6899"/>
    <cellStyle name="Normal 73 2 5 3 2" xfId="6900"/>
    <cellStyle name="Normal 73 2 5 3 3" xfId="6901"/>
    <cellStyle name="Normal 73 2 5 4" xfId="6902"/>
    <cellStyle name="Normal 73 2 5 5" xfId="6903"/>
    <cellStyle name="Normal 73 2 6" xfId="6904"/>
    <cellStyle name="Normal 73 2 6 2" xfId="6905"/>
    <cellStyle name="Normal 73 2 6 2 2" xfId="6906"/>
    <cellStyle name="Normal 73 2 6 2 2 2" xfId="6907"/>
    <cellStyle name="Normal 73 2 6 2 2 3" xfId="6908"/>
    <cellStyle name="Normal 73 2 6 2 3" xfId="6909"/>
    <cellStyle name="Normal 73 2 6 2 4" xfId="6910"/>
    <cellStyle name="Normal 73 2 6 3" xfId="6911"/>
    <cellStyle name="Normal 73 2 6 3 2" xfId="6912"/>
    <cellStyle name="Normal 73 2 6 3 3" xfId="6913"/>
    <cellStyle name="Normal 73 2 6 4" xfId="6914"/>
    <cellStyle name="Normal 73 2 6 5" xfId="6915"/>
    <cellStyle name="Normal 73 2 7" xfId="6916"/>
    <cellStyle name="Normal 73 2 7 2" xfId="6917"/>
    <cellStyle name="Normal 73 2 7 2 2" xfId="6918"/>
    <cellStyle name="Normal 73 2 7 2 3" xfId="6919"/>
    <cellStyle name="Normal 73 2 7 3" xfId="6920"/>
    <cellStyle name="Normal 73 2 7 4" xfId="6921"/>
    <cellStyle name="Normal 73 2 8" xfId="6922"/>
    <cellStyle name="Normal 73 2 8 2" xfId="6923"/>
    <cellStyle name="Normal 73 2 9" xfId="6924"/>
    <cellStyle name="Normal 73 2 9 2" xfId="6925"/>
    <cellStyle name="Normal 73 2 9 3" xfId="6926"/>
    <cellStyle name="Normal 73 3" xfId="6927"/>
    <cellStyle name="Normal 73 3 10" xfId="6928"/>
    <cellStyle name="Normal 73 3 2" xfId="6929"/>
    <cellStyle name="Normal 73 3 2 2" xfId="6930"/>
    <cellStyle name="Normal 73 3 2 2 2" xfId="6931"/>
    <cellStyle name="Normal 73 3 2 2 2 2" xfId="6932"/>
    <cellStyle name="Normal 73 3 2 2 2 3" xfId="6933"/>
    <cellStyle name="Normal 73 3 2 2 3" xfId="6934"/>
    <cellStyle name="Normal 73 3 2 2 4" xfId="6935"/>
    <cellStyle name="Normal 73 3 2 3" xfId="6936"/>
    <cellStyle name="Normal 73 3 2 3 2" xfId="6937"/>
    <cellStyle name="Normal 73 3 2 3 3" xfId="6938"/>
    <cellStyle name="Normal 73 3 2 4" xfId="6939"/>
    <cellStyle name="Normal 73 3 2 5" xfId="6940"/>
    <cellStyle name="Normal 73 3 3" xfId="6941"/>
    <cellStyle name="Normal 73 3 3 2" xfId="6942"/>
    <cellStyle name="Normal 73 3 3 2 2" xfId="6943"/>
    <cellStyle name="Normal 73 3 3 2 2 2" xfId="6944"/>
    <cellStyle name="Normal 73 3 3 2 2 3" xfId="6945"/>
    <cellStyle name="Normal 73 3 3 2 3" xfId="6946"/>
    <cellStyle name="Normal 73 3 3 2 4" xfId="6947"/>
    <cellStyle name="Normal 73 3 3 3" xfId="6948"/>
    <cellStyle name="Normal 73 3 3 3 2" xfId="6949"/>
    <cellStyle name="Normal 73 3 3 3 3" xfId="6950"/>
    <cellStyle name="Normal 73 3 3 4" xfId="6951"/>
    <cellStyle name="Normal 73 3 3 5" xfId="6952"/>
    <cellStyle name="Normal 73 3 4" xfId="6953"/>
    <cellStyle name="Normal 73 3 4 2" xfId="6954"/>
    <cellStyle name="Normal 73 3 4 2 2" xfId="6955"/>
    <cellStyle name="Normal 73 3 4 2 2 2" xfId="6956"/>
    <cellStyle name="Normal 73 3 4 2 2 3" xfId="6957"/>
    <cellStyle name="Normal 73 3 4 2 3" xfId="6958"/>
    <cellStyle name="Normal 73 3 4 2 4" xfId="6959"/>
    <cellStyle name="Normal 73 3 4 3" xfId="6960"/>
    <cellStyle name="Normal 73 3 4 3 2" xfId="6961"/>
    <cellStyle name="Normal 73 3 4 3 3" xfId="6962"/>
    <cellStyle name="Normal 73 3 4 4" xfId="6963"/>
    <cellStyle name="Normal 73 3 4 5" xfId="6964"/>
    <cellStyle name="Normal 73 3 5" xfId="6965"/>
    <cellStyle name="Normal 73 3 5 2" xfId="6966"/>
    <cellStyle name="Normal 73 3 5 2 2" xfId="6967"/>
    <cellStyle name="Normal 73 3 5 2 2 2" xfId="6968"/>
    <cellStyle name="Normal 73 3 5 2 2 3" xfId="6969"/>
    <cellStyle name="Normal 73 3 5 2 3" xfId="6970"/>
    <cellStyle name="Normal 73 3 5 2 4" xfId="6971"/>
    <cellStyle name="Normal 73 3 5 3" xfId="6972"/>
    <cellStyle name="Normal 73 3 5 3 2" xfId="6973"/>
    <cellStyle name="Normal 73 3 5 3 3" xfId="6974"/>
    <cellStyle name="Normal 73 3 5 4" xfId="6975"/>
    <cellStyle name="Normal 73 3 5 5" xfId="6976"/>
    <cellStyle name="Normal 73 3 6" xfId="6977"/>
    <cellStyle name="Normal 73 3 6 2" xfId="6978"/>
    <cellStyle name="Normal 73 3 6 2 2" xfId="6979"/>
    <cellStyle name="Normal 73 3 6 2 2 2" xfId="6980"/>
    <cellStyle name="Normal 73 3 6 2 2 3" xfId="6981"/>
    <cellStyle name="Normal 73 3 6 2 3" xfId="6982"/>
    <cellStyle name="Normal 73 3 6 2 4" xfId="6983"/>
    <cellStyle name="Normal 73 3 6 3" xfId="6984"/>
    <cellStyle name="Normal 73 3 6 3 2" xfId="6985"/>
    <cellStyle name="Normal 73 3 6 3 3" xfId="6986"/>
    <cellStyle name="Normal 73 3 6 4" xfId="6987"/>
    <cellStyle name="Normal 73 3 6 5" xfId="6988"/>
    <cellStyle name="Normal 73 3 7" xfId="6989"/>
    <cellStyle name="Normal 73 3 7 2" xfId="6990"/>
    <cellStyle name="Normal 73 3 7 2 2" xfId="6991"/>
    <cellStyle name="Normal 73 3 7 2 3" xfId="6992"/>
    <cellStyle name="Normal 73 3 7 3" xfId="6993"/>
    <cellStyle name="Normal 73 3 7 4" xfId="6994"/>
    <cellStyle name="Normal 73 3 8" xfId="6995"/>
    <cellStyle name="Normal 73 3 8 2" xfId="6996"/>
    <cellStyle name="Normal 73 3 8 3" xfId="6997"/>
    <cellStyle name="Normal 73 3 9" xfId="6998"/>
    <cellStyle name="Normal 73 4" xfId="6999"/>
    <cellStyle name="Normal 73 4 10" xfId="7000"/>
    <cellStyle name="Normal 73 4 2" xfId="7001"/>
    <cellStyle name="Normal 73 4 2 2" xfId="7002"/>
    <cellStyle name="Normal 73 4 2 2 2" xfId="7003"/>
    <cellStyle name="Normal 73 4 2 2 2 2" xfId="7004"/>
    <cellStyle name="Normal 73 4 2 2 2 3" xfId="7005"/>
    <cellStyle name="Normal 73 4 2 2 3" xfId="7006"/>
    <cellStyle name="Normal 73 4 2 2 4" xfId="7007"/>
    <cellStyle name="Normal 73 4 2 3" xfId="7008"/>
    <cellStyle name="Normal 73 4 2 3 2" xfId="7009"/>
    <cellStyle name="Normal 73 4 2 3 3" xfId="7010"/>
    <cellStyle name="Normal 73 4 2 4" xfId="7011"/>
    <cellStyle name="Normal 73 4 2 5" xfId="7012"/>
    <cellStyle name="Normal 73 4 3" xfId="7013"/>
    <cellStyle name="Normal 73 4 3 2" xfId="7014"/>
    <cellStyle name="Normal 73 4 3 2 2" xfId="7015"/>
    <cellStyle name="Normal 73 4 3 2 2 2" xfId="7016"/>
    <cellStyle name="Normal 73 4 3 2 2 3" xfId="7017"/>
    <cellStyle name="Normal 73 4 3 2 3" xfId="7018"/>
    <cellStyle name="Normal 73 4 3 2 4" xfId="7019"/>
    <cellStyle name="Normal 73 4 3 3" xfId="7020"/>
    <cellStyle name="Normal 73 4 3 3 2" xfId="7021"/>
    <cellStyle name="Normal 73 4 3 3 3" xfId="7022"/>
    <cellStyle name="Normal 73 4 3 4" xfId="7023"/>
    <cellStyle name="Normal 73 4 3 5" xfId="7024"/>
    <cellStyle name="Normal 73 4 4" xfId="7025"/>
    <cellStyle name="Normal 73 4 4 2" xfId="7026"/>
    <cellStyle name="Normal 73 4 4 2 2" xfId="7027"/>
    <cellStyle name="Normal 73 4 4 2 2 2" xfId="7028"/>
    <cellStyle name="Normal 73 4 4 2 2 3" xfId="7029"/>
    <cellStyle name="Normal 73 4 4 2 3" xfId="7030"/>
    <cellStyle name="Normal 73 4 4 2 4" xfId="7031"/>
    <cellStyle name="Normal 73 4 4 3" xfId="7032"/>
    <cellStyle name="Normal 73 4 4 3 2" xfId="7033"/>
    <cellStyle name="Normal 73 4 4 3 3" xfId="7034"/>
    <cellStyle name="Normal 73 4 4 4" xfId="7035"/>
    <cellStyle name="Normal 73 4 4 5" xfId="7036"/>
    <cellStyle name="Normal 73 4 5" xfId="7037"/>
    <cellStyle name="Normal 73 4 5 2" xfId="7038"/>
    <cellStyle name="Normal 73 4 5 2 2" xfId="7039"/>
    <cellStyle name="Normal 73 4 5 2 2 2" xfId="7040"/>
    <cellStyle name="Normal 73 4 5 2 2 3" xfId="7041"/>
    <cellStyle name="Normal 73 4 5 2 3" xfId="7042"/>
    <cellStyle name="Normal 73 4 5 2 4" xfId="7043"/>
    <cellStyle name="Normal 73 4 5 3" xfId="7044"/>
    <cellStyle name="Normal 73 4 5 3 2" xfId="7045"/>
    <cellStyle name="Normal 73 4 5 3 3" xfId="7046"/>
    <cellStyle name="Normal 73 4 5 4" xfId="7047"/>
    <cellStyle name="Normal 73 4 5 5" xfId="7048"/>
    <cellStyle name="Normal 73 4 6" xfId="7049"/>
    <cellStyle name="Normal 73 4 6 2" xfId="7050"/>
    <cellStyle name="Normal 73 4 6 2 2" xfId="7051"/>
    <cellStyle name="Normal 73 4 6 2 2 2" xfId="7052"/>
    <cellStyle name="Normal 73 4 6 2 2 3" xfId="7053"/>
    <cellStyle name="Normal 73 4 6 2 3" xfId="7054"/>
    <cellStyle name="Normal 73 4 6 2 4" xfId="7055"/>
    <cellStyle name="Normal 73 4 6 3" xfId="7056"/>
    <cellStyle name="Normal 73 4 6 3 2" xfId="7057"/>
    <cellStyle name="Normal 73 4 6 3 3" xfId="7058"/>
    <cellStyle name="Normal 73 4 6 4" xfId="7059"/>
    <cellStyle name="Normal 73 4 6 5" xfId="7060"/>
    <cellStyle name="Normal 73 4 7" xfId="7061"/>
    <cellStyle name="Normal 73 4 7 2" xfId="7062"/>
    <cellStyle name="Normal 73 4 7 2 2" xfId="7063"/>
    <cellStyle name="Normal 73 4 7 2 3" xfId="7064"/>
    <cellStyle name="Normal 73 4 7 3" xfId="7065"/>
    <cellStyle name="Normal 73 4 7 4" xfId="7066"/>
    <cellStyle name="Normal 73 4 8" xfId="7067"/>
    <cellStyle name="Normal 73 4 8 2" xfId="7068"/>
    <cellStyle name="Normal 73 4 8 3" xfId="7069"/>
    <cellStyle name="Normal 73 4 9" xfId="7070"/>
    <cellStyle name="Normal 73 5" xfId="7071"/>
    <cellStyle name="Normal 73 5 2" xfId="7072"/>
    <cellStyle name="Normal 73 6" xfId="7073"/>
    <cellStyle name="Normal 73 6 2" xfId="7074"/>
    <cellStyle name="Normal 73 7" xfId="7075"/>
    <cellStyle name="Normal 73 7 2" xfId="7076"/>
    <cellStyle name="Normal 73 8" xfId="7077"/>
    <cellStyle name="Normal 73 8 2" xfId="7078"/>
    <cellStyle name="Normal 73 9" xfId="7079"/>
    <cellStyle name="Normal 73 9 2" xfId="7080"/>
    <cellStyle name="Normal 74" xfId="7081"/>
    <cellStyle name="Normal 74 10" xfId="7082"/>
    <cellStyle name="Normal 74 2" xfId="7083"/>
    <cellStyle name="Normal 74 2 2" xfId="7084"/>
    <cellStyle name="Normal 74 2 2 2" xfId="7085"/>
    <cellStyle name="Normal 74 2 2 2 2" xfId="7086"/>
    <cellStyle name="Normal 74 2 2 2 3" xfId="7087"/>
    <cellStyle name="Normal 74 2 2 3" xfId="7088"/>
    <cellStyle name="Normal 74 2 2 4" xfId="7089"/>
    <cellStyle name="Normal 74 2 3" xfId="7090"/>
    <cellStyle name="Normal 74 2 3 2" xfId="7091"/>
    <cellStyle name="Normal 74 2 4" xfId="7092"/>
    <cellStyle name="Normal 74 2 4 2" xfId="7093"/>
    <cellStyle name="Normal 74 2 4 3" xfId="7094"/>
    <cellStyle name="Normal 74 2 5" xfId="7095"/>
    <cellStyle name="Normal 74 3" xfId="7096"/>
    <cellStyle name="Normal 74 3 2" xfId="7097"/>
    <cellStyle name="Normal 74 3 2 2" xfId="7098"/>
    <cellStyle name="Normal 74 3 2 2 2" xfId="7099"/>
    <cellStyle name="Normal 74 3 2 2 3" xfId="7100"/>
    <cellStyle name="Normal 74 3 2 3" xfId="7101"/>
    <cellStyle name="Normal 74 3 2 4" xfId="7102"/>
    <cellStyle name="Normal 74 3 3" xfId="7103"/>
    <cellStyle name="Normal 74 3 3 2" xfId="7104"/>
    <cellStyle name="Normal 74 3 3 3" xfId="7105"/>
    <cellStyle name="Normal 74 3 4" xfId="7106"/>
    <cellStyle name="Normal 74 3 5" xfId="7107"/>
    <cellStyle name="Normal 74 4" xfId="7108"/>
    <cellStyle name="Normal 74 4 2" xfId="7109"/>
    <cellStyle name="Normal 74 4 2 2" xfId="7110"/>
    <cellStyle name="Normal 74 4 2 2 2" xfId="7111"/>
    <cellStyle name="Normal 74 4 2 2 3" xfId="7112"/>
    <cellStyle name="Normal 74 4 2 3" xfId="7113"/>
    <cellStyle name="Normal 74 4 2 4" xfId="7114"/>
    <cellStyle name="Normal 74 4 3" xfId="7115"/>
    <cellStyle name="Normal 74 4 3 2" xfId="7116"/>
    <cellStyle name="Normal 74 4 3 3" xfId="7117"/>
    <cellStyle name="Normal 74 4 4" xfId="7118"/>
    <cellStyle name="Normal 74 4 5" xfId="7119"/>
    <cellStyle name="Normal 74 5" xfId="7120"/>
    <cellStyle name="Normal 74 5 2" xfId="7121"/>
    <cellStyle name="Normal 74 5 2 2" xfId="7122"/>
    <cellStyle name="Normal 74 5 2 2 2" xfId="7123"/>
    <cellStyle name="Normal 74 5 2 2 3" xfId="7124"/>
    <cellStyle name="Normal 74 5 2 3" xfId="7125"/>
    <cellStyle name="Normal 74 5 2 4" xfId="7126"/>
    <cellStyle name="Normal 74 5 3" xfId="7127"/>
    <cellStyle name="Normal 74 5 3 2" xfId="7128"/>
    <cellStyle name="Normal 74 5 3 3" xfId="7129"/>
    <cellStyle name="Normal 74 5 4" xfId="7130"/>
    <cellStyle name="Normal 74 5 5" xfId="7131"/>
    <cellStyle name="Normal 74 6" xfId="7132"/>
    <cellStyle name="Normal 74 6 2" xfId="7133"/>
    <cellStyle name="Normal 74 6 2 2" xfId="7134"/>
    <cellStyle name="Normal 74 6 2 2 2" xfId="7135"/>
    <cellStyle name="Normal 74 6 2 2 3" xfId="7136"/>
    <cellStyle name="Normal 74 6 2 3" xfId="7137"/>
    <cellStyle name="Normal 74 6 2 4" xfId="7138"/>
    <cellStyle name="Normal 74 6 3" xfId="7139"/>
    <cellStyle name="Normal 74 6 3 2" xfId="7140"/>
    <cellStyle name="Normal 74 6 3 3" xfId="7141"/>
    <cellStyle name="Normal 74 6 4" xfId="7142"/>
    <cellStyle name="Normal 74 6 5" xfId="7143"/>
    <cellStyle name="Normal 74 7" xfId="7144"/>
    <cellStyle name="Normal 74 7 2" xfId="7145"/>
    <cellStyle name="Normal 74 7 2 2" xfId="7146"/>
    <cellStyle name="Normal 74 7 2 3" xfId="7147"/>
    <cellStyle name="Normal 74 7 3" xfId="7148"/>
    <cellStyle name="Normal 74 7 4" xfId="7149"/>
    <cellStyle name="Normal 74 8" xfId="7150"/>
    <cellStyle name="Normal 74 8 2" xfId="7151"/>
    <cellStyle name="Normal 74 9" xfId="7152"/>
    <cellStyle name="Normal 74 9 2" xfId="7153"/>
    <cellStyle name="Normal 74 9 3" xfId="7154"/>
    <cellStyle name="Normal 75" xfId="7155"/>
    <cellStyle name="Normal 75 10" xfId="7156"/>
    <cellStyle name="Normal 75 2" xfId="7157"/>
    <cellStyle name="Normal 75 2 2" xfId="7158"/>
    <cellStyle name="Normal 75 2 2 2" xfId="7159"/>
    <cellStyle name="Normal 75 2 2 2 2" xfId="7160"/>
    <cellStyle name="Normal 75 2 2 2 3" xfId="7161"/>
    <cellStyle name="Normal 75 2 2 3" xfId="7162"/>
    <cellStyle name="Normal 75 2 2 4" xfId="7163"/>
    <cellStyle name="Normal 75 2 3" xfId="7164"/>
    <cellStyle name="Normal 75 2 3 2" xfId="7165"/>
    <cellStyle name="Normal 75 2 3 3" xfId="7166"/>
    <cellStyle name="Normal 75 2 4" xfId="7167"/>
    <cellStyle name="Normal 75 2 5" xfId="7168"/>
    <cellStyle name="Normal 75 3" xfId="7169"/>
    <cellStyle name="Normal 75 3 2" xfId="7170"/>
    <cellStyle name="Normal 75 3 2 2" xfId="7171"/>
    <cellStyle name="Normal 75 3 2 2 2" xfId="7172"/>
    <cellStyle name="Normal 75 3 2 2 3" xfId="7173"/>
    <cellStyle name="Normal 75 3 2 3" xfId="7174"/>
    <cellStyle name="Normal 75 3 2 4" xfId="7175"/>
    <cellStyle name="Normal 75 3 3" xfId="7176"/>
    <cellStyle name="Normal 75 3 3 2" xfId="7177"/>
    <cellStyle name="Normal 75 3 3 3" xfId="7178"/>
    <cellStyle name="Normal 75 3 4" xfId="7179"/>
    <cellStyle name="Normal 75 3 5" xfId="7180"/>
    <cellStyle name="Normal 75 4" xfId="7181"/>
    <cellStyle name="Normal 75 4 2" xfId="7182"/>
    <cellStyle name="Normal 75 4 2 2" xfId="7183"/>
    <cellStyle name="Normal 75 4 2 2 2" xfId="7184"/>
    <cellStyle name="Normal 75 4 2 2 3" xfId="7185"/>
    <cellStyle name="Normal 75 4 2 3" xfId="7186"/>
    <cellStyle name="Normal 75 4 2 4" xfId="7187"/>
    <cellStyle name="Normal 75 4 3" xfId="7188"/>
    <cellStyle name="Normal 75 4 3 2" xfId="7189"/>
    <cellStyle name="Normal 75 4 3 3" xfId="7190"/>
    <cellStyle name="Normal 75 4 4" xfId="7191"/>
    <cellStyle name="Normal 75 4 5" xfId="7192"/>
    <cellStyle name="Normal 75 5" xfId="7193"/>
    <cellStyle name="Normal 75 5 2" xfId="7194"/>
    <cellStyle name="Normal 75 5 2 2" xfId="7195"/>
    <cellStyle name="Normal 75 5 2 2 2" xfId="7196"/>
    <cellStyle name="Normal 75 5 2 2 3" xfId="7197"/>
    <cellStyle name="Normal 75 5 2 3" xfId="7198"/>
    <cellStyle name="Normal 75 5 2 4" xfId="7199"/>
    <cellStyle name="Normal 75 5 3" xfId="7200"/>
    <cellStyle name="Normal 75 5 3 2" xfId="7201"/>
    <cellStyle name="Normal 75 5 3 3" xfId="7202"/>
    <cellStyle name="Normal 75 5 4" xfId="7203"/>
    <cellStyle name="Normal 75 5 5" xfId="7204"/>
    <cellStyle name="Normal 75 6" xfId="7205"/>
    <cellStyle name="Normal 75 6 2" xfId="7206"/>
    <cellStyle name="Normal 75 6 2 2" xfId="7207"/>
    <cellStyle name="Normal 75 6 2 2 2" xfId="7208"/>
    <cellStyle name="Normal 75 6 2 2 3" xfId="7209"/>
    <cellStyle name="Normal 75 6 2 3" xfId="7210"/>
    <cellStyle name="Normal 75 6 2 4" xfId="7211"/>
    <cellStyle name="Normal 75 6 3" xfId="7212"/>
    <cellStyle name="Normal 75 6 3 2" xfId="7213"/>
    <cellStyle name="Normal 75 6 3 3" xfId="7214"/>
    <cellStyle name="Normal 75 6 4" xfId="7215"/>
    <cellStyle name="Normal 75 6 5" xfId="7216"/>
    <cellStyle name="Normal 75 7" xfId="7217"/>
    <cellStyle name="Normal 75 7 2" xfId="7218"/>
    <cellStyle name="Normal 75 7 2 2" xfId="7219"/>
    <cellStyle name="Normal 75 7 2 3" xfId="7220"/>
    <cellStyle name="Normal 75 7 3" xfId="7221"/>
    <cellStyle name="Normal 75 7 4" xfId="7222"/>
    <cellStyle name="Normal 75 8" xfId="7223"/>
    <cellStyle name="Normal 75 8 2" xfId="7224"/>
    <cellStyle name="Normal 75 9" xfId="7225"/>
    <cellStyle name="Normal 75 9 2" xfId="7226"/>
    <cellStyle name="Normal 75 9 3" xfId="7227"/>
    <cellStyle name="Normal 76" xfId="7228"/>
    <cellStyle name="Normal 76 2" xfId="7229"/>
    <cellStyle name="Normal 76 2 2" xfId="7230"/>
    <cellStyle name="Normal 76 3" xfId="7231"/>
    <cellStyle name="Normal 77" xfId="7232"/>
    <cellStyle name="Normal 77 10" xfId="7233"/>
    <cellStyle name="Normal 77 2" xfId="7234"/>
    <cellStyle name="Normal 77 2 2" xfId="7235"/>
    <cellStyle name="Normal 77 2 2 2" xfId="7236"/>
    <cellStyle name="Normal 77 2 2 2 2" xfId="7237"/>
    <cellStyle name="Normal 77 2 2 2 3" xfId="7238"/>
    <cellStyle name="Normal 77 2 2 3" xfId="7239"/>
    <cellStyle name="Normal 77 2 2 4" xfId="7240"/>
    <cellStyle name="Normal 77 2 3" xfId="7241"/>
    <cellStyle name="Normal 77 2 3 2" xfId="7242"/>
    <cellStyle name="Normal 77 2 3 3" xfId="7243"/>
    <cellStyle name="Normal 77 2 4" xfId="7244"/>
    <cellStyle name="Normal 77 2 5" xfId="7245"/>
    <cellStyle name="Normal 77 3" xfId="7246"/>
    <cellStyle name="Normal 77 3 2" xfId="7247"/>
    <cellStyle name="Normal 77 3 2 2" xfId="7248"/>
    <cellStyle name="Normal 77 3 2 2 2" xfId="7249"/>
    <cellStyle name="Normal 77 3 2 2 3" xfId="7250"/>
    <cellStyle name="Normal 77 3 2 3" xfId="7251"/>
    <cellStyle name="Normal 77 3 2 4" xfId="7252"/>
    <cellStyle name="Normal 77 3 3" xfId="7253"/>
    <cellStyle name="Normal 77 3 3 2" xfId="7254"/>
    <cellStyle name="Normal 77 3 3 3" xfId="7255"/>
    <cellStyle name="Normal 77 3 4" xfId="7256"/>
    <cellStyle name="Normal 77 3 5" xfId="7257"/>
    <cellStyle name="Normal 77 4" xfId="7258"/>
    <cellStyle name="Normal 77 4 2" xfId="7259"/>
    <cellStyle name="Normal 77 4 2 2" xfId="7260"/>
    <cellStyle name="Normal 77 4 2 2 2" xfId="7261"/>
    <cellStyle name="Normal 77 4 2 2 3" xfId="7262"/>
    <cellStyle name="Normal 77 4 2 3" xfId="7263"/>
    <cellStyle name="Normal 77 4 2 4" xfId="7264"/>
    <cellStyle name="Normal 77 4 3" xfId="7265"/>
    <cellStyle name="Normal 77 4 3 2" xfId="7266"/>
    <cellStyle name="Normal 77 4 3 3" xfId="7267"/>
    <cellStyle name="Normal 77 4 4" xfId="7268"/>
    <cellStyle name="Normal 77 4 5" xfId="7269"/>
    <cellStyle name="Normal 77 5" xfId="7270"/>
    <cellStyle name="Normal 77 5 2" xfId="7271"/>
    <cellStyle name="Normal 77 5 2 2" xfId="7272"/>
    <cellStyle name="Normal 77 5 2 2 2" xfId="7273"/>
    <cellStyle name="Normal 77 5 2 2 3" xfId="7274"/>
    <cellStyle name="Normal 77 5 2 3" xfId="7275"/>
    <cellStyle name="Normal 77 5 2 4" xfId="7276"/>
    <cellStyle name="Normal 77 5 3" xfId="7277"/>
    <cellStyle name="Normal 77 5 3 2" xfId="7278"/>
    <cellStyle name="Normal 77 5 3 3" xfId="7279"/>
    <cellStyle name="Normal 77 5 4" xfId="7280"/>
    <cellStyle name="Normal 77 5 5" xfId="7281"/>
    <cellStyle name="Normal 77 6" xfId="7282"/>
    <cellStyle name="Normal 77 6 2" xfId="7283"/>
    <cellStyle name="Normal 77 6 2 2" xfId="7284"/>
    <cellStyle name="Normal 77 6 2 2 2" xfId="7285"/>
    <cellStyle name="Normal 77 6 2 2 3" xfId="7286"/>
    <cellStyle name="Normal 77 6 2 3" xfId="7287"/>
    <cellStyle name="Normal 77 6 2 4" xfId="7288"/>
    <cellStyle name="Normal 77 6 3" xfId="7289"/>
    <cellStyle name="Normal 77 6 3 2" xfId="7290"/>
    <cellStyle name="Normal 77 6 3 3" xfId="7291"/>
    <cellStyle name="Normal 77 6 4" xfId="7292"/>
    <cellStyle name="Normal 77 6 5" xfId="7293"/>
    <cellStyle name="Normal 77 7" xfId="7294"/>
    <cellStyle name="Normal 77 7 2" xfId="7295"/>
    <cellStyle name="Normal 77 7 2 2" xfId="7296"/>
    <cellStyle name="Normal 77 7 2 3" xfId="7297"/>
    <cellStyle name="Normal 77 7 3" xfId="7298"/>
    <cellStyle name="Normal 77 7 4" xfId="7299"/>
    <cellStyle name="Normal 77 8" xfId="7300"/>
    <cellStyle name="Normal 77 8 2" xfId="7301"/>
    <cellStyle name="Normal 77 9" xfId="7302"/>
    <cellStyle name="Normal 77 9 2" xfId="7303"/>
    <cellStyle name="Normal 77 9 3" xfId="7304"/>
    <cellStyle name="Normal 78" xfId="7305"/>
    <cellStyle name="Normal 78 10" xfId="7306"/>
    <cellStyle name="Normal 78 10 2" xfId="7307"/>
    <cellStyle name="Normal 78 10 2 2" xfId="7308"/>
    <cellStyle name="Normal 78 10 2 3" xfId="7309"/>
    <cellStyle name="Normal 78 10 3" xfId="7310"/>
    <cellStyle name="Normal 78 10 4" xfId="7311"/>
    <cellStyle name="Normal 78 11" xfId="7312"/>
    <cellStyle name="Normal 78 11 2" xfId="7313"/>
    <cellStyle name="Normal 78 12" xfId="7314"/>
    <cellStyle name="Normal 78 12 2" xfId="7315"/>
    <cellStyle name="Normal 78 12 3" xfId="7316"/>
    <cellStyle name="Normal 78 13" xfId="7317"/>
    <cellStyle name="Normal 78 2" xfId="7318"/>
    <cellStyle name="Normal 78 2 10" xfId="7319"/>
    <cellStyle name="Normal 78 2 2" xfId="7320"/>
    <cellStyle name="Normal 78 2 2 2" xfId="7321"/>
    <cellStyle name="Normal 78 2 2 2 2" xfId="7322"/>
    <cellStyle name="Normal 78 2 2 2 2 2" xfId="7323"/>
    <cellStyle name="Normal 78 2 2 2 2 3" xfId="7324"/>
    <cellStyle name="Normal 78 2 2 2 3" xfId="7325"/>
    <cellStyle name="Normal 78 2 2 2 4" xfId="7326"/>
    <cellStyle name="Normal 78 2 2 3" xfId="7327"/>
    <cellStyle name="Normal 78 2 2 3 2" xfId="7328"/>
    <cellStyle name="Normal 78 2 2 3 3" xfId="7329"/>
    <cellStyle name="Normal 78 2 2 4" xfId="7330"/>
    <cellStyle name="Normal 78 2 2 5" xfId="7331"/>
    <cellStyle name="Normal 78 2 3" xfId="7332"/>
    <cellStyle name="Normal 78 2 3 2" xfId="7333"/>
    <cellStyle name="Normal 78 2 3 2 2" xfId="7334"/>
    <cellStyle name="Normal 78 2 3 2 2 2" xfId="7335"/>
    <cellStyle name="Normal 78 2 3 2 2 3" xfId="7336"/>
    <cellStyle name="Normal 78 2 3 2 3" xfId="7337"/>
    <cellStyle name="Normal 78 2 3 2 4" xfId="7338"/>
    <cellStyle name="Normal 78 2 3 3" xfId="7339"/>
    <cellStyle name="Normal 78 2 3 3 2" xfId="7340"/>
    <cellStyle name="Normal 78 2 3 3 3" xfId="7341"/>
    <cellStyle name="Normal 78 2 3 4" xfId="7342"/>
    <cellStyle name="Normal 78 2 3 5" xfId="7343"/>
    <cellStyle name="Normal 78 2 4" xfId="7344"/>
    <cellStyle name="Normal 78 2 4 2" xfId="7345"/>
    <cellStyle name="Normal 78 2 4 2 2" xfId="7346"/>
    <cellStyle name="Normal 78 2 4 2 2 2" xfId="7347"/>
    <cellStyle name="Normal 78 2 4 2 2 3" xfId="7348"/>
    <cellStyle name="Normal 78 2 4 2 3" xfId="7349"/>
    <cellStyle name="Normal 78 2 4 2 4" xfId="7350"/>
    <cellStyle name="Normal 78 2 4 3" xfId="7351"/>
    <cellStyle name="Normal 78 2 4 3 2" xfId="7352"/>
    <cellStyle name="Normal 78 2 4 3 3" xfId="7353"/>
    <cellStyle name="Normal 78 2 4 4" xfId="7354"/>
    <cellStyle name="Normal 78 2 4 5" xfId="7355"/>
    <cellStyle name="Normal 78 2 5" xfId="7356"/>
    <cellStyle name="Normal 78 2 5 2" xfId="7357"/>
    <cellStyle name="Normal 78 2 5 2 2" xfId="7358"/>
    <cellStyle name="Normal 78 2 5 2 2 2" xfId="7359"/>
    <cellStyle name="Normal 78 2 5 2 2 3" xfId="7360"/>
    <cellStyle name="Normal 78 2 5 2 3" xfId="7361"/>
    <cellStyle name="Normal 78 2 5 2 4" xfId="7362"/>
    <cellStyle name="Normal 78 2 5 3" xfId="7363"/>
    <cellStyle name="Normal 78 2 5 3 2" xfId="7364"/>
    <cellStyle name="Normal 78 2 5 3 3" xfId="7365"/>
    <cellStyle name="Normal 78 2 5 4" xfId="7366"/>
    <cellStyle name="Normal 78 2 5 5" xfId="7367"/>
    <cellStyle name="Normal 78 2 6" xfId="7368"/>
    <cellStyle name="Normal 78 2 6 2" xfId="7369"/>
    <cellStyle name="Normal 78 2 6 2 2" xfId="7370"/>
    <cellStyle name="Normal 78 2 6 2 2 2" xfId="7371"/>
    <cellStyle name="Normal 78 2 6 2 2 3" xfId="7372"/>
    <cellStyle name="Normal 78 2 6 2 3" xfId="7373"/>
    <cellStyle name="Normal 78 2 6 2 4" xfId="7374"/>
    <cellStyle name="Normal 78 2 6 3" xfId="7375"/>
    <cellStyle name="Normal 78 2 6 3 2" xfId="7376"/>
    <cellStyle name="Normal 78 2 6 3 3" xfId="7377"/>
    <cellStyle name="Normal 78 2 6 4" xfId="7378"/>
    <cellStyle name="Normal 78 2 6 5" xfId="7379"/>
    <cellStyle name="Normal 78 2 7" xfId="7380"/>
    <cellStyle name="Normal 78 2 7 2" xfId="7381"/>
    <cellStyle name="Normal 78 2 7 2 2" xfId="7382"/>
    <cellStyle name="Normal 78 2 7 2 3" xfId="7383"/>
    <cellStyle name="Normal 78 2 7 3" xfId="7384"/>
    <cellStyle name="Normal 78 2 7 4" xfId="7385"/>
    <cellStyle name="Normal 78 2 8" xfId="7386"/>
    <cellStyle name="Normal 78 2 8 2" xfId="7387"/>
    <cellStyle name="Normal 78 2 8 3" xfId="7388"/>
    <cellStyle name="Normal 78 2 9" xfId="7389"/>
    <cellStyle name="Normal 78 3" xfId="7390"/>
    <cellStyle name="Normal 78 3 10" xfId="7391"/>
    <cellStyle name="Normal 78 3 2" xfId="7392"/>
    <cellStyle name="Normal 78 3 2 2" xfId="7393"/>
    <cellStyle name="Normal 78 3 2 2 2" xfId="7394"/>
    <cellStyle name="Normal 78 3 2 2 2 2" xfId="7395"/>
    <cellStyle name="Normal 78 3 2 2 2 3" xfId="7396"/>
    <cellStyle name="Normal 78 3 2 2 3" xfId="7397"/>
    <cellStyle name="Normal 78 3 2 2 4" xfId="7398"/>
    <cellStyle name="Normal 78 3 2 3" xfId="7399"/>
    <cellStyle name="Normal 78 3 2 3 2" xfId="7400"/>
    <cellStyle name="Normal 78 3 2 3 3" xfId="7401"/>
    <cellStyle name="Normal 78 3 2 4" xfId="7402"/>
    <cellStyle name="Normal 78 3 2 5" xfId="7403"/>
    <cellStyle name="Normal 78 3 3" xfId="7404"/>
    <cellStyle name="Normal 78 3 3 2" xfId="7405"/>
    <cellStyle name="Normal 78 3 3 2 2" xfId="7406"/>
    <cellStyle name="Normal 78 3 3 2 2 2" xfId="7407"/>
    <cellStyle name="Normal 78 3 3 2 2 3" xfId="7408"/>
    <cellStyle name="Normal 78 3 3 2 3" xfId="7409"/>
    <cellStyle name="Normal 78 3 3 2 4" xfId="7410"/>
    <cellStyle name="Normal 78 3 3 3" xfId="7411"/>
    <cellStyle name="Normal 78 3 3 3 2" xfId="7412"/>
    <cellStyle name="Normal 78 3 3 3 3" xfId="7413"/>
    <cellStyle name="Normal 78 3 3 4" xfId="7414"/>
    <cellStyle name="Normal 78 3 3 5" xfId="7415"/>
    <cellStyle name="Normal 78 3 4" xfId="7416"/>
    <cellStyle name="Normal 78 3 4 2" xfId="7417"/>
    <cellStyle name="Normal 78 3 4 2 2" xfId="7418"/>
    <cellStyle name="Normal 78 3 4 2 2 2" xfId="7419"/>
    <cellStyle name="Normal 78 3 4 2 2 3" xfId="7420"/>
    <cellStyle name="Normal 78 3 4 2 3" xfId="7421"/>
    <cellStyle name="Normal 78 3 4 2 4" xfId="7422"/>
    <cellStyle name="Normal 78 3 4 3" xfId="7423"/>
    <cellStyle name="Normal 78 3 4 3 2" xfId="7424"/>
    <cellStyle name="Normal 78 3 4 3 3" xfId="7425"/>
    <cellStyle name="Normal 78 3 4 4" xfId="7426"/>
    <cellStyle name="Normal 78 3 4 5" xfId="7427"/>
    <cellStyle name="Normal 78 3 5" xfId="7428"/>
    <cellStyle name="Normal 78 3 5 2" xfId="7429"/>
    <cellStyle name="Normal 78 3 5 2 2" xfId="7430"/>
    <cellStyle name="Normal 78 3 5 2 2 2" xfId="7431"/>
    <cellStyle name="Normal 78 3 5 2 2 3" xfId="7432"/>
    <cellStyle name="Normal 78 3 5 2 3" xfId="7433"/>
    <cellStyle name="Normal 78 3 5 2 4" xfId="7434"/>
    <cellStyle name="Normal 78 3 5 3" xfId="7435"/>
    <cellStyle name="Normal 78 3 5 3 2" xfId="7436"/>
    <cellStyle name="Normal 78 3 5 3 3" xfId="7437"/>
    <cellStyle name="Normal 78 3 5 4" xfId="7438"/>
    <cellStyle name="Normal 78 3 5 5" xfId="7439"/>
    <cellStyle name="Normal 78 3 6" xfId="7440"/>
    <cellStyle name="Normal 78 3 6 2" xfId="7441"/>
    <cellStyle name="Normal 78 3 6 2 2" xfId="7442"/>
    <cellStyle name="Normal 78 3 6 2 2 2" xfId="7443"/>
    <cellStyle name="Normal 78 3 6 2 2 3" xfId="7444"/>
    <cellStyle name="Normal 78 3 6 2 3" xfId="7445"/>
    <cellStyle name="Normal 78 3 6 2 4" xfId="7446"/>
    <cellStyle name="Normal 78 3 6 3" xfId="7447"/>
    <cellStyle name="Normal 78 3 6 3 2" xfId="7448"/>
    <cellStyle name="Normal 78 3 6 3 3" xfId="7449"/>
    <cellStyle name="Normal 78 3 6 4" xfId="7450"/>
    <cellStyle name="Normal 78 3 6 5" xfId="7451"/>
    <cellStyle name="Normal 78 3 7" xfId="7452"/>
    <cellStyle name="Normal 78 3 7 2" xfId="7453"/>
    <cellStyle name="Normal 78 3 7 2 2" xfId="7454"/>
    <cellStyle name="Normal 78 3 7 2 3" xfId="7455"/>
    <cellStyle name="Normal 78 3 7 3" xfId="7456"/>
    <cellStyle name="Normal 78 3 7 4" xfId="7457"/>
    <cellStyle name="Normal 78 3 8" xfId="7458"/>
    <cellStyle name="Normal 78 3 8 2" xfId="7459"/>
    <cellStyle name="Normal 78 3 8 3" xfId="7460"/>
    <cellStyle name="Normal 78 3 9" xfId="7461"/>
    <cellStyle name="Normal 78 4" xfId="7462"/>
    <cellStyle name="Normal 78 4 10" xfId="7463"/>
    <cellStyle name="Normal 78 4 2" xfId="7464"/>
    <cellStyle name="Normal 78 4 2 2" xfId="7465"/>
    <cellStyle name="Normal 78 4 2 2 2" xfId="7466"/>
    <cellStyle name="Normal 78 4 2 2 2 2" xfId="7467"/>
    <cellStyle name="Normal 78 4 2 2 2 3" xfId="7468"/>
    <cellStyle name="Normal 78 4 2 2 3" xfId="7469"/>
    <cellStyle name="Normal 78 4 2 2 4" xfId="7470"/>
    <cellStyle name="Normal 78 4 2 3" xfId="7471"/>
    <cellStyle name="Normal 78 4 2 3 2" xfId="7472"/>
    <cellStyle name="Normal 78 4 2 3 3" xfId="7473"/>
    <cellStyle name="Normal 78 4 2 4" xfId="7474"/>
    <cellStyle name="Normal 78 4 2 5" xfId="7475"/>
    <cellStyle name="Normal 78 4 3" xfId="7476"/>
    <cellStyle name="Normal 78 4 3 2" xfId="7477"/>
    <cellStyle name="Normal 78 4 3 2 2" xfId="7478"/>
    <cellStyle name="Normal 78 4 3 2 2 2" xfId="7479"/>
    <cellStyle name="Normal 78 4 3 2 2 3" xfId="7480"/>
    <cellStyle name="Normal 78 4 3 2 3" xfId="7481"/>
    <cellStyle name="Normal 78 4 3 2 4" xfId="7482"/>
    <cellStyle name="Normal 78 4 3 3" xfId="7483"/>
    <cellStyle name="Normal 78 4 3 3 2" xfId="7484"/>
    <cellStyle name="Normal 78 4 3 3 3" xfId="7485"/>
    <cellStyle name="Normal 78 4 3 4" xfId="7486"/>
    <cellStyle name="Normal 78 4 3 5" xfId="7487"/>
    <cellStyle name="Normal 78 4 4" xfId="7488"/>
    <cellStyle name="Normal 78 4 4 2" xfId="7489"/>
    <cellStyle name="Normal 78 4 4 2 2" xfId="7490"/>
    <cellStyle name="Normal 78 4 4 2 2 2" xfId="7491"/>
    <cellStyle name="Normal 78 4 4 2 2 3" xfId="7492"/>
    <cellStyle name="Normal 78 4 4 2 3" xfId="7493"/>
    <cellStyle name="Normal 78 4 4 2 4" xfId="7494"/>
    <cellStyle name="Normal 78 4 4 3" xfId="7495"/>
    <cellStyle name="Normal 78 4 4 3 2" xfId="7496"/>
    <cellStyle name="Normal 78 4 4 3 3" xfId="7497"/>
    <cellStyle name="Normal 78 4 4 4" xfId="7498"/>
    <cellStyle name="Normal 78 4 4 5" xfId="7499"/>
    <cellStyle name="Normal 78 4 5" xfId="7500"/>
    <cellStyle name="Normal 78 4 5 2" xfId="7501"/>
    <cellStyle name="Normal 78 4 5 2 2" xfId="7502"/>
    <cellStyle name="Normal 78 4 5 2 2 2" xfId="7503"/>
    <cellStyle name="Normal 78 4 5 2 2 3" xfId="7504"/>
    <cellStyle name="Normal 78 4 5 2 3" xfId="7505"/>
    <cellStyle name="Normal 78 4 5 2 4" xfId="7506"/>
    <cellStyle name="Normal 78 4 5 3" xfId="7507"/>
    <cellStyle name="Normal 78 4 5 3 2" xfId="7508"/>
    <cellStyle name="Normal 78 4 5 3 3" xfId="7509"/>
    <cellStyle name="Normal 78 4 5 4" xfId="7510"/>
    <cellStyle name="Normal 78 4 5 5" xfId="7511"/>
    <cellStyle name="Normal 78 4 6" xfId="7512"/>
    <cellStyle name="Normal 78 4 6 2" xfId="7513"/>
    <cellStyle name="Normal 78 4 6 2 2" xfId="7514"/>
    <cellStyle name="Normal 78 4 6 2 2 2" xfId="7515"/>
    <cellStyle name="Normal 78 4 6 2 2 3" xfId="7516"/>
    <cellStyle name="Normal 78 4 6 2 3" xfId="7517"/>
    <cellStyle name="Normal 78 4 6 2 4" xfId="7518"/>
    <cellStyle name="Normal 78 4 6 3" xfId="7519"/>
    <cellStyle name="Normal 78 4 6 3 2" xfId="7520"/>
    <cellStyle name="Normal 78 4 6 3 3" xfId="7521"/>
    <cellStyle name="Normal 78 4 6 4" xfId="7522"/>
    <cellStyle name="Normal 78 4 6 5" xfId="7523"/>
    <cellStyle name="Normal 78 4 7" xfId="7524"/>
    <cellStyle name="Normal 78 4 7 2" xfId="7525"/>
    <cellStyle name="Normal 78 4 7 2 2" xfId="7526"/>
    <cellStyle name="Normal 78 4 7 2 3" xfId="7527"/>
    <cellStyle name="Normal 78 4 7 3" xfId="7528"/>
    <cellStyle name="Normal 78 4 7 4" xfId="7529"/>
    <cellStyle name="Normal 78 4 8" xfId="7530"/>
    <cellStyle name="Normal 78 4 8 2" xfId="7531"/>
    <cellStyle name="Normal 78 4 8 3" xfId="7532"/>
    <cellStyle name="Normal 78 4 9" xfId="7533"/>
    <cellStyle name="Normal 78 5" xfId="7534"/>
    <cellStyle name="Normal 78 5 2" xfId="7535"/>
    <cellStyle name="Normal 78 5 2 2" xfId="7536"/>
    <cellStyle name="Normal 78 5 2 2 2" xfId="7537"/>
    <cellStyle name="Normal 78 5 2 2 3" xfId="7538"/>
    <cellStyle name="Normal 78 5 2 3" xfId="7539"/>
    <cellStyle name="Normal 78 5 2 4" xfId="7540"/>
    <cellStyle name="Normal 78 5 3" xfId="7541"/>
    <cellStyle name="Normal 78 5 3 2" xfId="7542"/>
    <cellStyle name="Normal 78 5 3 3" xfId="7543"/>
    <cellStyle name="Normal 78 5 4" xfId="7544"/>
    <cellStyle name="Normal 78 5 5" xfId="7545"/>
    <cellStyle name="Normal 78 6" xfId="7546"/>
    <cellStyle name="Normal 78 6 2" xfId="7547"/>
    <cellStyle name="Normal 78 6 2 2" xfId="7548"/>
    <cellStyle name="Normal 78 6 2 2 2" xfId="7549"/>
    <cellStyle name="Normal 78 6 2 2 3" xfId="7550"/>
    <cellStyle name="Normal 78 6 2 3" xfId="7551"/>
    <cellStyle name="Normal 78 6 2 4" xfId="7552"/>
    <cellStyle name="Normal 78 6 3" xfId="7553"/>
    <cellStyle name="Normal 78 6 3 2" xfId="7554"/>
    <cellStyle name="Normal 78 6 3 3" xfId="7555"/>
    <cellStyle name="Normal 78 6 4" xfId="7556"/>
    <cellStyle name="Normal 78 6 5" xfId="7557"/>
    <cellStyle name="Normal 78 7" xfId="7558"/>
    <cellStyle name="Normal 78 7 2" xfId="7559"/>
    <cellStyle name="Normal 78 7 2 2" xfId="7560"/>
    <cellStyle name="Normal 78 7 2 2 2" xfId="7561"/>
    <cellStyle name="Normal 78 7 2 2 3" xfId="7562"/>
    <cellStyle name="Normal 78 7 2 3" xfId="7563"/>
    <cellStyle name="Normal 78 7 2 4" xfId="7564"/>
    <cellStyle name="Normal 78 7 3" xfId="7565"/>
    <cellStyle name="Normal 78 7 3 2" xfId="7566"/>
    <cellStyle name="Normal 78 7 3 3" xfId="7567"/>
    <cellStyle name="Normal 78 7 4" xfId="7568"/>
    <cellStyle name="Normal 78 7 5" xfId="7569"/>
    <cellStyle name="Normal 78 8" xfId="7570"/>
    <cellStyle name="Normal 78 8 2" xfId="7571"/>
    <cellStyle name="Normal 78 8 2 2" xfId="7572"/>
    <cellStyle name="Normal 78 8 2 2 2" xfId="7573"/>
    <cellStyle name="Normal 78 8 2 2 3" xfId="7574"/>
    <cellStyle name="Normal 78 8 2 3" xfId="7575"/>
    <cellStyle name="Normal 78 8 2 4" xfId="7576"/>
    <cellStyle name="Normal 78 8 3" xfId="7577"/>
    <cellStyle name="Normal 78 8 3 2" xfId="7578"/>
    <cellStyle name="Normal 78 8 3 3" xfId="7579"/>
    <cellStyle name="Normal 78 8 4" xfId="7580"/>
    <cellStyle name="Normal 78 8 5" xfId="7581"/>
    <cellStyle name="Normal 78 9" xfId="7582"/>
    <cellStyle name="Normal 78 9 2" xfId="7583"/>
    <cellStyle name="Normal 78 9 2 2" xfId="7584"/>
    <cellStyle name="Normal 78 9 2 2 2" xfId="7585"/>
    <cellStyle name="Normal 78 9 2 2 3" xfId="7586"/>
    <cellStyle name="Normal 78 9 2 3" xfId="7587"/>
    <cellStyle name="Normal 78 9 2 4" xfId="7588"/>
    <cellStyle name="Normal 78 9 3" xfId="7589"/>
    <cellStyle name="Normal 78 9 3 2" xfId="7590"/>
    <cellStyle name="Normal 78 9 3 3" xfId="7591"/>
    <cellStyle name="Normal 78 9 4" xfId="7592"/>
    <cellStyle name="Normal 78 9 5" xfId="7593"/>
    <cellStyle name="Normal 79" xfId="7594"/>
    <cellStyle name="Normal 79 10" xfId="7595"/>
    <cellStyle name="Normal 79 2" xfId="7596"/>
    <cellStyle name="Normal 79 2 2" xfId="7597"/>
    <cellStyle name="Normal 79 2 2 2" xfId="7598"/>
    <cellStyle name="Normal 79 2 2 2 2" xfId="7599"/>
    <cellStyle name="Normal 79 2 2 2 3" xfId="7600"/>
    <cellStyle name="Normal 79 2 2 3" xfId="7601"/>
    <cellStyle name="Normal 79 2 2 4" xfId="7602"/>
    <cellStyle name="Normal 79 2 3" xfId="7603"/>
    <cellStyle name="Normal 79 2 3 2" xfId="7604"/>
    <cellStyle name="Normal 79 2 3 3" xfId="7605"/>
    <cellStyle name="Normal 79 2 4" xfId="7606"/>
    <cellStyle name="Normal 79 2 5" xfId="7607"/>
    <cellStyle name="Normal 79 3" xfId="7608"/>
    <cellStyle name="Normal 79 3 2" xfId="7609"/>
    <cellStyle name="Normal 79 3 2 2" xfId="7610"/>
    <cellStyle name="Normal 79 3 2 2 2" xfId="7611"/>
    <cellStyle name="Normal 79 3 2 2 3" xfId="7612"/>
    <cellStyle name="Normal 79 3 2 3" xfId="7613"/>
    <cellStyle name="Normal 79 3 2 4" xfId="7614"/>
    <cellStyle name="Normal 79 3 3" xfId="7615"/>
    <cellStyle name="Normal 79 3 3 2" xfId="7616"/>
    <cellStyle name="Normal 79 3 3 3" xfId="7617"/>
    <cellStyle name="Normal 79 3 4" xfId="7618"/>
    <cellStyle name="Normal 79 3 5" xfId="7619"/>
    <cellStyle name="Normal 79 4" xfId="7620"/>
    <cellStyle name="Normal 79 4 2" xfId="7621"/>
    <cellStyle name="Normal 79 4 2 2" xfId="7622"/>
    <cellStyle name="Normal 79 4 2 2 2" xfId="7623"/>
    <cellStyle name="Normal 79 4 2 2 3" xfId="7624"/>
    <cellStyle name="Normal 79 4 2 3" xfId="7625"/>
    <cellStyle name="Normal 79 4 2 4" xfId="7626"/>
    <cellStyle name="Normal 79 4 3" xfId="7627"/>
    <cellStyle name="Normal 79 4 3 2" xfId="7628"/>
    <cellStyle name="Normal 79 4 3 3" xfId="7629"/>
    <cellStyle name="Normal 79 4 4" xfId="7630"/>
    <cellStyle name="Normal 79 4 5" xfId="7631"/>
    <cellStyle name="Normal 79 5" xfId="7632"/>
    <cellStyle name="Normal 79 5 2" xfId="7633"/>
    <cellStyle name="Normal 79 5 2 2" xfId="7634"/>
    <cellStyle name="Normal 79 5 2 2 2" xfId="7635"/>
    <cellStyle name="Normal 79 5 2 2 3" xfId="7636"/>
    <cellStyle name="Normal 79 5 2 3" xfId="7637"/>
    <cellStyle name="Normal 79 5 2 4" xfId="7638"/>
    <cellStyle name="Normal 79 5 3" xfId="7639"/>
    <cellStyle name="Normal 79 5 3 2" xfId="7640"/>
    <cellStyle name="Normal 79 5 3 3" xfId="7641"/>
    <cellStyle name="Normal 79 5 4" xfId="7642"/>
    <cellStyle name="Normal 79 5 5" xfId="7643"/>
    <cellStyle name="Normal 79 6" xfId="7644"/>
    <cellStyle name="Normal 79 6 2" xfId="7645"/>
    <cellStyle name="Normal 79 6 2 2" xfId="7646"/>
    <cellStyle name="Normal 79 6 2 2 2" xfId="7647"/>
    <cellStyle name="Normal 79 6 2 2 3" xfId="7648"/>
    <cellStyle name="Normal 79 6 2 3" xfId="7649"/>
    <cellStyle name="Normal 79 6 2 4" xfId="7650"/>
    <cellStyle name="Normal 79 6 3" xfId="7651"/>
    <cellStyle name="Normal 79 6 3 2" xfId="7652"/>
    <cellStyle name="Normal 79 6 3 3" xfId="7653"/>
    <cellStyle name="Normal 79 6 4" xfId="7654"/>
    <cellStyle name="Normal 79 6 5" xfId="7655"/>
    <cellStyle name="Normal 79 7" xfId="7656"/>
    <cellStyle name="Normal 79 7 2" xfId="7657"/>
    <cellStyle name="Normal 79 7 2 2" xfId="7658"/>
    <cellStyle name="Normal 79 7 2 3" xfId="7659"/>
    <cellStyle name="Normal 79 7 3" xfId="7660"/>
    <cellStyle name="Normal 79 7 4" xfId="7661"/>
    <cellStyle name="Normal 79 8" xfId="7662"/>
    <cellStyle name="Normal 79 8 2" xfId="7663"/>
    <cellStyle name="Normal 79 9" xfId="7664"/>
    <cellStyle name="Normal 79 9 2" xfId="7665"/>
    <cellStyle name="Normal 79 9 3" xfId="7666"/>
    <cellStyle name="Normal 8" xfId="212"/>
    <cellStyle name="Normal 8 10" xfId="7667"/>
    <cellStyle name="Normal 8 10 2" xfId="7668"/>
    <cellStyle name="Normal 8 10 2 2" xfId="7669"/>
    <cellStyle name="Normal 8 10 2 3" xfId="7670"/>
    <cellStyle name="Normal 8 10 3" xfId="7671"/>
    <cellStyle name="Normal 8 10 4" xfId="7672"/>
    <cellStyle name="Normal 8 11" xfId="7673"/>
    <cellStyle name="Normal 8 11 2" xfId="7674"/>
    <cellStyle name="Normal 8 11 2 2" xfId="7675"/>
    <cellStyle name="Normal 8 11 2 3" xfId="7676"/>
    <cellStyle name="Normal 8 11 3" xfId="7677"/>
    <cellStyle name="Normal 8 11 4" xfId="7678"/>
    <cellStyle name="Normal 8 12" xfId="7679"/>
    <cellStyle name="Normal 8 12 2" xfId="7680"/>
    <cellStyle name="Normal 8 13" xfId="7681"/>
    <cellStyle name="Normal 8 14" xfId="7682"/>
    <cellStyle name="Normal 8 2" xfId="99"/>
    <cellStyle name="Normal 8 2 10" xfId="7683"/>
    <cellStyle name="Normal 8 2 2" xfId="213"/>
    <cellStyle name="Normal 8 2 2 2" xfId="7684"/>
    <cellStyle name="Normal 8 2 2 2 2" xfId="7685"/>
    <cellStyle name="Normal 8 2 2 2 2 2" xfId="7686"/>
    <cellStyle name="Normal 8 2 2 2 2 3" xfId="7687"/>
    <cellStyle name="Normal 8 2 2 2 3" xfId="7688"/>
    <cellStyle name="Normal 8 2 2 2 4" xfId="7689"/>
    <cellStyle name="Normal 8 2 2 3" xfId="7690"/>
    <cellStyle name="Normal 8 2 2 3 2" xfId="7691"/>
    <cellStyle name="Normal 8 2 2 3 3" xfId="7692"/>
    <cellStyle name="Normal 8 2 2 4" xfId="7693"/>
    <cellStyle name="Normal 8 2 2 5" xfId="7694"/>
    <cellStyle name="Normal 8 2 3" xfId="7695"/>
    <cellStyle name="Normal 8 2 3 2" xfId="7696"/>
    <cellStyle name="Normal 8 2 3 2 2" xfId="7697"/>
    <cellStyle name="Normal 8 2 3 2 2 2" xfId="7698"/>
    <cellStyle name="Normal 8 2 3 2 2 3" xfId="7699"/>
    <cellStyle name="Normal 8 2 3 2 3" xfId="7700"/>
    <cellStyle name="Normal 8 2 3 2 4" xfId="7701"/>
    <cellStyle name="Normal 8 2 3 3" xfId="7702"/>
    <cellStyle name="Normal 8 2 3 3 2" xfId="7703"/>
    <cellStyle name="Normal 8 2 3 3 3" xfId="7704"/>
    <cellStyle name="Normal 8 2 3 4" xfId="7705"/>
    <cellStyle name="Normal 8 2 3 5" xfId="7706"/>
    <cellStyle name="Normal 8 2 4" xfId="7707"/>
    <cellStyle name="Normal 8 2 4 2" xfId="7708"/>
    <cellStyle name="Normal 8 2 4 2 2" xfId="7709"/>
    <cellStyle name="Normal 8 2 4 2 2 2" xfId="7710"/>
    <cellStyle name="Normal 8 2 4 2 2 3" xfId="7711"/>
    <cellStyle name="Normal 8 2 4 2 3" xfId="7712"/>
    <cellStyle name="Normal 8 2 4 2 4" xfId="7713"/>
    <cellStyle name="Normal 8 2 4 3" xfId="7714"/>
    <cellStyle name="Normal 8 2 4 3 2" xfId="7715"/>
    <cellStyle name="Normal 8 2 4 3 3" xfId="7716"/>
    <cellStyle name="Normal 8 2 4 4" xfId="7717"/>
    <cellStyle name="Normal 8 2 4 5" xfId="7718"/>
    <cellStyle name="Normal 8 2 5" xfId="7719"/>
    <cellStyle name="Normal 8 2 5 2" xfId="7720"/>
    <cellStyle name="Normal 8 2 5 2 2" xfId="7721"/>
    <cellStyle name="Normal 8 2 5 2 2 2" xfId="7722"/>
    <cellStyle name="Normal 8 2 5 2 2 3" xfId="7723"/>
    <cellStyle name="Normal 8 2 5 2 3" xfId="7724"/>
    <cellStyle name="Normal 8 2 5 2 4" xfId="7725"/>
    <cellStyle name="Normal 8 2 5 3" xfId="7726"/>
    <cellStyle name="Normal 8 2 5 3 2" xfId="7727"/>
    <cellStyle name="Normal 8 2 5 3 3" xfId="7728"/>
    <cellStyle name="Normal 8 2 5 4" xfId="7729"/>
    <cellStyle name="Normal 8 2 5 5" xfId="7730"/>
    <cellStyle name="Normal 8 2 6" xfId="7731"/>
    <cellStyle name="Normal 8 2 6 2" xfId="7732"/>
    <cellStyle name="Normal 8 2 6 2 2" xfId="7733"/>
    <cellStyle name="Normal 8 2 6 2 2 2" xfId="7734"/>
    <cellStyle name="Normal 8 2 6 2 2 3" xfId="7735"/>
    <cellStyle name="Normal 8 2 6 2 3" xfId="7736"/>
    <cellStyle name="Normal 8 2 6 2 4" xfId="7737"/>
    <cellStyle name="Normal 8 2 6 3" xfId="7738"/>
    <cellStyle name="Normal 8 2 6 3 2" xfId="7739"/>
    <cellStyle name="Normal 8 2 6 3 3" xfId="7740"/>
    <cellStyle name="Normal 8 2 6 4" xfId="7741"/>
    <cellStyle name="Normal 8 2 6 5" xfId="7742"/>
    <cellStyle name="Normal 8 2 7" xfId="7743"/>
    <cellStyle name="Normal 8 2 7 2" xfId="7744"/>
    <cellStyle name="Normal 8 2 7 2 2" xfId="7745"/>
    <cellStyle name="Normal 8 2 7 2 3" xfId="7746"/>
    <cellStyle name="Normal 8 2 7 3" xfId="7747"/>
    <cellStyle name="Normal 8 2 7 4" xfId="7748"/>
    <cellStyle name="Normal 8 2 8" xfId="7749"/>
    <cellStyle name="Normal 8 2 8 2" xfId="7750"/>
    <cellStyle name="Normal 8 2 9" xfId="7751"/>
    <cellStyle name="Normal 8 2 9 2" xfId="7752"/>
    <cellStyle name="Normal 8 2 9 3" xfId="7753"/>
    <cellStyle name="Normal 8 3" xfId="7754"/>
    <cellStyle name="Normal 8 3 10" xfId="7755"/>
    <cellStyle name="Normal 8 3 2" xfId="7756"/>
    <cellStyle name="Normal 8 3 2 2" xfId="7757"/>
    <cellStyle name="Normal 8 3 2 2 2" xfId="7758"/>
    <cellStyle name="Normal 8 3 2 2 2 2" xfId="7759"/>
    <cellStyle name="Normal 8 3 2 2 2 3" xfId="7760"/>
    <cellStyle name="Normal 8 3 2 2 3" xfId="7761"/>
    <cellStyle name="Normal 8 3 2 2 4" xfId="7762"/>
    <cellStyle name="Normal 8 3 2 3" xfId="7763"/>
    <cellStyle name="Normal 8 3 2 3 2" xfId="7764"/>
    <cellStyle name="Normal 8 3 2 3 3" xfId="7765"/>
    <cellStyle name="Normal 8 3 2 4" xfId="7766"/>
    <cellStyle name="Normal 8 3 2 5" xfId="7767"/>
    <cellStyle name="Normal 8 3 3" xfId="7768"/>
    <cellStyle name="Normal 8 3 3 2" xfId="7769"/>
    <cellStyle name="Normal 8 3 3 2 2" xfId="7770"/>
    <cellStyle name="Normal 8 3 3 2 2 2" xfId="7771"/>
    <cellStyle name="Normal 8 3 3 2 2 3" xfId="7772"/>
    <cellStyle name="Normal 8 3 3 2 3" xfId="7773"/>
    <cellStyle name="Normal 8 3 3 2 4" xfId="7774"/>
    <cellStyle name="Normal 8 3 3 3" xfId="7775"/>
    <cellStyle name="Normal 8 3 3 3 2" xfId="7776"/>
    <cellStyle name="Normal 8 3 3 3 3" xfId="7777"/>
    <cellStyle name="Normal 8 3 3 4" xfId="7778"/>
    <cellStyle name="Normal 8 3 3 5" xfId="7779"/>
    <cellStyle name="Normal 8 3 4" xfId="7780"/>
    <cellStyle name="Normal 8 3 4 2" xfId="7781"/>
    <cellStyle name="Normal 8 3 4 2 2" xfId="7782"/>
    <cellStyle name="Normal 8 3 4 2 2 2" xfId="7783"/>
    <cellStyle name="Normal 8 3 4 2 2 3" xfId="7784"/>
    <cellStyle name="Normal 8 3 4 2 3" xfId="7785"/>
    <cellStyle name="Normal 8 3 4 2 4" xfId="7786"/>
    <cellStyle name="Normal 8 3 4 3" xfId="7787"/>
    <cellStyle name="Normal 8 3 4 3 2" xfId="7788"/>
    <cellStyle name="Normal 8 3 4 3 3" xfId="7789"/>
    <cellStyle name="Normal 8 3 4 4" xfId="7790"/>
    <cellStyle name="Normal 8 3 4 5" xfId="7791"/>
    <cellStyle name="Normal 8 3 5" xfId="7792"/>
    <cellStyle name="Normal 8 3 5 2" xfId="7793"/>
    <cellStyle name="Normal 8 3 5 2 2" xfId="7794"/>
    <cellStyle name="Normal 8 3 5 2 2 2" xfId="7795"/>
    <cellStyle name="Normal 8 3 5 2 2 3" xfId="7796"/>
    <cellStyle name="Normal 8 3 5 2 3" xfId="7797"/>
    <cellStyle name="Normal 8 3 5 2 4" xfId="7798"/>
    <cellStyle name="Normal 8 3 5 3" xfId="7799"/>
    <cellStyle name="Normal 8 3 5 3 2" xfId="7800"/>
    <cellStyle name="Normal 8 3 5 3 3" xfId="7801"/>
    <cellStyle name="Normal 8 3 5 4" xfId="7802"/>
    <cellStyle name="Normal 8 3 5 5" xfId="7803"/>
    <cellStyle name="Normal 8 3 6" xfId="7804"/>
    <cellStyle name="Normal 8 3 6 2" xfId="7805"/>
    <cellStyle name="Normal 8 3 6 2 2" xfId="7806"/>
    <cellStyle name="Normal 8 3 6 2 2 2" xfId="7807"/>
    <cellStyle name="Normal 8 3 6 2 2 3" xfId="7808"/>
    <cellStyle name="Normal 8 3 6 2 3" xfId="7809"/>
    <cellStyle name="Normal 8 3 6 2 4" xfId="7810"/>
    <cellStyle name="Normal 8 3 6 3" xfId="7811"/>
    <cellStyle name="Normal 8 3 6 3 2" xfId="7812"/>
    <cellStyle name="Normal 8 3 6 3 3" xfId="7813"/>
    <cellStyle name="Normal 8 3 6 4" xfId="7814"/>
    <cellStyle name="Normal 8 3 6 5" xfId="7815"/>
    <cellStyle name="Normal 8 3 7" xfId="7816"/>
    <cellStyle name="Normal 8 3 7 2" xfId="7817"/>
    <cellStyle name="Normal 8 3 7 2 2" xfId="7818"/>
    <cellStyle name="Normal 8 3 7 2 3" xfId="7819"/>
    <cellStyle name="Normal 8 3 7 3" xfId="7820"/>
    <cellStyle name="Normal 8 3 7 4" xfId="7821"/>
    <cellStyle name="Normal 8 3 8" xfId="7822"/>
    <cellStyle name="Normal 8 3 8 2" xfId="7823"/>
    <cellStyle name="Normal 8 3 9" xfId="7824"/>
    <cellStyle name="Normal 8 3 9 2" xfId="7825"/>
    <cellStyle name="Normal 8 3 9 3" xfId="7826"/>
    <cellStyle name="Normal 8 4" xfId="7827"/>
    <cellStyle name="Normal 8 4 10" xfId="7828"/>
    <cellStyle name="Normal 8 4 2" xfId="7829"/>
    <cellStyle name="Normal 8 4 2 2" xfId="7830"/>
    <cellStyle name="Normal 8 4 2 2 2" xfId="7831"/>
    <cellStyle name="Normal 8 4 2 2 2 2" xfId="7832"/>
    <cellStyle name="Normal 8 4 2 2 2 3" xfId="7833"/>
    <cellStyle name="Normal 8 4 2 2 3" xfId="7834"/>
    <cellStyle name="Normal 8 4 2 2 4" xfId="7835"/>
    <cellStyle name="Normal 8 4 2 3" xfId="7836"/>
    <cellStyle name="Normal 8 4 2 3 2" xfId="7837"/>
    <cellStyle name="Normal 8 4 2 3 3" xfId="7838"/>
    <cellStyle name="Normal 8 4 2 4" xfId="7839"/>
    <cellStyle name="Normal 8 4 2 5" xfId="7840"/>
    <cellStyle name="Normal 8 4 3" xfId="7841"/>
    <cellStyle name="Normal 8 4 3 2" xfId="7842"/>
    <cellStyle name="Normal 8 4 3 2 2" xfId="7843"/>
    <cellStyle name="Normal 8 4 3 2 2 2" xfId="7844"/>
    <cellStyle name="Normal 8 4 3 2 2 3" xfId="7845"/>
    <cellStyle name="Normal 8 4 3 2 3" xfId="7846"/>
    <cellStyle name="Normal 8 4 3 2 4" xfId="7847"/>
    <cellStyle name="Normal 8 4 3 3" xfId="7848"/>
    <cellStyle name="Normal 8 4 3 3 2" xfId="7849"/>
    <cellStyle name="Normal 8 4 3 3 3" xfId="7850"/>
    <cellStyle name="Normal 8 4 3 4" xfId="7851"/>
    <cellStyle name="Normal 8 4 3 5" xfId="7852"/>
    <cellStyle name="Normal 8 4 4" xfId="7853"/>
    <cellStyle name="Normal 8 4 4 2" xfId="7854"/>
    <cellStyle name="Normal 8 4 4 2 2" xfId="7855"/>
    <cellStyle name="Normal 8 4 4 2 2 2" xfId="7856"/>
    <cellStyle name="Normal 8 4 4 2 2 3" xfId="7857"/>
    <cellStyle name="Normal 8 4 4 2 3" xfId="7858"/>
    <cellStyle name="Normal 8 4 4 2 4" xfId="7859"/>
    <cellStyle name="Normal 8 4 4 3" xfId="7860"/>
    <cellStyle name="Normal 8 4 4 3 2" xfId="7861"/>
    <cellStyle name="Normal 8 4 4 3 3" xfId="7862"/>
    <cellStyle name="Normal 8 4 4 4" xfId="7863"/>
    <cellStyle name="Normal 8 4 4 5" xfId="7864"/>
    <cellStyle name="Normal 8 4 5" xfId="7865"/>
    <cellStyle name="Normal 8 4 5 2" xfId="7866"/>
    <cellStyle name="Normal 8 4 5 2 2" xfId="7867"/>
    <cellStyle name="Normal 8 4 5 2 2 2" xfId="7868"/>
    <cellStyle name="Normal 8 4 5 2 2 3" xfId="7869"/>
    <cellStyle name="Normal 8 4 5 2 3" xfId="7870"/>
    <cellStyle name="Normal 8 4 5 2 4" xfId="7871"/>
    <cellStyle name="Normal 8 4 5 3" xfId="7872"/>
    <cellStyle name="Normal 8 4 5 3 2" xfId="7873"/>
    <cellStyle name="Normal 8 4 5 3 3" xfId="7874"/>
    <cellStyle name="Normal 8 4 5 4" xfId="7875"/>
    <cellStyle name="Normal 8 4 5 5" xfId="7876"/>
    <cellStyle name="Normal 8 4 6" xfId="7877"/>
    <cellStyle name="Normal 8 4 6 2" xfId="7878"/>
    <cellStyle name="Normal 8 4 6 2 2" xfId="7879"/>
    <cellStyle name="Normal 8 4 6 2 2 2" xfId="7880"/>
    <cellStyle name="Normal 8 4 6 2 2 3" xfId="7881"/>
    <cellStyle name="Normal 8 4 6 2 3" xfId="7882"/>
    <cellStyle name="Normal 8 4 6 2 4" xfId="7883"/>
    <cellStyle name="Normal 8 4 6 3" xfId="7884"/>
    <cellStyle name="Normal 8 4 6 3 2" xfId="7885"/>
    <cellStyle name="Normal 8 4 6 3 3" xfId="7886"/>
    <cellStyle name="Normal 8 4 6 4" xfId="7887"/>
    <cellStyle name="Normal 8 4 6 5" xfId="7888"/>
    <cellStyle name="Normal 8 4 7" xfId="7889"/>
    <cellStyle name="Normal 8 4 7 2" xfId="7890"/>
    <cellStyle name="Normal 8 4 7 2 2" xfId="7891"/>
    <cellStyle name="Normal 8 4 7 2 3" xfId="7892"/>
    <cellStyle name="Normal 8 4 7 3" xfId="7893"/>
    <cellStyle name="Normal 8 4 7 4" xfId="7894"/>
    <cellStyle name="Normal 8 4 8" xfId="7895"/>
    <cellStyle name="Normal 8 4 8 2" xfId="7896"/>
    <cellStyle name="Normal 8 4 8 3" xfId="7897"/>
    <cellStyle name="Normal 8 4 9" xfId="7898"/>
    <cellStyle name="Normal 8 5" xfId="7899"/>
    <cellStyle name="Normal 8 5 2" xfId="7900"/>
    <cellStyle name="Normal 8 6" xfId="7901"/>
    <cellStyle name="Normal 8 6 2" xfId="7902"/>
    <cellStyle name="Normal 8 7" xfId="7903"/>
    <cellStyle name="Normal 8 7 2" xfId="7904"/>
    <cellStyle name="Normal 8 8" xfId="7905"/>
    <cellStyle name="Normal 8 8 2" xfId="7906"/>
    <cellStyle name="Normal 8 9" xfId="7907"/>
    <cellStyle name="Normal 8 9 2" xfId="7908"/>
    <cellStyle name="Normal 80" xfId="7909"/>
    <cellStyle name="Normal 80 10" xfId="7910"/>
    <cellStyle name="Normal 80 2" xfId="7911"/>
    <cellStyle name="Normal 80 2 2" xfId="7912"/>
    <cellStyle name="Normal 80 2 2 2" xfId="7913"/>
    <cellStyle name="Normal 80 2 2 2 2" xfId="7914"/>
    <cellStyle name="Normal 80 2 2 2 3" xfId="7915"/>
    <cellStyle name="Normal 80 2 2 3" xfId="7916"/>
    <cellStyle name="Normal 80 2 2 4" xfId="7917"/>
    <cellStyle name="Normal 80 2 3" xfId="7918"/>
    <cellStyle name="Normal 80 2 3 2" xfId="7919"/>
    <cellStyle name="Normal 80 2 3 3" xfId="7920"/>
    <cellStyle name="Normal 80 2 4" xfId="7921"/>
    <cellStyle name="Normal 80 2 5" xfId="7922"/>
    <cellStyle name="Normal 80 3" xfId="7923"/>
    <cellStyle name="Normal 80 3 2" xfId="7924"/>
    <cellStyle name="Normal 80 3 2 2" xfId="7925"/>
    <cellStyle name="Normal 80 3 2 2 2" xfId="7926"/>
    <cellStyle name="Normal 80 3 2 2 3" xfId="7927"/>
    <cellStyle name="Normal 80 3 2 3" xfId="7928"/>
    <cellStyle name="Normal 80 3 2 4" xfId="7929"/>
    <cellStyle name="Normal 80 3 3" xfId="7930"/>
    <cellStyle name="Normal 80 3 3 2" xfId="7931"/>
    <cellStyle name="Normal 80 3 3 3" xfId="7932"/>
    <cellStyle name="Normal 80 3 4" xfId="7933"/>
    <cellStyle name="Normal 80 3 5" xfId="7934"/>
    <cellStyle name="Normal 80 4" xfId="7935"/>
    <cellStyle name="Normal 80 4 2" xfId="7936"/>
    <cellStyle name="Normal 80 4 2 2" xfId="7937"/>
    <cellStyle name="Normal 80 4 2 2 2" xfId="7938"/>
    <cellStyle name="Normal 80 4 2 2 3" xfId="7939"/>
    <cellStyle name="Normal 80 4 2 3" xfId="7940"/>
    <cellStyle name="Normal 80 4 2 4" xfId="7941"/>
    <cellStyle name="Normal 80 4 3" xfId="7942"/>
    <cellStyle name="Normal 80 4 3 2" xfId="7943"/>
    <cellStyle name="Normal 80 4 3 3" xfId="7944"/>
    <cellStyle name="Normal 80 4 4" xfId="7945"/>
    <cellStyle name="Normal 80 4 5" xfId="7946"/>
    <cellStyle name="Normal 80 5" xfId="7947"/>
    <cellStyle name="Normal 80 5 2" xfId="7948"/>
    <cellStyle name="Normal 80 5 2 2" xfId="7949"/>
    <cellStyle name="Normal 80 5 2 2 2" xfId="7950"/>
    <cellStyle name="Normal 80 5 2 2 3" xfId="7951"/>
    <cellStyle name="Normal 80 5 2 3" xfId="7952"/>
    <cellStyle name="Normal 80 5 2 4" xfId="7953"/>
    <cellStyle name="Normal 80 5 3" xfId="7954"/>
    <cellStyle name="Normal 80 5 3 2" xfId="7955"/>
    <cellStyle name="Normal 80 5 3 3" xfId="7956"/>
    <cellStyle name="Normal 80 5 4" xfId="7957"/>
    <cellStyle name="Normal 80 5 5" xfId="7958"/>
    <cellStyle name="Normal 80 6" xfId="7959"/>
    <cellStyle name="Normal 80 6 2" xfId="7960"/>
    <cellStyle name="Normal 80 6 2 2" xfId="7961"/>
    <cellStyle name="Normal 80 6 2 2 2" xfId="7962"/>
    <cellStyle name="Normal 80 6 2 2 3" xfId="7963"/>
    <cellStyle name="Normal 80 6 2 3" xfId="7964"/>
    <cellStyle name="Normal 80 6 2 4" xfId="7965"/>
    <cellStyle name="Normal 80 6 3" xfId="7966"/>
    <cellStyle name="Normal 80 6 3 2" xfId="7967"/>
    <cellStyle name="Normal 80 6 3 3" xfId="7968"/>
    <cellStyle name="Normal 80 6 4" xfId="7969"/>
    <cellStyle name="Normal 80 6 5" xfId="7970"/>
    <cellStyle name="Normal 80 7" xfId="7971"/>
    <cellStyle name="Normal 80 7 2" xfId="7972"/>
    <cellStyle name="Normal 80 7 2 2" xfId="7973"/>
    <cellStyle name="Normal 80 7 2 3" xfId="7974"/>
    <cellStyle name="Normal 80 7 3" xfId="7975"/>
    <cellStyle name="Normal 80 7 4" xfId="7976"/>
    <cellStyle name="Normal 80 8" xfId="7977"/>
    <cellStyle name="Normal 80 8 2" xfId="7978"/>
    <cellStyle name="Normal 80 8 3" xfId="7979"/>
    <cellStyle name="Normal 80 9" xfId="7980"/>
    <cellStyle name="Normal 81" xfId="7981"/>
    <cellStyle name="Normal 81 2" xfId="7982"/>
    <cellStyle name="Normal 81 3" xfId="7983"/>
    <cellStyle name="Normal 82" xfId="7984"/>
    <cellStyle name="Normal 82 10" xfId="7985"/>
    <cellStyle name="Normal 82 10 2" xfId="7986"/>
    <cellStyle name="Normal 82 10 2 2" xfId="7987"/>
    <cellStyle name="Normal 82 10 2 3" xfId="7988"/>
    <cellStyle name="Normal 82 10 3" xfId="7989"/>
    <cellStyle name="Normal 82 10 4" xfId="7990"/>
    <cellStyle name="Normal 82 11" xfId="7991"/>
    <cellStyle name="Normal 82 11 2" xfId="7992"/>
    <cellStyle name="Normal 82 11 3" xfId="7993"/>
    <cellStyle name="Normal 82 12" xfId="7994"/>
    <cellStyle name="Normal 82 13" xfId="7995"/>
    <cellStyle name="Normal 82 2" xfId="7996"/>
    <cellStyle name="Normal 82 2 10" xfId="7997"/>
    <cellStyle name="Normal 82 2 2" xfId="7998"/>
    <cellStyle name="Normal 82 2 2 2" xfId="7999"/>
    <cellStyle name="Normal 82 2 2 2 2" xfId="8000"/>
    <cellStyle name="Normal 82 2 2 2 2 2" xfId="8001"/>
    <cellStyle name="Normal 82 2 2 2 2 3" xfId="8002"/>
    <cellStyle name="Normal 82 2 2 2 3" xfId="8003"/>
    <cellStyle name="Normal 82 2 2 2 4" xfId="8004"/>
    <cellStyle name="Normal 82 2 2 3" xfId="8005"/>
    <cellStyle name="Normal 82 2 2 3 2" xfId="8006"/>
    <cellStyle name="Normal 82 2 2 3 3" xfId="8007"/>
    <cellStyle name="Normal 82 2 2 4" xfId="8008"/>
    <cellStyle name="Normal 82 2 2 5" xfId="8009"/>
    <cellStyle name="Normal 82 2 3" xfId="8010"/>
    <cellStyle name="Normal 82 2 3 2" xfId="8011"/>
    <cellStyle name="Normal 82 2 3 2 2" xfId="8012"/>
    <cellStyle name="Normal 82 2 3 2 2 2" xfId="8013"/>
    <cellStyle name="Normal 82 2 3 2 2 3" xfId="8014"/>
    <cellStyle name="Normal 82 2 3 2 3" xfId="8015"/>
    <cellStyle name="Normal 82 2 3 2 4" xfId="8016"/>
    <cellStyle name="Normal 82 2 3 3" xfId="8017"/>
    <cellStyle name="Normal 82 2 3 3 2" xfId="8018"/>
    <cellStyle name="Normal 82 2 3 3 3" xfId="8019"/>
    <cellStyle name="Normal 82 2 3 4" xfId="8020"/>
    <cellStyle name="Normal 82 2 3 5" xfId="8021"/>
    <cellStyle name="Normal 82 2 4" xfId="8022"/>
    <cellStyle name="Normal 82 2 4 2" xfId="8023"/>
    <cellStyle name="Normal 82 2 4 2 2" xfId="8024"/>
    <cellStyle name="Normal 82 2 4 2 2 2" xfId="8025"/>
    <cellStyle name="Normal 82 2 4 2 2 3" xfId="8026"/>
    <cellStyle name="Normal 82 2 4 2 3" xfId="8027"/>
    <cellStyle name="Normal 82 2 4 2 4" xfId="8028"/>
    <cellStyle name="Normal 82 2 4 3" xfId="8029"/>
    <cellStyle name="Normal 82 2 4 3 2" xfId="8030"/>
    <cellStyle name="Normal 82 2 4 3 3" xfId="8031"/>
    <cellStyle name="Normal 82 2 4 4" xfId="8032"/>
    <cellStyle name="Normal 82 2 4 5" xfId="8033"/>
    <cellStyle name="Normal 82 2 5" xfId="8034"/>
    <cellStyle name="Normal 82 2 5 2" xfId="8035"/>
    <cellStyle name="Normal 82 2 5 2 2" xfId="8036"/>
    <cellStyle name="Normal 82 2 5 2 2 2" xfId="8037"/>
    <cellStyle name="Normal 82 2 5 2 2 3" xfId="8038"/>
    <cellStyle name="Normal 82 2 5 2 3" xfId="8039"/>
    <cellStyle name="Normal 82 2 5 2 4" xfId="8040"/>
    <cellStyle name="Normal 82 2 5 3" xfId="8041"/>
    <cellStyle name="Normal 82 2 5 3 2" xfId="8042"/>
    <cellStyle name="Normal 82 2 5 3 3" xfId="8043"/>
    <cellStyle name="Normal 82 2 5 4" xfId="8044"/>
    <cellStyle name="Normal 82 2 5 5" xfId="8045"/>
    <cellStyle name="Normal 82 2 6" xfId="8046"/>
    <cellStyle name="Normal 82 2 6 2" xfId="8047"/>
    <cellStyle name="Normal 82 2 6 2 2" xfId="8048"/>
    <cellStyle name="Normal 82 2 6 2 2 2" xfId="8049"/>
    <cellStyle name="Normal 82 2 6 2 2 3" xfId="8050"/>
    <cellStyle name="Normal 82 2 6 2 3" xfId="8051"/>
    <cellStyle name="Normal 82 2 6 2 4" xfId="8052"/>
    <cellStyle name="Normal 82 2 6 3" xfId="8053"/>
    <cellStyle name="Normal 82 2 6 3 2" xfId="8054"/>
    <cellStyle name="Normal 82 2 6 3 3" xfId="8055"/>
    <cellStyle name="Normal 82 2 6 4" xfId="8056"/>
    <cellStyle name="Normal 82 2 6 5" xfId="8057"/>
    <cellStyle name="Normal 82 2 7" xfId="8058"/>
    <cellStyle name="Normal 82 2 7 2" xfId="8059"/>
    <cellStyle name="Normal 82 2 7 2 2" xfId="8060"/>
    <cellStyle name="Normal 82 2 7 2 3" xfId="8061"/>
    <cellStyle name="Normal 82 2 7 3" xfId="8062"/>
    <cellStyle name="Normal 82 2 7 4" xfId="8063"/>
    <cellStyle name="Normal 82 2 8" xfId="8064"/>
    <cellStyle name="Normal 82 2 8 2" xfId="8065"/>
    <cellStyle name="Normal 82 2 8 3" xfId="8066"/>
    <cellStyle name="Normal 82 2 9" xfId="8067"/>
    <cellStyle name="Normal 82 3" xfId="8068"/>
    <cellStyle name="Normal 82 3 10" xfId="8069"/>
    <cellStyle name="Normal 82 3 2" xfId="8070"/>
    <cellStyle name="Normal 82 3 2 2" xfId="8071"/>
    <cellStyle name="Normal 82 3 2 2 2" xfId="8072"/>
    <cellStyle name="Normal 82 3 2 2 2 2" xfId="8073"/>
    <cellStyle name="Normal 82 3 2 2 2 3" xfId="8074"/>
    <cellStyle name="Normal 82 3 2 2 3" xfId="8075"/>
    <cellStyle name="Normal 82 3 2 2 4" xfId="8076"/>
    <cellStyle name="Normal 82 3 2 3" xfId="8077"/>
    <cellStyle name="Normal 82 3 2 3 2" xfId="8078"/>
    <cellStyle name="Normal 82 3 2 3 3" xfId="8079"/>
    <cellStyle name="Normal 82 3 2 4" xfId="8080"/>
    <cellStyle name="Normal 82 3 2 5" xfId="8081"/>
    <cellStyle name="Normal 82 3 3" xfId="8082"/>
    <cellStyle name="Normal 82 3 3 2" xfId="8083"/>
    <cellStyle name="Normal 82 3 3 2 2" xfId="8084"/>
    <cellStyle name="Normal 82 3 3 2 2 2" xfId="8085"/>
    <cellStyle name="Normal 82 3 3 2 2 3" xfId="8086"/>
    <cellStyle name="Normal 82 3 3 2 3" xfId="8087"/>
    <cellStyle name="Normal 82 3 3 2 4" xfId="8088"/>
    <cellStyle name="Normal 82 3 3 3" xfId="8089"/>
    <cellStyle name="Normal 82 3 3 3 2" xfId="8090"/>
    <cellStyle name="Normal 82 3 3 3 3" xfId="8091"/>
    <cellStyle name="Normal 82 3 3 4" xfId="8092"/>
    <cellStyle name="Normal 82 3 3 5" xfId="8093"/>
    <cellStyle name="Normal 82 3 4" xfId="8094"/>
    <cellStyle name="Normal 82 3 4 2" xfId="8095"/>
    <cellStyle name="Normal 82 3 4 2 2" xfId="8096"/>
    <cellStyle name="Normal 82 3 4 2 2 2" xfId="8097"/>
    <cellStyle name="Normal 82 3 4 2 2 3" xfId="8098"/>
    <cellStyle name="Normal 82 3 4 2 3" xfId="8099"/>
    <cellStyle name="Normal 82 3 4 2 4" xfId="8100"/>
    <cellStyle name="Normal 82 3 4 3" xfId="8101"/>
    <cellStyle name="Normal 82 3 4 3 2" xfId="8102"/>
    <cellStyle name="Normal 82 3 4 3 3" xfId="8103"/>
    <cellStyle name="Normal 82 3 4 4" xfId="8104"/>
    <cellStyle name="Normal 82 3 4 5" xfId="8105"/>
    <cellStyle name="Normal 82 3 5" xfId="8106"/>
    <cellStyle name="Normal 82 3 5 2" xfId="8107"/>
    <cellStyle name="Normal 82 3 5 2 2" xfId="8108"/>
    <cellStyle name="Normal 82 3 5 2 2 2" xfId="8109"/>
    <cellStyle name="Normal 82 3 5 2 2 3" xfId="8110"/>
    <cellStyle name="Normal 82 3 5 2 3" xfId="8111"/>
    <cellStyle name="Normal 82 3 5 2 4" xfId="8112"/>
    <cellStyle name="Normal 82 3 5 3" xfId="8113"/>
    <cellStyle name="Normal 82 3 5 3 2" xfId="8114"/>
    <cellStyle name="Normal 82 3 5 3 3" xfId="8115"/>
    <cellStyle name="Normal 82 3 5 4" xfId="8116"/>
    <cellStyle name="Normal 82 3 5 5" xfId="8117"/>
    <cellStyle name="Normal 82 3 6" xfId="8118"/>
    <cellStyle name="Normal 82 3 6 2" xfId="8119"/>
    <cellStyle name="Normal 82 3 6 2 2" xfId="8120"/>
    <cellStyle name="Normal 82 3 6 2 2 2" xfId="8121"/>
    <cellStyle name="Normal 82 3 6 2 2 3" xfId="8122"/>
    <cellStyle name="Normal 82 3 6 2 3" xfId="8123"/>
    <cellStyle name="Normal 82 3 6 2 4" xfId="8124"/>
    <cellStyle name="Normal 82 3 6 3" xfId="8125"/>
    <cellStyle name="Normal 82 3 6 3 2" xfId="8126"/>
    <cellStyle name="Normal 82 3 6 3 3" xfId="8127"/>
    <cellStyle name="Normal 82 3 6 4" xfId="8128"/>
    <cellStyle name="Normal 82 3 6 5" xfId="8129"/>
    <cellStyle name="Normal 82 3 7" xfId="8130"/>
    <cellStyle name="Normal 82 3 7 2" xfId="8131"/>
    <cellStyle name="Normal 82 3 7 2 2" xfId="8132"/>
    <cellStyle name="Normal 82 3 7 2 3" xfId="8133"/>
    <cellStyle name="Normal 82 3 7 3" xfId="8134"/>
    <cellStyle name="Normal 82 3 7 4" xfId="8135"/>
    <cellStyle name="Normal 82 3 8" xfId="8136"/>
    <cellStyle name="Normal 82 3 8 2" xfId="8137"/>
    <cellStyle name="Normal 82 3 8 3" xfId="8138"/>
    <cellStyle name="Normal 82 3 9" xfId="8139"/>
    <cellStyle name="Normal 82 4" xfId="8140"/>
    <cellStyle name="Normal 82 4 10" xfId="8141"/>
    <cellStyle name="Normal 82 4 2" xfId="8142"/>
    <cellStyle name="Normal 82 4 2 2" xfId="8143"/>
    <cellStyle name="Normal 82 4 2 2 2" xfId="8144"/>
    <cellStyle name="Normal 82 4 2 2 2 2" xfId="8145"/>
    <cellStyle name="Normal 82 4 2 2 2 3" xfId="8146"/>
    <cellStyle name="Normal 82 4 2 2 3" xfId="8147"/>
    <cellStyle name="Normal 82 4 2 2 4" xfId="8148"/>
    <cellStyle name="Normal 82 4 2 3" xfId="8149"/>
    <cellStyle name="Normal 82 4 2 3 2" xfId="8150"/>
    <cellStyle name="Normal 82 4 2 3 3" xfId="8151"/>
    <cellStyle name="Normal 82 4 2 4" xfId="8152"/>
    <cellStyle name="Normal 82 4 2 5" xfId="8153"/>
    <cellStyle name="Normal 82 4 3" xfId="8154"/>
    <cellStyle name="Normal 82 4 3 2" xfId="8155"/>
    <cellStyle name="Normal 82 4 3 2 2" xfId="8156"/>
    <cellStyle name="Normal 82 4 3 2 2 2" xfId="8157"/>
    <cellStyle name="Normal 82 4 3 2 2 3" xfId="8158"/>
    <cellStyle name="Normal 82 4 3 2 3" xfId="8159"/>
    <cellStyle name="Normal 82 4 3 2 4" xfId="8160"/>
    <cellStyle name="Normal 82 4 3 3" xfId="8161"/>
    <cellStyle name="Normal 82 4 3 3 2" xfId="8162"/>
    <cellStyle name="Normal 82 4 3 3 3" xfId="8163"/>
    <cellStyle name="Normal 82 4 3 4" xfId="8164"/>
    <cellStyle name="Normal 82 4 3 5" xfId="8165"/>
    <cellStyle name="Normal 82 4 4" xfId="8166"/>
    <cellStyle name="Normal 82 4 4 2" xfId="8167"/>
    <cellStyle name="Normal 82 4 4 2 2" xfId="8168"/>
    <cellStyle name="Normal 82 4 4 2 2 2" xfId="8169"/>
    <cellStyle name="Normal 82 4 4 2 2 3" xfId="8170"/>
    <cellStyle name="Normal 82 4 4 2 3" xfId="8171"/>
    <cellStyle name="Normal 82 4 4 2 4" xfId="8172"/>
    <cellStyle name="Normal 82 4 4 3" xfId="8173"/>
    <cellStyle name="Normal 82 4 4 3 2" xfId="8174"/>
    <cellStyle name="Normal 82 4 4 3 3" xfId="8175"/>
    <cellStyle name="Normal 82 4 4 4" xfId="8176"/>
    <cellStyle name="Normal 82 4 4 5" xfId="8177"/>
    <cellStyle name="Normal 82 4 5" xfId="8178"/>
    <cellStyle name="Normal 82 4 5 2" xfId="8179"/>
    <cellStyle name="Normal 82 4 5 2 2" xfId="8180"/>
    <cellStyle name="Normal 82 4 5 2 2 2" xfId="8181"/>
    <cellStyle name="Normal 82 4 5 2 2 3" xfId="8182"/>
    <cellStyle name="Normal 82 4 5 2 3" xfId="8183"/>
    <cellStyle name="Normal 82 4 5 2 4" xfId="8184"/>
    <cellStyle name="Normal 82 4 5 3" xfId="8185"/>
    <cellStyle name="Normal 82 4 5 3 2" xfId="8186"/>
    <cellStyle name="Normal 82 4 5 3 3" xfId="8187"/>
    <cellStyle name="Normal 82 4 5 4" xfId="8188"/>
    <cellStyle name="Normal 82 4 5 5" xfId="8189"/>
    <cellStyle name="Normal 82 4 6" xfId="8190"/>
    <cellStyle name="Normal 82 4 6 2" xfId="8191"/>
    <cellStyle name="Normal 82 4 6 2 2" xfId="8192"/>
    <cellStyle name="Normal 82 4 6 2 2 2" xfId="8193"/>
    <cellStyle name="Normal 82 4 6 2 2 3" xfId="8194"/>
    <cellStyle name="Normal 82 4 6 2 3" xfId="8195"/>
    <cellStyle name="Normal 82 4 6 2 4" xfId="8196"/>
    <cellStyle name="Normal 82 4 6 3" xfId="8197"/>
    <cellStyle name="Normal 82 4 6 3 2" xfId="8198"/>
    <cellStyle name="Normal 82 4 6 3 3" xfId="8199"/>
    <cellStyle name="Normal 82 4 6 4" xfId="8200"/>
    <cellStyle name="Normal 82 4 6 5" xfId="8201"/>
    <cellStyle name="Normal 82 4 7" xfId="8202"/>
    <cellStyle name="Normal 82 4 7 2" xfId="8203"/>
    <cellStyle name="Normal 82 4 7 2 2" xfId="8204"/>
    <cellStyle name="Normal 82 4 7 2 3" xfId="8205"/>
    <cellStyle name="Normal 82 4 7 3" xfId="8206"/>
    <cellStyle name="Normal 82 4 7 4" xfId="8207"/>
    <cellStyle name="Normal 82 4 8" xfId="8208"/>
    <cellStyle name="Normal 82 4 8 2" xfId="8209"/>
    <cellStyle name="Normal 82 4 8 3" xfId="8210"/>
    <cellStyle name="Normal 82 4 9" xfId="8211"/>
    <cellStyle name="Normal 82 5" xfId="8212"/>
    <cellStyle name="Normal 82 5 2" xfId="8213"/>
    <cellStyle name="Normal 82 5 2 2" xfId="8214"/>
    <cellStyle name="Normal 82 5 2 2 2" xfId="8215"/>
    <cellStyle name="Normal 82 5 2 2 3" xfId="8216"/>
    <cellStyle name="Normal 82 5 2 3" xfId="8217"/>
    <cellStyle name="Normal 82 5 2 4" xfId="8218"/>
    <cellStyle name="Normal 82 5 3" xfId="8219"/>
    <cellStyle name="Normal 82 5 3 2" xfId="8220"/>
    <cellStyle name="Normal 82 5 3 3" xfId="8221"/>
    <cellStyle name="Normal 82 5 4" xfId="8222"/>
    <cellStyle name="Normal 82 5 5" xfId="8223"/>
    <cellStyle name="Normal 82 6" xfId="8224"/>
    <cellStyle name="Normal 82 6 2" xfId="8225"/>
    <cellStyle name="Normal 82 6 2 2" xfId="8226"/>
    <cellStyle name="Normal 82 6 2 2 2" xfId="8227"/>
    <cellStyle name="Normal 82 6 2 2 3" xfId="8228"/>
    <cellStyle name="Normal 82 6 2 3" xfId="8229"/>
    <cellStyle name="Normal 82 6 2 4" xfId="8230"/>
    <cellStyle name="Normal 82 6 3" xfId="8231"/>
    <cellStyle name="Normal 82 6 3 2" xfId="8232"/>
    <cellStyle name="Normal 82 6 3 3" xfId="8233"/>
    <cellStyle name="Normal 82 6 4" xfId="8234"/>
    <cellStyle name="Normal 82 6 5" xfId="8235"/>
    <cellStyle name="Normal 82 7" xfId="8236"/>
    <cellStyle name="Normal 82 7 2" xfId="8237"/>
    <cellStyle name="Normal 82 7 2 2" xfId="8238"/>
    <cellStyle name="Normal 82 7 2 2 2" xfId="8239"/>
    <cellStyle name="Normal 82 7 2 2 3" xfId="8240"/>
    <cellStyle name="Normal 82 7 2 3" xfId="8241"/>
    <cellStyle name="Normal 82 7 2 4" xfId="8242"/>
    <cellStyle name="Normal 82 7 3" xfId="8243"/>
    <cellStyle name="Normal 82 7 3 2" xfId="8244"/>
    <cellStyle name="Normal 82 7 3 3" xfId="8245"/>
    <cellStyle name="Normal 82 7 4" xfId="8246"/>
    <cellStyle name="Normal 82 7 5" xfId="8247"/>
    <cellStyle name="Normal 82 8" xfId="8248"/>
    <cellStyle name="Normal 82 8 2" xfId="8249"/>
    <cellStyle name="Normal 82 8 2 2" xfId="8250"/>
    <cellStyle name="Normal 82 8 2 2 2" xfId="8251"/>
    <cellStyle name="Normal 82 8 2 2 3" xfId="8252"/>
    <cellStyle name="Normal 82 8 2 3" xfId="8253"/>
    <cellStyle name="Normal 82 8 2 4" xfId="8254"/>
    <cellStyle name="Normal 82 8 3" xfId="8255"/>
    <cellStyle name="Normal 82 8 3 2" xfId="8256"/>
    <cellStyle name="Normal 82 8 3 3" xfId="8257"/>
    <cellStyle name="Normal 82 8 4" xfId="8258"/>
    <cellStyle name="Normal 82 8 5" xfId="8259"/>
    <cellStyle name="Normal 82 9" xfId="8260"/>
    <cellStyle name="Normal 82 9 2" xfId="8261"/>
    <cellStyle name="Normal 82 9 2 2" xfId="8262"/>
    <cellStyle name="Normal 82 9 2 2 2" xfId="8263"/>
    <cellStyle name="Normal 82 9 2 2 3" xfId="8264"/>
    <cellStyle name="Normal 82 9 2 3" xfId="8265"/>
    <cellStyle name="Normal 82 9 2 4" xfId="8266"/>
    <cellStyle name="Normal 82 9 3" xfId="8267"/>
    <cellStyle name="Normal 82 9 3 2" xfId="8268"/>
    <cellStyle name="Normal 82 9 3 3" xfId="8269"/>
    <cellStyle name="Normal 82 9 4" xfId="8270"/>
    <cellStyle name="Normal 82 9 5" xfId="8271"/>
    <cellStyle name="Normal 83" xfId="8272"/>
    <cellStyle name="Normal 83 10" xfId="8273"/>
    <cellStyle name="Normal 83 2" xfId="8274"/>
    <cellStyle name="Normal 83 2 2" xfId="8275"/>
    <cellStyle name="Normal 83 2 2 2" xfId="8276"/>
    <cellStyle name="Normal 83 2 2 2 2" xfId="8277"/>
    <cellStyle name="Normal 83 2 2 2 3" xfId="8278"/>
    <cellStyle name="Normal 83 2 2 3" xfId="8279"/>
    <cellStyle name="Normal 83 2 2 4" xfId="8280"/>
    <cellStyle name="Normal 83 2 3" xfId="8281"/>
    <cellStyle name="Normal 83 2 3 2" xfId="8282"/>
    <cellStyle name="Normal 83 2 3 3" xfId="8283"/>
    <cellStyle name="Normal 83 2 4" xfId="8284"/>
    <cellStyle name="Normal 83 2 5" xfId="8285"/>
    <cellStyle name="Normal 83 3" xfId="8286"/>
    <cellStyle name="Normal 83 3 2" xfId="8287"/>
    <cellStyle name="Normal 83 3 2 2" xfId="8288"/>
    <cellStyle name="Normal 83 3 2 2 2" xfId="8289"/>
    <cellStyle name="Normal 83 3 2 2 3" xfId="8290"/>
    <cellStyle name="Normal 83 3 2 3" xfId="8291"/>
    <cellStyle name="Normal 83 3 2 4" xfId="8292"/>
    <cellStyle name="Normal 83 3 3" xfId="8293"/>
    <cellStyle name="Normal 83 3 3 2" xfId="8294"/>
    <cellStyle name="Normal 83 3 3 3" xfId="8295"/>
    <cellStyle name="Normal 83 3 4" xfId="8296"/>
    <cellStyle name="Normal 83 3 5" xfId="8297"/>
    <cellStyle name="Normal 83 4" xfId="8298"/>
    <cellStyle name="Normal 83 4 2" xfId="8299"/>
    <cellStyle name="Normal 83 4 2 2" xfId="8300"/>
    <cellStyle name="Normal 83 4 2 2 2" xfId="8301"/>
    <cellStyle name="Normal 83 4 2 2 3" xfId="8302"/>
    <cellStyle name="Normal 83 4 2 3" xfId="8303"/>
    <cellStyle name="Normal 83 4 2 4" xfId="8304"/>
    <cellStyle name="Normal 83 4 3" xfId="8305"/>
    <cellStyle name="Normal 83 4 3 2" xfId="8306"/>
    <cellStyle name="Normal 83 4 3 3" xfId="8307"/>
    <cellStyle name="Normal 83 4 4" xfId="8308"/>
    <cellStyle name="Normal 83 4 5" xfId="8309"/>
    <cellStyle name="Normal 83 5" xfId="8310"/>
    <cellStyle name="Normal 83 5 2" xfId="8311"/>
    <cellStyle name="Normal 83 5 2 2" xfId="8312"/>
    <cellStyle name="Normal 83 5 2 2 2" xfId="8313"/>
    <cellStyle name="Normal 83 5 2 2 3" xfId="8314"/>
    <cellStyle name="Normal 83 5 2 3" xfId="8315"/>
    <cellStyle name="Normal 83 5 2 4" xfId="8316"/>
    <cellStyle name="Normal 83 5 3" xfId="8317"/>
    <cellStyle name="Normal 83 5 3 2" xfId="8318"/>
    <cellStyle name="Normal 83 5 3 3" xfId="8319"/>
    <cellStyle name="Normal 83 5 4" xfId="8320"/>
    <cellStyle name="Normal 83 5 5" xfId="8321"/>
    <cellStyle name="Normal 83 6" xfId="8322"/>
    <cellStyle name="Normal 83 6 2" xfId="8323"/>
    <cellStyle name="Normal 83 6 2 2" xfId="8324"/>
    <cellStyle name="Normal 83 6 2 2 2" xfId="8325"/>
    <cellStyle name="Normal 83 6 2 2 3" xfId="8326"/>
    <cellStyle name="Normal 83 6 2 3" xfId="8327"/>
    <cellStyle name="Normal 83 6 2 4" xfId="8328"/>
    <cellStyle name="Normal 83 6 3" xfId="8329"/>
    <cellStyle name="Normal 83 6 3 2" xfId="8330"/>
    <cellStyle name="Normal 83 6 3 3" xfId="8331"/>
    <cellStyle name="Normal 83 6 4" xfId="8332"/>
    <cellStyle name="Normal 83 6 5" xfId="8333"/>
    <cellStyle name="Normal 83 7" xfId="8334"/>
    <cellStyle name="Normal 83 7 2" xfId="8335"/>
    <cellStyle name="Normal 83 7 2 2" xfId="8336"/>
    <cellStyle name="Normal 83 7 2 3" xfId="8337"/>
    <cellStyle name="Normal 83 7 3" xfId="8338"/>
    <cellStyle name="Normal 83 7 4" xfId="8339"/>
    <cellStyle name="Normal 83 8" xfId="8340"/>
    <cellStyle name="Normal 83 8 2" xfId="8341"/>
    <cellStyle name="Normal 83 8 3" xfId="8342"/>
    <cellStyle name="Normal 83 9" xfId="8343"/>
    <cellStyle name="Normal 84" xfId="8344"/>
    <cellStyle name="Normal 84 10" xfId="8345"/>
    <cellStyle name="Normal 84 2" xfId="8346"/>
    <cellStyle name="Normal 84 2 2" xfId="8347"/>
    <cellStyle name="Normal 84 2 2 2" xfId="8348"/>
    <cellStyle name="Normal 84 2 2 2 2" xfId="8349"/>
    <cellStyle name="Normal 84 2 2 2 3" xfId="8350"/>
    <cellStyle name="Normal 84 2 2 3" xfId="8351"/>
    <cellStyle name="Normal 84 2 2 4" xfId="8352"/>
    <cellStyle name="Normal 84 2 3" xfId="8353"/>
    <cellStyle name="Normal 84 2 3 2" xfId="8354"/>
    <cellStyle name="Normal 84 2 3 3" xfId="8355"/>
    <cellStyle name="Normal 84 2 4" xfId="8356"/>
    <cellStyle name="Normal 84 2 5" xfId="8357"/>
    <cellStyle name="Normal 84 3" xfId="8358"/>
    <cellStyle name="Normal 84 3 2" xfId="8359"/>
    <cellStyle name="Normal 84 3 2 2" xfId="8360"/>
    <cellStyle name="Normal 84 3 2 2 2" xfId="8361"/>
    <cellStyle name="Normal 84 3 2 2 3" xfId="8362"/>
    <cellStyle name="Normal 84 3 2 3" xfId="8363"/>
    <cellStyle name="Normal 84 3 2 4" xfId="8364"/>
    <cellStyle name="Normal 84 3 3" xfId="8365"/>
    <cellStyle name="Normal 84 3 3 2" xfId="8366"/>
    <cellStyle name="Normal 84 3 3 3" xfId="8367"/>
    <cellStyle name="Normal 84 3 4" xfId="8368"/>
    <cellStyle name="Normal 84 3 5" xfId="8369"/>
    <cellStyle name="Normal 84 4" xfId="8370"/>
    <cellStyle name="Normal 84 4 2" xfId="8371"/>
    <cellStyle name="Normal 84 4 2 2" xfId="8372"/>
    <cellStyle name="Normal 84 4 2 2 2" xfId="8373"/>
    <cellStyle name="Normal 84 4 2 2 3" xfId="8374"/>
    <cellStyle name="Normal 84 4 2 3" xfId="8375"/>
    <cellStyle name="Normal 84 4 2 4" xfId="8376"/>
    <cellStyle name="Normal 84 4 3" xfId="8377"/>
    <cellStyle name="Normal 84 4 3 2" xfId="8378"/>
    <cellStyle name="Normal 84 4 3 3" xfId="8379"/>
    <cellStyle name="Normal 84 4 4" xfId="8380"/>
    <cellStyle name="Normal 84 4 5" xfId="8381"/>
    <cellStyle name="Normal 84 5" xfId="8382"/>
    <cellStyle name="Normal 84 5 2" xfId="8383"/>
    <cellStyle name="Normal 84 5 2 2" xfId="8384"/>
    <cellStyle name="Normal 84 5 2 2 2" xfId="8385"/>
    <cellStyle name="Normal 84 5 2 2 3" xfId="8386"/>
    <cellStyle name="Normal 84 5 2 3" xfId="8387"/>
    <cellStyle name="Normal 84 5 2 4" xfId="8388"/>
    <cellStyle name="Normal 84 5 3" xfId="8389"/>
    <cellStyle name="Normal 84 5 3 2" xfId="8390"/>
    <cellStyle name="Normal 84 5 3 3" xfId="8391"/>
    <cellStyle name="Normal 84 5 4" xfId="8392"/>
    <cellStyle name="Normal 84 5 5" xfId="8393"/>
    <cellStyle name="Normal 84 6" xfId="8394"/>
    <cellStyle name="Normal 84 6 2" xfId="8395"/>
    <cellStyle name="Normal 84 6 2 2" xfId="8396"/>
    <cellStyle name="Normal 84 6 2 2 2" xfId="8397"/>
    <cellStyle name="Normal 84 6 2 2 3" xfId="8398"/>
    <cellStyle name="Normal 84 6 2 3" xfId="8399"/>
    <cellStyle name="Normal 84 6 2 4" xfId="8400"/>
    <cellStyle name="Normal 84 6 3" xfId="8401"/>
    <cellStyle name="Normal 84 6 3 2" xfId="8402"/>
    <cellStyle name="Normal 84 6 3 3" xfId="8403"/>
    <cellStyle name="Normal 84 6 4" xfId="8404"/>
    <cellStyle name="Normal 84 6 5" xfId="8405"/>
    <cellStyle name="Normal 84 7" xfId="8406"/>
    <cellStyle name="Normal 84 7 2" xfId="8407"/>
    <cellStyle name="Normal 84 7 2 2" xfId="8408"/>
    <cellStyle name="Normal 84 7 2 3" xfId="8409"/>
    <cellStyle name="Normal 84 7 3" xfId="8410"/>
    <cellStyle name="Normal 84 7 4" xfId="8411"/>
    <cellStyle name="Normal 84 8" xfId="8412"/>
    <cellStyle name="Normal 84 8 2" xfId="8413"/>
    <cellStyle name="Normal 84 8 3" xfId="8414"/>
    <cellStyle name="Normal 84 9" xfId="8415"/>
    <cellStyle name="Normal 85" xfId="8416"/>
    <cellStyle name="Normal 85 10" xfId="8417"/>
    <cellStyle name="Normal 85 10 2" xfId="8418"/>
    <cellStyle name="Normal 85 10 2 2" xfId="8419"/>
    <cellStyle name="Normal 85 10 2 3" xfId="8420"/>
    <cellStyle name="Normal 85 10 3" xfId="8421"/>
    <cellStyle name="Normal 85 10 4" xfId="8422"/>
    <cellStyle name="Normal 85 11" xfId="8423"/>
    <cellStyle name="Normal 85 11 2" xfId="8424"/>
    <cellStyle name="Normal 85 11 3" xfId="8425"/>
    <cellStyle name="Normal 85 12" xfId="8426"/>
    <cellStyle name="Normal 85 13" xfId="8427"/>
    <cellStyle name="Normal 85 2" xfId="8428"/>
    <cellStyle name="Normal 85 2 10" xfId="8429"/>
    <cellStyle name="Normal 85 2 2" xfId="8430"/>
    <cellStyle name="Normal 85 2 2 2" xfId="8431"/>
    <cellStyle name="Normal 85 2 2 2 2" xfId="8432"/>
    <cellStyle name="Normal 85 2 2 2 2 2" xfId="8433"/>
    <cellStyle name="Normal 85 2 2 2 2 3" xfId="8434"/>
    <cellStyle name="Normal 85 2 2 2 3" xfId="8435"/>
    <cellStyle name="Normal 85 2 2 2 4" xfId="8436"/>
    <cellStyle name="Normal 85 2 2 3" xfId="8437"/>
    <cellStyle name="Normal 85 2 2 3 2" xfId="8438"/>
    <cellStyle name="Normal 85 2 2 3 3" xfId="8439"/>
    <cellStyle name="Normal 85 2 2 4" xfId="8440"/>
    <cellStyle name="Normal 85 2 2 5" xfId="8441"/>
    <cellStyle name="Normal 85 2 3" xfId="8442"/>
    <cellStyle name="Normal 85 2 3 2" xfId="8443"/>
    <cellStyle name="Normal 85 2 3 2 2" xfId="8444"/>
    <cellStyle name="Normal 85 2 3 2 2 2" xfId="8445"/>
    <cellStyle name="Normal 85 2 3 2 2 3" xfId="8446"/>
    <cellStyle name="Normal 85 2 3 2 3" xfId="8447"/>
    <cellStyle name="Normal 85 2 3 2 4" xfId="8448"/>
    <cellStyle name="Normal 85 2 3 3" xfId="8449"/>
    <cellStyle name="Normal 85 2 3 3 2" xfId="8450"/>
    <cellStyle name="Normal 85 2 3 3 3" xfId="8451"/>
    <cellStyle name="Normal 85 2 3 4" xfId="8452"/>
    <cellStyle name="Normal 85 2 3 5" xfId="8453"/>
    <cellStyle name="Normal 85 2 4" xfId="8454"/>
    <cellStyle name="Normal 85 2 4 2" xfId="8455"/>
    <cellStyle name="Normal 85 2 4 2 2" xfId="8456"/>
    <cellStyle name="Normal 85 2 4 2 2 2" xfId="8457"/>
    <cellStyle name="Normal 85 2 4 2 2 3" xfId="8458"/>
    <cellStyle name="Normal 85 2 4 2 3" xfId="8459"/>
    <cellStyle name="Normal 85 2 4 2 4" xfId="8460"/>
    <cellStyle name="Normal 85 2 4 3" xfId="8461"/>
    <cellStyle name="Normal 85 2 4 3 2" xfId="8462"/>
    <cellStyle name="Normal 85 2 4 3 3" xfId="8463"/>
    <cellStyle name="Normal 85 2 4 4" xfId="8464"/>
    <cellStyle name="Normal 85 2 4 5" xfId="8465"/>
    <cellStyle name="Normal 85 2 5" xfId="8466"/>
    <cellStyle name="Normal 85 2 5 2" xfId="8467"/>
    <cellStyle name="Normal 85 2 5 2 2" xfId="8468"/>
    <cellStyle name="Normal 85 2 5 2 2 2" xfId="8469"/>
    <cellStyle name="Normal 85 2 5 2 2 3" xfId="8470"/>
    <cellStyle name="Normal 85 2 5 2 3" xfId="8471"/>
    <cellStyle name="Normal 85 2 5 2 4" xfId="8472"/>
    <cellStyle name="Normal 85 2 5 3" xfId="8473"/>
    <cellStyle name="Normal 85 2 5 3 2" xfId="8474"/>
    <cellStyle name="Normal 85 2 5 3 3" xfId="8475"/>
    <cellStyle name="Normal 85 2 5 4" xfId="8476"/>
    <cellStyle name="Normal 85 2 5 5" xfId="8477"/>
    <cellStyle name="Normal 85 2 6" xfId="8478"/>
    <cellStyle name="Normal 85 2 6 2" xfId="8479"/>
    <cellStyle name="Normal 85 2 6 2 2" xfId="8480"/>
    <cellStyle name="Normal 85 2 6 2 2 2" xfId="8481"/>
    <cellStyle name="Normal 85 2 6 2 2 3" xfId="8482"/>
    <cellStyle name="Normal 85 2 6 2 3" xfId="8483"/>
    <cellStyle name="Normal 85 2 6 2 4" xfId="8484"/>
    <cellStyle name="Normal 85 2 6 3" xfId="8485"/>
    <cellStyle name="Normal 85 2 6 3 2" xfId="8486"/>
    <cellStyle name="Normal 85 2 6 3 3" xfId="8487"/>
    <cellStyle name="Normal 85 2 6 4" xfId="8488"/>
    <cellStyle name="Normal 85 2 6 5" xfId="8489"/>
    <cellStyle name="Normal 85 2 7" xfId="8490"/>
    <cellStyle name="Normal 85 2 7 2" xfId="8491"/>
    <cellStyle name="Normal 85 2 7 2 2" xfId="8492"/>
    <cellStyle name="Normal 85 2 7 2 3" xfId="8493"/>
    <cellStyle name="Normal 85 2 7 3" xfId="8494"/>
    <cellStyle name="Normal 85 2 7 4" xfId="8495"/>
    <cellStyle name="Normal 85 2 8" xfId="8496"/>
    <cellStyle name="Normal 85 2 8 2" xfId="8497"/>
    <cellStyle name="Normal 85 2 8 3" xfId="8498"/>
    <cellStyle name="Normal 85 2 9" xfId="8499"/>
    <cellStyle name="Normal 85 3" xfId="8500"/>
    <cellStyle name="Normal 85 3 10" xfId="8501"/>
    <cellStyle name="Normal 85 3 2" xfId="8502"/>
    <cellStyle name="Normal 85 3 2 2" xfId="8503"/>
    <cellStyle name="Normal 85 3 2 2 2" xfId="8504"/>
    <cellStyle name="Normal 85 3 2 2 2 2" xfId="8505"/>
    <cellStyle name="Normal 85 3 2 2 2 3" xfId="8506"/>
    <cellStyle name="Normal 85 3 2 2 3" xfId="8507"/>
    <cellStyle name="Normal 85 3 2 2 4" xfId="8508"/>
    <cellStyle name="Normal 85 3 2 3" xfId="8509"/>
    <cellStyle name="Normal 85 3 2 3 2" xfId="8510"/>
    <cellStyle name="Normal 85 3 2 3 3" xfId="8511"/>
    <cellStyle name="Normal 85 3 2 4" xfId="8512"/>
    <cellStyle name="Normal 85 3 2 5" xfId="8513"/>
    <cellStyle name="Normal 85 3 3" xfId="8514"/>
    <cellStyle name="Normal 85 3 3 2" xfId="8515"/>
    <cellStyle name="Normal 85 3 3 2 2" xfId="8516"/>
    <cellStyle name="Normal 85 3 3 2 2 2" xfId="8517"/>
    <cellStyle name="Normal 85 3 3 2 2 3" xfId="8518"/>
    <cellStyle name="Normal 85 3 3 2 3" xfId="8519"/>
    <cellStyle name="Normal 85 3 3 2 4" xfId="8520"/>
    <cellStyle name="Normal 85 3 3 3" xfId="8521"/>
    <cellStyle name="Normal 85 3 3 3 2" xfId="8522"/>
    <cellStyle name="Normal 85 3 3 3 3" xfId="8523"/>
    <cellStyle name="Normal 85 3 3 4" xfId="8524"/>
    <cellStyle name="Normal 85 3 3 5" xfId="8525"/>
    <cellStyle name="Normal 85 3 4" xfId="8526"/>
    <cellStyle name="Normal 85 3 4 2" xfId="8527"/>
    <cellStyle name="Normal 85 3 4 2 2" xfId="8528"/>
    <cellStyle name="Normal 85 3 4 2 2 2" xfId="8529"/>
    <cellStyle name="Normal 85 3 4 2 2 3" xfId="8530"/>
    <cellStyle name="Normal 85 3 4 2 3" xfId="8531"/>
    <cellStyle name="Normal 85 3 4 2 4" xfId="8532"/>
    <cellStyle name="Normal 85 3 4 3" xfId="8533"/>
    <cellStyle name="Normal 85 3 4 3 2" xfId="8534"/>
    <cellStyle name="Normal 85 3 4 3 3" xfId="8535"/>
    <cellStyle name="Normal 85 3 4 4" xfId="8536"/>
    <cellStyle name="Normal 85 3 4 5" xfId="8537"/>
    <cellStyle name="Normal 85 3 5" xfId="8538"/>
    <cellStyle name="Normal 85 3 5 2" xfId="8539"/>
    <cellStyle name="Normal 85 3 5 2 2" xfId="8540"/>
    <cellStyle name="Normal 85 3 5 2 2 2" xfId="8541"/>
    <cellStyle name="Normal 85 3 5 2 2 3" xfId="8542"/>
    <cellStyle name="Normal 85 3 5 2 3" xfId="8543"/>
    <cellStyle name="Normal 85 3 5 2 4" xfId="8544"/>
    <cellStyle name="Normal 85 3 5 3" xfId="8545"/>
    <cellStyle name="Normal 85 3 5 3 2" xfId="8546"/>
    <cellStyle name="Normal 85 3 5 3 3" xfId="8547"/>
    <cellStyle name="Normal 85 3 5 4" xfId="8548"/>
    <cellStyle name="Normal 85 3 5 5" xfId="8549"/>
    <cellStyle name="Normal 85 3 6" xfId="8550"/>
    <cellStyle name="Normal 85 3 6 2" xfId="8551"/>
    <cellStyle name="Normal 85 3 6 2 2" xfId="8552"/>
    <cellStyle name="Normal 85 3 6 2 2 2" xfId="8553"/>
    <cellStyle name="Normal 85 3 6 2 2 3" xfId="8554"/>
    <cellStyle name="Normal 85 3 6 2 3" xfId="8555"/>
    <cellStyle name="Normal 85 3 6 2 4" xfId="8556"/>
    <cellStyle name="Normal 85 3 6 3" xfId="8557"/>
    <cellStyle name="Normal 85 3 6 3 2" xfId="8558"/>
    <cellStyle name="Normal 85 3 6 3 3" xfId="8559"/>
    <cellStyle name="Normal 85 3 6 4" xfId="8560"/>
    <cellStyle name="Normal 85 3 6 5" xfId="8561"/>
    <cellStyle name="Normal 85 3 7" xfId="8562"/>
    <cellStyle name="Normal 85 3 7 2" xfId="8563"/>
    <cellStyle name="Normal 85 3 7 2 2" xfId="8564"/>
    <cellStyle name="Normal 85 3 7 2 3" xfId="8565"/>
    <cellStyle name="Normal 85 3 7 3" xfId="8566"/>
    <cellStyle name="Normal 85 3 7 4" xfId="8567"/>
    <cellStyle name="Normal 85 3 8" xfId="8568"/>
    <cellStyle name="Normal 85 3 8 2" xfId="8569"/>
    <cellStyle name="Normal 85 3 8 3" xfId="8570"/>
    <cellStyle name="Normal 85 3 9" xfId="8571"/>
    <cellStyle name="Normal 85 4" xfId="8572"/>
    <cellStyle name="Normal 85 4 10" xfId="8573"/>
    <cellStyle name="Normal 85 4 2" xfId="8574"/>
    <cellStyle name="Normal 85 4 2 2" xfId="8575"/>
    <cellStyle name="Normal 85 4 2 2 2" xfId="8576"/>
    <cellStyle name="Normal 85 4 2 2 2 2" xfId="8577"/>
    <cellStyle name="Normal 85 4 2 2 2 3" xfId="8578"/>
    <cellStyle name="Normal 85 4 2 2 3" xfId="8579"/>
    <cellStyle name="Normal 85 4 2 2 4" xfId="8580"/>
    <cellStyle name="Normal 85 4 2 3" xfId="8581"/>
    <cellStyle name="Normal 85 4 2 3 2" xfId="8582"/>
    <cellStyle name="Normal 85 4 2 3 3" xfId="8583"/>
    <cellStyle name="Normal 85 4 2 4" xfId="8584"/>
    <cellStyle name="Normal 85 4 2 5" xfId="8585"/>
    <cellStyle name="Normal 85 4 3" xfId="8586"/>
    <cellStyle name="Normal 85 4 3 2" xfId="8587"/>
    <cellStyle name="Normal 85 4 3 2 2" xfId="8588"/>
    <cellStyle name="Normal 85 4 3 2 2 2" xfId="8589"/>
    <cellStyle name="Normal 85 4 3 2 2 3" xfId="8590"/>
    <cellStyle name="Normal 85 4 3 2 3" xfId="8591"/>
    <cellStyle name="Normal 85 4 3 2 4" xfId="8592"/>
    <cellStyle name="Normal 85 4 3 3" xfId="8593"/>
    <cellStyle name="Normal 85 4 3 3 2" xfId="8594"/>
    <cellStyle name="Normal 85 4 3 3 3" xfId="8595"/>
    <cellStyle name="Normal 85 4 3 4" xfId="8596"/>
    <cellStyle name="Normal 85 4 3 5" xfId="8597"/>
    <cellStyle name="Normal 85 4 4" xfId="8598"/>
    <cellStyle name="Normal 85 4 4 2" xfId="8599"/>
    <cellStyle name="Normal 85 4 4 2 2" xfId="8600"/>
    <cellStyle name="Normal 85 4 4 2 2 2" xfId="8601"/>
    <cellStyle name="Normal 85 4 4 2 2 3" xfId="8602"/>
    <cellStyle name="Normal 85 4 4 2 3" xfId="8603"/>
    <cellStyle name="Normal 85 4 4 2 4" xfId="8604"/>
    <cellStyle name="Normal 85 4 4 3" xfId="8605"/>
    <cellStyle name="Normal 85 4 4 3 2" xfId="8606"/>
    <cellStyle name="Normal 85 4 4 3 3" xfId="8607"/>
    <cellStyle name="Normal 85 4 4 4" xfId="8608"/>
    <cellStyle name="Normal 85 4 4 5" xfId="8609"/>
    <cellStyle name="Normal 85 4 5" xfId="8610"/>
    <cellStyle name="Normal 85 4 5 2" xfId="8611"/>
    <cellStyle name="Normal 85 4 5 2 2" xfId="8612"/>
    <cellStyle name="Normal 85 4 5 2 2 2" xfId="8613"/>
    <cellStyle name="Normal 85 4 5 2 2 3" xfId="8614"/>
    <cellStyle name="Normal 85 4 5 2 3" xfId="8615"/>
    <cellStyle name="Normal 85 4 5 2 4" xfId="8616"/>
    <cellStyle name="Normal 85 4 5 3" xfId="8617"/>
    <cellStyle name="Normal 85 4 5 3 2" xfId="8618"/>
    <cellStyle name="Normal 85 4 5 3 3" xfId="8619"/>
    <cellStyle name="Normal 85 4 5 4" xfId="8620"/>
    <cellStyle name="Normal 85 4 5 5" xfId="8621"/>
    <cellStyle name="Normal 85 4 6" xfId="8622"/>
    <cellStyle name="Normal 85 4 6 2" xfId="8623"/>
    <cellStyle name="Normal 85 4 6 2 2" xfId="8624"/>
    <cellStyle name="Normal 85 4 6 2 2 2" xfId="8625"/>
    <cellStyle name="Normal 85 4 6 2 2 3" xfId="8626"/>
    <cellStyle name="Normal 85 4 6 2 3" xfId="8627"/>
    <cellStyle name="Normal 85 4 6 2 4" xfId="8628"/>
    <cellStyle name="Normal 85 4 6 3" xfId="8629"/>
    <cellStyle name="Normal 85 4 6 3 2" xfId="8630"/>
    <cellStyle name="Normal 85 4 6 3 3" xfId="8631"/>
    <cellStyle name="Normal 85 4 6 4" xfId="8632"/>
    <cellStyle name="Normal 85 4 6 5" xfId="8633"/>
    <cellStyle name="Normal 85 4 7" xfId="8634"/>
    <cellStyle name="Normal 85 4 7 2" xfId="8635"/>
    <cellStyle name="Normal 85 4 7 2 2" xfId="8636"/>
    <cellStyle name="Normal 85 4 7 2 3" xfId="8637"/>
    <cellStyle name="Normal 85 4 7 3" xfId="8638"/>
    <cellStyle name="Normal 85 4 7 4" xfId="8639"/>
    <cellStyle name="Normal 85 4 8" xfId="8640"/>
    <cellStyle name="Normal 85 4 8 2" xfId="8641"/>
    <cellStyle name="Normal 85 4 8 3" xfId="8642"/>
    <cellStyle name="Normal 85 4 9" xfId="8643"/>
    <cellStyle name="Normal 85 5" xfId="8644"/>
    <cellStyle name="Normal 85 5 2" xfId="8645"/>
    <cellStyle name="Normal 85 5 2 2" xfId="8646"/>
    <cellStyle name="Normal 85 5 2 2 2" xfId="8647"/>
    <cellStyle name="Normal 85 5 2 2 3" xfId="8648"/>
    <cellStyle name="Normal 85 5 2 3" xfId="8649"/>
    <cellStyle name="Normal 85 5 2 4" xfId="8650"/>
    <cellStyle name="Normal 85 5 3" xfId="8651"/>
    <cellStyle name="Normal 85 5 3 2" xfId="8652"/>
    <cellStyle name="Normal 85 5 3 3" xfId="8653"/>
    <cellStyle name="Normal 85 5 4" xfId="8654"/>
    <cellStyle name="Normal 85 5 5" xfId="8655"/>
    <cellStyle name="Normal 85 6" xfId="8656"/>
    <cellStyle name="Normal 85 6 2" xfId="8657"/>
    <cellStyle name="Normal 85 6 2 2" xfId="8658"/>
    <cellStyle name="Normal 85 6 2 2 2" xfId="8659"/>
    <cellStyle name="Normal 85 6 2 2 3" xfId="8660"/>
    <cellStyle name="Normal 85 6 2 3" xfId="8661"/>
    <cellStyle name="Normal 85 6 2 4" xfId="8662"/>
    <cellStyle name="Normal 85 6 3" xfId="8663"/>
    <cellStyle name="Normal 85 6 3 2" xfId="8664"/>
    <cellStyle name="Normal 85 6 3 3" xfId="8665"/>
    <cellStyle name="Normal 85 6 4" xfId="8666"/>
    <cellStyle name="Normal 85 6 5" xfId="8667"/>
    <cellStyle name="Normal 85 7" xfId="8668"/>
    <cellStyle name="Normal 85 7 2" xfId="8669"/>
    <cellStyle name="Normal 85 7 2 2" xfId="8670"/>
    <cellStyle name="Normal 85 7 2 2 2" xfId="8671"/>
    <cellStyle name="Normal 85 7 2 2 3" xfId="8672"/>
    <cellStyle name="Normal 85 7 2 3" xfId="8673"/>
    <cellStyle name="Normal 85 7 2 4" xfId="8674"/>
    <cellStyle name="Normal 85 7 3" xfId="8675"/>
    <cellStyle name="Normal 85 7 3 2" xfId="8676"/>
    <cellStyle name="Normal 85 7 3 3" xfId="8677"/>
    <cellStyle name="Normal 85 7 4" xfId="8678"/>
    <cellStyle name="Normal 85 7 5" xfId="8679"/>
    <cellStyle name="Normal 85 8" xfId="8680"/>
    <cellStyle name="Normal 85 8 2" xfId="8681"/>
    <cellStyle name="Normal 85 8 2 2" xfId="8682"/>
    <cellStyle name="Normal 85 8 2 2 2" xfId="8683"/>
    <cellStyle name="Normal 85 8 2 2 3" xfId="8684"/>
    <cellStyle name="Normal 85 8 2 3" xfId="8685"/>
    <cellStyle name="Normal 85 8 2 4" xfId="8686"/>
    <cellStyle name="Normal 85 8 3" xfId="8687"/>
    <cellStyle name="Normal 85 8 3 2" xfId="8688"/>
    <cellStyle name="Normal 85 8 3 3" xfId="8689"/>
    <cellStyle name="Normal 85 8 4" xfId="8690"/>
    <cellStyle name="Normal 85 8 5" xfId="8691"/>
    <cellStyle name="Normal 85 9" xfId="8692"/>
    <cellStyle name="Normal 85 9 2" xfId="8693"/>
    <cellStyle name="Normal 85 9 2 2" xfId="8694"/>
    <cellStyle name="Normal 85 9 2 2 2" xfId="8695"/>
    <cellStyle name="Normal 85 9 2 2 3" xfId="8696"/>
    <cellStyle name="Normal 85 9 2 3" xfId="8697"/>
    <cellStyle name="Normal 85 9 2 4" xfId="8698"/>
    <cellStyle name="Normal 85 9 3" xfId="8699"/>
    <cellStyle name="Normal 85 9 3 2" xfId="8700"/>
    <cellStyle name="Normal 85 9 3 3" xfId="8701"/>
    <cellStyle name="Normal 85 9 4" xfId="8702"/>
    <cellStyle name="Normal 85 9 5" xfId="8703"/>
    <cellStyle name="Normal 86" xfId="8704"/>
    <cellStyle name="Normal 86 2" xfId="8705"/>
    <cellStyle name="Normal 86 2 2" xfId="8706"/>
    <cellStyle name="Normal 86 3" xfId="8707"/>
    <cellStyle name="Normal 86 3 2" xfId="8708"/>
    <cellStyle name="Normal 86 4" xfId="8709"/>
    <cellStyle name="Normal 86 4 2" xfId="8710"/>
    <cellStyle name="Normal 86 5" xfId="8711"/>
    <cellStyle name="Normal 86 5 2" xfId="8712"/>
    <cellStyle name="Normal 86 6" xfId="8713"/>
    <cellStyle name="Normal 86 6 2" xfId="8714"/>
    <cellStyle name="Normal 86 7" xfId="8715"/>
    <cellStyle name="Normal 87" xfId="8716"/>
    <cellStyle name="Normal 87 2" xfId="8717"/>
    <cellStyle name="Normal 87 2 2" xfId="8718"/>
    <cellStyle name="Normal 87 3" xfId="8719"/>
    <cellStyle name="Normal 87 3 2" xfId="8720"/>
    <cellStyle name="Normal 87 4" xfId="8721"/>
    <cellStyle name="Normal 87 4 2" xfId="8722"/>
    <cellStyle name="Normal 87 5" xfId="8723"/>
    <cellStyle name="Normal 87 5 2" xfId="8724"/>
    <cellStyle name="Normal 87 6" xfId="8725"/>
    <cellStyle name="Normal 87 6 2" xfId="8726"/>
    <cellStyle name="Normal 87 7" xfId="8727"/>
    <cellStyle name="Normal 88" xfId="8728"/>
    <cellStyle name="Normal 88 2" xfId="8729"/>
    <cellStyle name="Normal 88 2 2" xfId="8730"/>
    <cellStyle name="Normal 88 3" xfId="8731"/>
    <cellStyle name="Normal 88 3 2" xfId="8732"/>
    <cellStyle name="Normal 88 4" xfId="8733"/>
    <cellStyle name="Normal 88 4 2" xfId="8734"/>
    <cellStyle name="Normal 88 5" xfId="8735"/>
    <cellStyle name="Normal 88 5 2" xfId="8736"/>
    <cellStyle name="Normal 88 6" xfId="8737"/>
    <cellStyle name="Normal 88 6 2" xfId="8738"/>
    <cellStyle name="Normal 88 7" xfId="8739"/>
    <cellStyle name="Normal 89" xfId="8740"/>
    <cellStyle name="Normal 89 2" xfId="8741"/>
    <cellStyle name="Normal 89 2 2" xfId="8742"/>
    <cellStyle name="Normal 89 3" xfId="8743"/>
    <cellStyle name="Normal 89 4" xfId="8744"/>
    <cellStyle name="Normal 9" xfId="214"/>
    <cellStyle name="Normal 9 10" xfId="8745"/>
    <cellStyle name="Normal 9 2" xfId="100"/>
    <cellStyle name="Normal 9 2 2" xfId="8746"/>
    <cellStyle name="Normal 9 2 2 2" xfId="8747"/>
    <cellStyle name="Normal 9 2 2 2 2" xfId="8748"/>
    <cellStyle name="Normal 9 2 2 2 3" xfId="8749"/>
    <cellStyle name="Normal 9 2 2 3" xfId="8750"/>
    <cellStyle name="Normal 9 2 2 4" xfId="8751"/>
    <cellStyle name="Normal 9 2 3" xfId="8752"/>
    <cellStyle name="Normal 9 2 3 2" xfId="8753"/>
    <cellStyle name="Normal 9 2 3 3" xfId="8754"/>
    <cellStyle name="Normal 9 2 4" xfId="8755"/>
    <cellStyle name="Normal 9 2 5" xfId="8756"/>
    <cellStyle name="Normal 9 3" xfId="8757"/>
    <cellStyle name="Normal 9 3 2" xfId="8758"/>
    <cellStyle name="Normal 9 3 2 2" xfId="8759"/>
    <cellStyle name="Normal 9 3 2 2 2" xfId="8760"/>
    <cellStyle name="Normal 9 3 2 2 3" xfId="8761"/>
    <cellStyle name="Normal 9 3 2 3" xfId="8762"/>
    <cellStyle name="Normal 9 3 2 4" xfId="8763"/>
    <cellStyle name="Normal 9 3 2 5" xfId="9140"/>
    <cellStyle name="Normal 9 3 3" xfId="8764"/>
    <cellStyle name="Normal 9 3 3 2" xfId="8765"/>
    <cellStyle name="Normal 9 3 3 3" xfId="8766"/>
    <cellStyle name="Normal 9 3 4" xfId="8767"/>
    <cellStyle name="Normal 9 3 5" xfId="8768"/>
    <cellStyle name="Normal 9 3 6" xfId="9141"/>
    <cellStyle name="Normal 9 4" xfId="8769"/>
    <cellStyle name="Normal 9 4 2" xfId="8770"/>
    <cellStyle name="Normal 9 4 2 2" xfId="8771"/>
    <cellStyle name="Normal 9 4 2 2 2" xfId="8772"/>
    <cellStyle name="Normal 9 4 2 2 3" xfId="8773"/>
    <cellStyle name="Normal 9 4 2 3" xfId="8774"/>
    <cellStyle name="Normal 9 4 2 4" xfId="8775"/>
    <cellStyle name="Normal 9 4 2 5" xfId="9142"/>
    <cellStyle name="Normal 9 4 3" xfId="8776"/>
    <cellStyle name="Normal 9 4 3 2" xfId="8777"/>
    <cellStyle name="Normal 9 4 3 3" xfId="8778"/>
    <cellStyle name="Normal 9 4 4" xfId="8779"/>
    <cellStyle name="Normal 9 4 5" xfId="8780"/>
    <cellStyle name="Normal 9 4 6" xfId="9143"/>
    <cellStyle name="Normal 9 5" xfId="8781"/>
    <cellStyle name="Normal 9 5 2" xfId="8782"/>
    <cellStyle name="Normal 9 5 2 2" xfId="8783"/>
    <cellStyle name="Normal 9 5 2 2 2" xfId="8784"/>
    <cellStyle name="Normal 9 5 2 2 3" xfId="8785"/>
    <cellStyle name="Normal 9 5 2 3" xfId="8786"/>
    <cellStyle name="Normal 9 5 2 4" xfId="8787"/>
    <cellStyle name="Normal 9 5 2 5" xfId="9144"/>
    <cellStyle name="Normal 9 5 3" xfId="8788"/>
    <cellStyle name="Normal 9 5 3 2" xfId="8789"/>
    <cellStyle name="Normal 9 5 3 3" xfId="8790"/>
    <cellStyle name="Normal 9 5 4" xfId="8791"/>
    <cellStyle name="Normal 9 5 5" xfId="8792"/>
    <cellStyle name="Normal 9 5 6" xfId="9145"/>
    <cellStyle name="Normal 9 6" xfId="8793"/>
    <cellStyle name="Normal 9 6 2" xfId="8794"/>
    <cellStyle name="Normal 9 6 2 2" xfId="8795"/>
    <cellStyle name="Normal 9 6 2 2 2" xfId="8796"/>
    <cellStyle name="Normal 9 6 2 2 3" xfId="8797"/>
    <cellStyle name="Normal 9 6 2 3" xfId="8798"/>
    <cellStyle name="Normal 9 6 2 4" xfId="8799"/>
    <cellStyle name="Normal 9 6 3" xfId="8800"/>
    <cellStyle name="Normal 9 6 3 2" xfId="8801"/>
    <cellStyle name="Normal 9 6 3 3" xfId="8802"/>
    <cellStyle name="Normal 9 6 4" xfId="8803"/>
    <cellStyle name="Normal 9 6 5" xfId="8804"/>
    <cellStyle name="Normal 9 7" xfId="8805"/>
    <cellStyle name="Normal 9 7 2" xfId="8806"/>
    <cellStyle name="Normal 9 7 2 2" xfId="8807"/>
    <cellStyle name="Normal 9 7 2 3" xfId="8808"/>
    <cellStyle name="Normal 9 7 3" xfId="8809"/>
    <cellStyle name="Normal 9 7 4" xfId="8810"/>
    <cellStyle name="Normal 9 8" xfId="8811"/>
    <cellStyle name="Normal 9 8 2" xfId="8812"/>
    <cellStyle name="Normal 9 9" xfId="8813"/>
    <cellStyle name="Normal 9 9 2" xfId="8814"/>
    <cellStyle name="Normal 9 9 3" xfId="8815"/>
    <cellStyle name="Normal 90" xfId="8816"/>
    <cellStyle name="Normal 90 2" xfId="8817"/>
    <cellStyle name="Normal 90 2 2" xfId="8818"/>
    <cellStyle name="Normal 90 3" xfId="8819"/>
    <cellStyle name="Normal 91" xfId="8820"/>
    <cellStyle name="Normal 91 2" xfId="8821"/>
    <cellStyle name="Normal 91 2 2" xfId="8822"/>
    <cellStyle name="Normal 91 3" xfId="8823"/>
    <cellStyle name="Normal 91 3 2" xfId="8824"/>
    <cellStyle name="Normal 91 4" xfId="8825"/>
    <cellStyle name="Normal 91 4 2" xfId="8826"/>
    <cellStyle name="Normal 91 5" xfId="8827"/>
    <cellStyle name="Normal 91 6" xfId="8828"/>
    <cellStyle name="Normal 92" xfId="8829"/>
    <cellStyle name="Normal 92 2" xfId="8830"/>
    <cellStyle name="Normal 92 3" xfId="8831"/>
    <cellStyle name="Normal 93" xfId="8832"/>
    <cellStyle name="Normal 93 2" xfId="8833"/>
    <cellStyle name="Normal 93 3" xfId="8834"/>
    <cellStyle name="Normal 94" xfId="8835"/>
    <cellStyle name="Normal 94 2" xfId="8836"/>
    <cellStyle name="Normal 95" xfId="8837"/>
    <cellStyle name="Normal 96" xfId="8838"/>
    <cellStyle name="Normal 97" xfId="8839"/>
    <cellStyle name="Normal 98" xfId="8840"/>
    <cellStyle name="Normal 99" xfId="8841"/>
    <cellStyle name="Nota 2" xfId="215"/>
    <cellStyle name="Nota 2 10" xfId="12155"/>
    <cellStyle name="Nota 2 2" xfId="216"/>
    <cellStyle name="Nota 2 2 2" xfId="336"/>
    <cellStyle name="Nota 2 2 2 2" xfId="12028"/>
    <cellStyle name="Nota 2 2 2 3" xfId="12176"/>
    <cellStyle name="Nota 2 2 3" xfId="444"/>
    <cellStyle name="Nota 2 2 3 2" xfId="12065"/>
    <cellStyle name="Nota 2 2 3 3" xfId="12213"/>
    <cellStyle name="Nota 2 2 4" xfId="474"/>
    <cellStyle name="Nota 2 2 4 2" xfId="12081"/>
    <cellStyle name="Nota 2 2 4 3" xfId="12229"/>
    <cellStyle name="Nota 2 2 5" xfId="487"/>
    <cellStyle name="Nota 2 2 5 2" xfId="12086"/>
    <cellStyle name="Nota 2 2 5 3" xfId="12234"/>
    <cellStyle name="Nota 2 2 6" xfId="506"/>
    <cellStyle name="Nota 2 2 6 2" xfId="12095"/>
    <cellStyle name="Nota 2 2 6 3" xfId="12243"/>
    <cellStyle name="Nota 2 2 7" xfId="407"/>
    <cellStyle name="Nota 2 2 7 2" xfId="12043"/>
    <cellStyle name="Nota 2 2 7 3" xfId="12191"/>
    <cellStyle name="Nota 2 2 8" xfId="12013"/>
    <cellStyle name="Nota 2 2 9" xfId="12156"/>
    <cellStyle name="Nota 2 3" xfId="335"/>
    <cellStyle name="Nota 2 3 2" xfId="12027"/>
    <cellStyle name="Nota 2 3 3" xfId="12175"/>
    <cellStyle name="Nota 2 4" xfId="443"/>
    <cellStyle name="Nota 2 4 2" xfId="12064"/>
    <cellStyle name="Nota 2 4 3" xfId="12212"/>
    <cellStyle name="Nota 2 5" xfId="473"/>
    <cellStyle name="Nota 2 5 2" xfId="12080"/>
    <cellStyle name="Nota 2 5 3" xfId="12228"/>
    <cellStyle name="Nota 2 6" xfId="481"/>
    <cellStyle name="Nota 2 6 2" xfId="12084"/>
    <cellStyle name="Nota 2 6 3" xfId="12232"/>
    <cellStyle name="Nota 2 7" xfId="488"/>
    <cellStyle name="Nota 2 7 2" xfId="12087"/>
    <cellStyle name="Nota 2 7 3" xfId="12235"/>
    <cellStyle name="Nota 2 8" xfId="494"/>
    <cellStyle name="Nota 2 8 2" xfId="12090"/>
    <cellStyle name="Nota 2 8 3" xfId="12238"/>
    <cellStyle name="Nota 2 9" xfId="12012"/>
    <cellStyle name="Note" xfId="101"/>
    <cellStyle name="Note 10" xfId="8842"/>
    <cellStyle name="Note 10 2" xfId="8843"/>
    <cellStyle name="Note 10 2 2" xfId="8844"/>
    <cellStyle name="Note 10 2 3" xfId="8845"/>
    <cellStyle name="Note 10 3" xfId="8846"/>
    <cellStyle name="Note 10 4" xfId="8847"/>
    <cellStyle name="Note 11" xfId="8848"/>
    <cellStyle name="Note 11 2" xfId="8849"/>
    <cellStyle name="Note 11 2 2" xfId="8850"/>
    <cellStyle name="Note 11 2 3" xfId="8851"/>
    <cellStyle name="Note 11 3" xfId="8852"/>
    <cellStyle name="Note 11 4" xfId="8853"/>
    <cellStyle name="Note 12" xfId="8854"/>
    <cellStyle name="Note 12 2" xfId="8855"/>
    <cellStyle name="Note 12 2 2" xfId="8856"/>
    <cellStyle name="Note 12 2 3" xfId="8857"/>
    <cellStyle name="Note 12 3" xfId="8858"/>
    <cellStyle name="Note 12 4" xfId="8859"/>
    <cellStyle name="Note 13" xfId="8860"/>
    <cellStyle name="Note 13 2" xfId="8861"/>
    <cellStyle name="Note 13 3" xfId="8862"/>
    <cellStyle name="Note 14" xfId="8863"/>
    <cellStyle name="Note 15" xfId="9146"/>
    <cellStyle name="Note 16" xfId="12005"/>
    <cellStyle name="Note 17" xfId="12142"/>
    <cellStyle name="Note 2" xfId="273"/>
    <cellStyle name="Note 2 10" xfId="12016"/>
    <cellStyle name="Note 2 11" xfId="12163"/>
    <cellStyle name="Note 2 2" xfId="318"/>
    <cellStyle name="Note 2 2 2" xfId="8864"/>
    <cellStyle name="Note 2 2 2 2" xfId="8865"/>
    <cellStyle name="Note 2 2 2 2 2" xfId="12119"/>
    <cellStyle name="Note 2 2 2 2 3" xfId="12267"/>
    <cellStyle name="Note 2 2 2 3" xfId="12118"/>
    <cellStyle name="Note 2 2 2 4" xfId="12266"/>
    <cellStyle name="Note 2 2 3" xfId="8866"/>
    <cellStyle name="Note 2 2 3 2" xfId="8867"/>
    <cellStyle name="Note 2 2 4" xfId="8868"/>
    <cellStyle name="Note 2 2 5" xfId="12020"/>
    <cellStyle name="Note 2 2 6" xfId="12168"/>
    <cellStyle name="Note 2 3" xfId="460"/>
    <cellStyle name="Note 2 3 2" xfId="8869"/>
    <cellStyle name="Note 2 3 2 2" xfId="8870"/>
    <cellStyle name="Note 2 3 3" xfId="8871"/>
    <cellStyle name="Note 2 3 3 2" xfId="8872"/>
    <cellStyle name="Note 2 3 3 2 2" xfId="12121"/>
    <cellStyle name="Note 2 3 3 2 3" xfId="12269"/>
    <cellStyle name="Note 2 3 3 3" xfId="12120"/>
    <cellStyle name="Note 2 3 3 4" xfId="12268"/>
    <cellStyle name="Note 2 3 4" xfId="8873"/>
    <cellStyle name="Note 2 3 5" xfId="12073"/>
    <cellStyle name="Note 2 3 6" xfId="12221"/>
    <cellStyle name="Note 2 4" xfId="464"/>
    <cellStyle name="Note 2 4 2" xfId="8874"/>
    <cellStyle name="Note 2 4 2 2" xfId="8875"/>
    <cellStyle name="Note 2 4 3" xfId="8876"/>
    <cellStyle name="Note 2 4 3 2" xfId="8877"/>
    <cellStyle name="Note 2 4 3 2 2" xfId="12123"/>
    <cellStyle name="Note 2 4 3 2 3" xfId="12271"/>
    <cellStyle name="Note 2 4 3 3" xfId="12122"/>
    <cellStyle name="Note 2 4 3 4" xfId="12270"/>
    <cellStyle name="Note 2 4 4" xfId="8878"/>
    <cellStyle name="Note 2 4 5" xfId="12075"/>
    <cellStyle name="Note 2 4 6" xfId="12223"/>
    <cellStyle name="Note 2 5" xfId="446"/>
    <cellStyle name="Note 2 5 2" xfId="8879"/>
    <cellStyle name="Note 2 5 2 2" xfId="12124"/>
    <cellStyle name="Note 2 5 2 3" xfId="12272"/>
    <cellStyle name="Note 2 5 3" xfId="12067"/>
    <cellStyle name="Note 2 5 4" xfId="12215"/>
    <cellStyle name="Note 2 6" xfId="507"/>
    <cellStyle name="Note 2 6 2" xfId="8880"/>
    <cellStyle name="Note 2 6 2 2" xfId="12125"/>
    <cellStyle name="Note 2 6 2 3" xfId="12273"/>
    <cellStyle name="Note 2 6 3" xfId="12096"/>
    <cellStyle name="Note 2 6 4" xfId="12244"/>
    <cellStyle name="Note 2 7" xfId="406"/>
    <cellStyle name="Note 2 7 2" xfId="8881"/>
    <cellStyle name="Note 2 7 3" xfId="12042"/>
    <cellStyle name="Note 2 7 4" xfId="12190"/>
    <cellStyle name="Note 2 8" xfId="8882"/>
    <cellStyle name="Note 2 8 2" xfId="8883"/>
    <cellStyle name="Note 2 9" xfId="8884"/>
    <cellStyle name="Note 3" xfId="376"/>
    <cellStyle name="Note 3 2" xfId="8885"/>
    <cellStyle name="Note 3 2 2" xfId="8886"/>
    <cellStyle name="Note 3 2 2 2" xfId="12127"/>
    <cellStyle name="Note 3 2 2 3" xfId="12275"/>
    <cellStyle name="Note 3 2 3" xfId="12126"/>
    <cellStyle name="Note 3 2 4" xfId="12274"/>
    <cellStyle name="Note 3 3" xfId="8887"/>
    <cellStyle name="Note 3 3 2" xfId="8888"/>
    <cellStyle name="Note 3 4" xfId="8889"/>
    <cellStyle name="Note 3 5" xfId="12031"/>
    <cellStyle name="Note 3 6" xfId="12179"/>
    <cellStyle name="Note 4" xfId="404"/>
    <cellStyle name="Note 4 2" xfId="8890"/>
    <cellStyle name="Note 4 2 2" xfId="8891"/>
    <cellStyle name="Note 4 2 2 2" xfId="8892"/>
    <cellStyle name="Note 4 2 2 2 2" xfId="8893"/>
    <cellStyle name="Note 4 2 2 2 3" xfId="8894"/>
    <cellStyle name="Note 4 2 2 3" xfId="8895"/>
    <cellStyle name="Note 4 2 2 4" xfId="8896"/>
    <cellStyle name="Note 4 2 3" xfId="8897"/>
    <cellStyle name="Note 4 2 3 2" xfId="8898"/>
    <cellStyle name="Note 4 2 3 2 2" xfId="12130"/>
    <cellStyle name="Note 4 2 3 2 3" xfId="12278"/>
    <cellStyle name="Note 4 2 3 3" xfId="12129"/>
    <cellStyle name="Note 4 2 3 4" xfId="12277"/>
    <cellStyle name="Note 4 2 4" xfId="8899"/>
    <cellStyle name="Note 4 2 4 2" xfId="8900"/>
    <cellStyle name="Note 4 2 4 3" xfId="8901"/>
    <cellStyle name="Note 4 2 5" xfId="8902"/>
    <cellStyle name="Note 4 2 5 2" xfId="12131"/>
    <cellStyle name="Note 4 2 5 3" xfId="12279"/>
    <cellStyle name="Note 4 2 6" xfId="12128"/>
    <cellStyle name="Note 4 2 7" xfId="12276"/>
    <cellStyle name="Note 4 3" xfId="8903"/>
    <cellStyle name="Note 4 3 2" xfId="8904"/>
    <cellStyle name="Note 4 3 2 2" xfId="8905"/>
    <cellStyle name="Note 4 3 2 3" xfId="8906"/>
    <cellStyle name="Note 4 3 3" xfId="8907"/>
    <cellStyle name="Note 4 3 4" xfId="8908"/>
    <cellStyle name="Note 4 4" xfId="8909"/>
    <cellStyle name="Note 4 4 2" xfId="8910"/>
    <cellStyle name="Note 4 5" xfId="8911"/>
    <cellStyle name="Note 4 5 2" xfId="8912"/>
    <cellStyle name="Note 4 5 3" xfId="8913"/>
    <cellStyle name="Note 4 6" xfId="8914"/>
    <cellStyle name="Note 4 7" xfId="12041"/>
    <cellStyle name="Note 4 8" xfId="12189"/>
    <cellStyle name="Note 5" xfId="438"/>
    <cellStyle name="Note 5 2" xfId="8915"/>
    <cellStyle name="Note 5 2 2" xfId="8916"/>
    <cellStyle name="Note 5 2 2 2" xfId="8917"/>
    <cellStyle name="Note 5 2 2 2 2" xfId="8918"/>
    <cellStyle name="Note 5 2 2 2 3" xfId="8919"/>
    <cellStyle name="Note 5 2 2 3" xfId="8920"/>
    <cellStyle name="Note 5 2 2 4" xfId="8921"/>
    <cellStyle name="Note 5 2 3" xfId="8922"/>
    <cellStyle name="Note 5 2 3 2" xfId="8923"/>
    <cellStyle name="Note 5 2 3 3" xfId="8924"/>
    <cellStyle name="Note 5 2 4" xfId="8925"/>
    <cellStyle name="Note 5 2 5" xfId="8926"/>
    <cellStyle name="Note 5 3" xfId="8927"/>
    <cellStyle name="Note 5 3 2" xfId="8928"/>
    <cellStyle name="Note 5 3 2 2" xfId="8929"/>
    <cellStyle name="Note 5 3 2 3" xfId="8930"/>
    <cellStyle name="Note 5 3 3" xfId="8931"/>
    <cellStyle name="Note 5 3 4" xfId="8932"/>
    <cellStyle name="Note 5 4" xfId="8933"/>
    <cellStyle name="Note 5 4 2" xfId="8934"/>
    <cellStyle name="Note 5 5" xfId="8935"/>
    <cellStyle name="Note 5 5 2" xfId="8936"/>
    <cellStyle name="Note 5 5 3" xfId="8937"/>
    <cellStyle name="Note 5 6" xfId="8938"/>
    <cellStyle name="Note 5 7" xfId="12062"/>
    <cellStyle name="Note 5 8" xfId="12210"/>
    <cellStyle name="Note 6" xfId="415"/>
    <cellStyle name="Note 6 2" xfId="8939"/>
    <cellStyle name="Note 6 2 2" xfId="8940"/>
    <cellStyle name="Note 6 2 2 2" xfId="8941"/>
    <cellStyle name="Note 6 2 2 2 2" xfId="8942"/>
    <cellStyle name="Note 6 2 2 2 3" xfId="8943"/>
    <cellStyle name="Note 6 2 2 3" xfId="8944"/>
    <cellStyle name="Note 6 2 2 4" xfId="8945"/>
    <cellStyle name="Note 6 2 3" xfId="8946"/>
    <cellStyle name="Note 6 2 3 2" xfId="8947"/>
    <cellStyle name="Note 6 2 3 3" xfId="8948"/>
    <cellStyle name="Note 6 2 4" xfId="8949"/>
    <cellStyle name="Note 6 2 5" xfId="8950"/>
    <cellStyle name="Note 6 3" xfId="8951"/>
    <cellStyle name="Note 6 3 2" xfId="8952"/>
    <cellStyle name="Note 6 3 2 2" xfId="8953"/>
    <cellStyle name="Note 6 3 2 3" xfId="8954"/>
    <cellStyle name="Note 6 3 3" xfId="8955"/>
    <cellStyle name="Note 6 3 4" xfId="8956"/>
    <cellStyle name="Note 6 4" xfId="8957"/>
    <cellStyle name="Note 6 4 2" xfId="8958"/>
    <cellStyle name="Note 6 5" xfId="8959"/>
    <cellStyle name="Note 6 5 2" xfId="8960"/>
    <cellStyle name="Note 6 5 3" xfId="8961"/>
    <cellStyle name="Note 6 6" xfId="8962"/>
    <cellStyle name="Note 6 7" xfId="12048"/>
    <cellStyle name="Note 6 8" xfId="12196"/>
    <cellStyle name="Note 7" xfId="413"/>
    <cellStyle name="Note 7 2" xfId="8963"/>
    <cellStyle name="Note 7 2 2" xfId="8964"/>
    <cellStyle name="Note 7 2 2 2" xfId="8965"/>
    <cellStyle name="Note 7 2 2 2 2" xfId="8966"/>
    <cellStyle name="Note 7 2 2 2 3" xfId="8967"/>
    <cellStyle name="Note 7 2 2 3" xfId="8968"/>
    <cellStyle name="Note 7 2 2 4" xfId="8969"/>
    <cellStyle name="Note 7 2 3" xfId="8970"/>
    <cellStyle name="Note 7 2 3 2" xfId="8971"/>
    <cellStyle name="Note 7 2 3 3" xfId="8972"/>
    <cellStyle name="Note 7 2 4" xfId="8973"/>
    <cellStyle name="Note 7 2 5" xfId="8974"/>
    <cellStyle name="Note 7 3" xfId="8975"/>
    <cellStyle name="Note 7 3 2" xfId="8976"/>
    <cellStyle name="Note 7 3 2 2" xfId="8977"/>
    <cellStyle name="Note 7 3 2 3" xfId="8978"/>
    <cellStyle name="Note 7 3 3" xfId="8979"/>
    <cellStyle name="Note 7 3 4" xfId="8980"/>
    <cellStyle name="Note 7 4" xfId="8981"/>
    <cellStyle name="Note 7 4 2" xfId="8982"/>
    <cellStyle name="Note 7 4 3" xfId="8983"/>
    <cellStyle name="Note 7 5" xfId="8984"/>
    <cellStyle name="Note 7 6" xfId="8985"/>
    <cellStyle name="Note 7 7" xfId="12047"/>
    <cellStyle name="Note 7 8" xfId="12195"/>
    <cellStyle name="Note 8" xfId="475"/>
    <cellStyle name="Note 8 2" xfId="8986"/>
    <cellStyle name="Note 8 2 2" xfId="8987"/>
    <cellStyle name="Note 8 2 2 2" xfId="8988"/>
    <cellStyle name="Note 8 2 2 2 2" xfId="8989"/>
    <cellStyle name="Note 8 2 2 2 3" xfId="8990"/>
    <cellStyle name="Note 8 2 2 3" xfId="8991"/>
    <cellStyle name="Note 8 2 2 4" xfId="8992"/>
    <cellStyle name="Note 8 2 3" xfId="8993"/>
    <cellStyle name="Note 8 2 3 2" xfId="8994"/>
    <cellStyle name="Note 8 2 3 3" xfId="8995"/>
    <cellStyle name="Note 8 2 4" xfId="8996"/>
    <cellStyle name="Note 8 2 5" xfId="8997"/>
    <cellStyle name="Note 8 3" xfId="8998"/>
    <cellStyle name="Note 8 3 2" xfId="8999"/>
    <cellStyle name="Note 8 3 2 2" xfId="9000"/>
    <cellStyle name="Note 8 3 2 3" xfId="9001"/>
    <cellStyle name="Note 8 3 3" xfId="9002"/>
    <cellStyle name="Note 8 3 4" xfId="9003"/>
    <cellStyle name="Note 8 4" xfId="9004"/>
    <cellStyle name="Note 8 4 2" xfId="9005"/>
    <cellStyle name="Note 8 4 2 2" xfId="12133"/>
    <cellStyle name="Note 8 4 2 3" xfId="12281"/>
    <cellStyle name="Note 8 4 3" xfId="12132"/>
    <cellStyle name="Note 8 4 4" xfId="12280"/>
    <cellStyle name="Note 8 5" xfId="9006"/>
    <cellStyle name="Note 8 5 2" xfId="9007"/>
    <cellStyle name="Note 8 5 3" xfId="9008"/>
    <cellStyle name="Note 8 6" xfId="9009"/>
    <cellStyle name="Note 8 6 2" xfId="12134"/>
    <cellStyle name="Note 8 6 3" xfId="12282"/>
    <cellStyle name="Note 8 7" xfId="12082"/>
    <cellStyle name="Note 8 8" xfId="12230"/>
    <cellStyle name="Note 9" xfId="9010"/>
    <cellStyle name="Note 9 2" xfId="9011"/>
    <cellStyle name="Note 9 2 2" xfId="9012"/>
    <cellStyle name="Note 9 2 3" xfId="9013"/>
    <cellStyle name="Note 9 3" xfId="9014"/>
    <cellStyle name="Note 9 4" xfId="9015"/>
    <cellStyle name="Output" xfId="102"/>
    <cellStyle name="Output 2" xfId="274"/>
    <cellStyle name="Output 2 2" xfId="319"/>
    <cellStyle name="Output 2 2 2" xfId="9016"/>
    <cellStyle name="Output 2 2 3" xfId="9017"/>
    <cellStyle name="Output 2 2 3 2" xfId="9018"/>
    <cellStyle name="Output 2 3" xfId="461"/>
    <cellStyle name="Output 2 4" xfId="455"/>
    <cellStyle name="Output 2 5" xfId="489"/>
    <cellStyle name="Output 2 5 2" xfId="9019"/>
    <cellStyle name="Output 2 6" xfId="504"/>
    <cellStyle name="Output 2 7" xfId="426"/>
    <cellStyle name="Output 2 8" xfId="12164"/>
    <cellStyle name="Output 3" xfId="377"/>
    <cellStyle name="Output 3 2" xfId="9020"/>
    <cellStyle name="Output 3 2 2" xfId="9021"/>
    <cellStyle name="Output 3 3" xfId="9022"/>
    <cellStyle name="Output 3 4" xfId="9023"/>
    <cellStyle name="Output 3 4 2" xfId="9024"/>
    <cellStyle name="Output 4" xfId="405"/>
    <cellStyle name="Output 4 2" xfId="9025"/>
    <cellStyle name="Output 4 3" xfId="9026"/>
    <cellStyle name="Output 4 3 2" xfId="9027"/>
    <cellStyle name="Output 5" xfId="437"/>
    <cellStyle name="Output 6" xfId="414"/>
    <cellStyle name="Output 7" xfId="490"/>
    <cellStyle name="Output 7 2" xfId="9028"/>
    <cellStyle name="Output 8" xfId="391"/>
    <cellStyle name="Output 8 2" xfId="9029"/>
    <cellStyle name="Output 9" xfId="12143"/>
    <cellStyle name="Output Amounts" xfId="103"/>
    <cellStyle name="Output Column Headings" xfId="104"/>
    <cellStyle name="Output Line Items" xfId="105"/>
    <cellStyle name="Percent [0]" xfId="106"/>
    <cellStyle name="Percent [00]" xfId="107"/>
    <cellStyle name="Percent [2]" xfId="108"/>
    <cellStyle name="Percent [2] 2" xfId="217"/>
    <cellStyle name="Percent 2" xfId="275"/>
    <cellStyle name="Percent 2 2" xfId="9030"/>
    <cellStyle name="Percent 2 3" xfId="9031"/>
    <cellStyle name="Percent 2 3 2" xfId="9032"/>
    <cellStyle name="Percent 2 4" xfId="9033"/>
    <cellStyle name="Percent 2 5" xfId="9034"/>
    <cellStyle name="Percent 3" xfId="9035"/>
    <cellStyle name="Percent 3 2" xfId="9036"/>
    <cellStyle name="Percent 3 3" xfId="9037"/>
    <cellStyle name="Percent 4" xfId="9038"/>
    <cellStyle name="Percent 4 2" xfId="9039"/>
    <cellStyle name="Percent 5" xfId="9040"/>
    <cellStyle name="Percent 5 2" xfId="9041"/>
    <cellStyle name="Porcentagem" xfId="11997" builtinId="5"/>
    <cellStyle name="Porcentagem 2" xfId="109"/>
    <cellStyle name="Porcentagem 2 2" xfId="110"/>
    <cellStyle name="Porcentagem 2 2 2" xfId="218"/>
    <cellStyle name="Porcentagem 2 3" xfId="111"/>
    <cellStyle name="Porcentagem 2 3 2" xfId="219"/>
    <cellStyle name="Porcentagem 2 4" xfId="112"/>
    <cellStyle name="Porcentagem 2 4 2" xfId="220"/>
    <cellStyle name="Porcentagem 3" xfId="113"/>
    <cellStyle name="Porcentagem 4 2" xfId="322"/>
    <cellStyle name="PrePop Currency (0)" xfId="114"/>
    <cellStyle name="PrePop Currency (2)" xfId="115"/>
    <cellStyle name="PrePop Units (0)" xfId="116"/>
    <cellStyle name="PrePop Units (1)" xfId="117"/>
    <cellStyle name="PrePop Units (2)" xfId="118"/>
    <cellStyle name="rmlegd" xfId="119"/>
    <cellStyle name="rmlegd 2" xfId="221"/>
    <cellStyle name="rmlegd 3" xfId="222"/>
    <cellStyle name="Saída 2" xfId="223"/>
    <cellStyle name="Saída 2 2" xfId="224"/>
    <cellStyle name="Saída 2 2 2" xfId="338"/>
    <cellStyle name="Saída 2 2 3" xfId="448"/>
    <cellStyle name="Saída 2 2 4" xfId="386"/>
    <cellStyle name="Saída 2 2 5" xfId="486"/>
    <cellStyle name="Saída 2 2 6" xfId="454"/>
    <cellStyle name="Saída 2 2 7" xfId="450"/>
    <cellStyle name="Saída 2 2 8" xfId="12158"/>
    <cellStyle name="Saída 2 3" xfId="337"/>
    <cellStyle name="Saída 2 4" xfId="447"/>
    <cellStyle name="Saída 2 5" xfId="387"/>
    <cellStyle name="Saída 2 6" xfId="469"/>
    <cellStyle name="Saída 2 7" xfId="400"/>
    <cellStyle name="Saída 2 8" xfId="466"/>
    <cellStyle name="Saída 2 9" xfId="12157"/>
    <cellStyle name="Separador de milhares 2" xfId="120"/>
    <cellStyle name="Separador de milhares 2 2" xfId="520"/>
    <cellStyle name="Style 1" xfId="276"/>
    <cellStyle name="Style 1 2" xfId="9042"/>
    <cellStyle name="Style 1 2 2" xfId="9043"/>
    <cellStyle name="Style 1 2 2 2" xfId="9044"/>
    <cellStyle name="Style 1 2 3" xfId="9045"/>
    <cellStyle name="Style 1 2 3 2" xfId="9046"/>
    <cellStyle name="Style 1 2 4" xfId="9047"/>
    <cellStyle name="Style 1 3" xfId="9048"/>
    <cellStyle name="Style 1 3 2" xfId="9049"/>
    <cellStyle name="Style 1 3 2 2" xfId="9050"/>
    <cellStyle name="Style 1 3 3" xfId="9051"/>
    <cellStyle name="Style 1 3 3 2" xfId="9052"/>
    <cellStyle name="Style 1 3 4" xfId="9053"/>
    <cellStyle name="Style 1 3 4 2" xfId="9054"/>
    <cellStyle name="Style 1 3 5" xfId="9055"/>
    <cellStyle name="Style 1 4" xfId="9056"/>
    <cellStyle name="Style 1 4 2" xfId="9057"/>
    <cellStyle name="Style 1 5" xfId="9058"/>
    <cellStyle name="Style 1_Sheet1" xfId="9059"/>
    <cellStyle name="Style 98" xfId="9060"/>
    <cellStyle name="Style 99" xfId="9061"/>
    <cellStyle name="Style 99 2" xfId="9062"/>
    <cellStyle name="Style 99 3" xfId="9063"/>
    <cellStyle name="Style 99 4" xfId="9064"/>
    <cellStyle name="Style 99 5" xfId="9065"/>
    <cellStyle name="Style 99 6" xfId="9066"/>
    <cellStyle name="Text Indent A" xfId="121"/>
    <cellStyle name="Text Indent B" xfId="122"/>
    <cellStyle name="Text Indent C" xfId="123"/>
    <cellStyle name="Texto de Aviso 2" xfId="225"/>
    <cellStyle name="Texto Explicativo 2" xfId="226"/>
    <cellStyle name="Times 10pt, 0 decimal" xfId="124"/>
    <cellStyle name="Times 8.5pt, 0 decimal" xfId="125"/>
    <cellStyle name="Title" xfId="126"/>
    <cellStyle name="Title 2" xfId="277"/>
    <cellStyle name="Title 2 2" xfId="320"/>
    <cellStyle name="Title 2 2 2" xfId="9067"/>
    <cellStyle name="Title 2 2 3" xfId="9068"/>
    <cellStyle name="Title 2 2 3 2" xfId="9069"/>
    <cellStyle name="Title 2 3" xfId="9070"/>
    <cellStyle name="Title 2 4" xfId="9071"/>
    <cellStyle name="Title 2 5" xfId="9072"/>
    <cellStyle name="Title 2 5 2" xfId="9073"/>
    <cellStyle name="Title 2 6" xfId="9074"/>
    <cellStyle name="Title 3" xfId="378"/>
    <cellStyle name="Title 3 2" xfId="9075"/>
    <cellStyle name="Title 3 2 2" xfId="9076"/>
    <cellStyle name="Title 3 3" xfId="9077"/>
    <cellStyle name="Title 3 4" xfId="9078"/>
    <cellStyle name="Title 3 4 2" xfId="9079"/>
    <cellStyle name="Title 4" xfId="9080"/>
    <cellStyle name="Title 4 2" xfId="9081"/>
    <cellStyle name="Title 4 3" xfId="9082"/>
    <cellStyle name="Title 4 3 2" xfId="9083"/>
    <cellStyle name="Title 5" xfId="9084"/>
    <cellStyle name="Title 6" xfId="9085"/>
    <cellStyle name="Title 7" xfId="9086"/>
    <cellStyle name="Title 7 2" xfId="9087"/>
    <cellStyle name="Title 8" xfId="9088"/>
    <cellStyle name="Title 8 2" xfId="9089"/>
    <cellStyle name="Título 1 1" xfId="227"/>
    <cellStyle name="Título 1 2" xfId="228"/>
    <cellStyle name="Título 2 2" xfId="229"/>
    <cellStyle name="Título 3 2" xfId="230"/>
    <cellStyle name="Título 4 2" xfId="231"/>
    <cellStyle name="Título 5" xfId="232"/>
    <cellStyle name="Total 2" xfId="233"/>
    <cellStyle name="Total 2 10" xfId="12159"/>
    <cellStyle name="Total 2 2" xfId="234"/>
    <cellStyle name="Total 2 2 2" xfId="340"/>
    <cellStyle name="Total 2 2 3" xfId="453"/>
    <cellStyle name="Total 2 2 3 2" xfId="9090"/>
    <cellStyle name="Total 2 2 4" xfId="484"/>
    <cellStyle name="Total 2 2 5" xfId="418"/>
    <cellStyle name="Total 2 2 6" xfId="500"/>
    <cellStyle name="Total 2 2 7" xfId="408"/>
    <cellStyle name="Total 2 2 8" xfId="12160"/>
    <cellStyle name="Total 2 3" xfId="339"/>
    <cellStyle name="Total 2 4" xfId="452"/>
    <cellStyle name="Total 2 5" xfId="384"/>
    <cellStyle name="Total 2 5 2" xfId="9091"/>
    <cellStyle name="Total 2 6" xfId="381"/>
    <cellStyle name="Total 2 7" xfId="508"/>
    <cellStyle name="Total 2 8" xfId="479"/>
    <cellStyle name="Total 2 9" xfId="9147"/>
    <cellStyle name="Total 3" xfId="9092"/>
    <cellStyle name="Total 3 2" xfId="9093"/>
    <cellStyle name="Total 3 2 2" xfId="9094"/>
    <cellStyle name="Total 3 3" xfId="9095"/>
    <cellStyle name="Total 3 4" xfId="9096"/>
    <cellStyle name="Total 3 4 2" xfId="9097"/>
    <cellStyle name="Total 4" xfId="9098"/>
    <cellStyle name="Total 4 2" xfId="9099"/>
    <cellStyle name="Total 4 3" xfId="9100"/>
    <cellStyle name="Total 4 3 2" xfId="9101"/>
    <cellStyle name="Total 5" xfId="9102"/>
    <cellStyle name="Total 6" xfId="9103"/>
    <cellStyle name="Total 7" xfId="9104"/>
    <cellStyle name="Total 7 2" xfId="9105"/>
    <cellStyle name="Total 8" xfId="9106"/>
    <cellStyle name="Total 8 2" xfId="9107"/>
    <cellStyle name="Total 9" xfId="9148"/>
    <cellStyle name="Warning Text" xfId="127"/>
    <cellStyle name="Warning Text 2" xfId="9108"/>
    <cellStyle name="Warning Text 2 2" xfId="9109"/>
    <cellStyle name="Warning Text 2 2 2" xfId="9110"/>
    <cellStyle name="Warning Text 2 2 3" xfId="9111"/>
    <cellStyle name="Warning Text 2 2 3 2" xfId="9112"/>
    <cellStyle name="Warning Text 2 3" xfId="9113"/>
    <cellStyle name="Warning Text 2 4" xfId="9114"/>
    <cellStyle name="Warning Text 2 5" xfId="9115"/>
    <cellStyle name="Warning Text 2 5 2" xfId="9116"/>
    <cellStyle name="Warning Text 2 6" xfId="9117"/>
    <cellStyle name="Warning Text 3" xfId="9118"/>
    <cellStyle name="Warning Text 3 2" xfId="9119"/>
    <cellStyle name="Warning Text 3 2 2" xfId="9120"/>
    <cellStyle name="Warning Text 3 3" xfId="9121"/>
    <cellStyle name="Warning Text 3 4" xfId="9122"/>
    <cellStyle name="Warning Text 3 4 2" xfId="9123"/>
    <cellStyle name="Warning Text 4" xfId="9124"/>
    <cellStyle name="Warning Text 4 2" xfId="9125"/>
    <cellStyle name="Warning Text 4 3" xfId="9126"/>
    <cellStyle name="Warning Text 4 3 2" xfId="9127"/>
    <cellStyle name="Warning Text 5" xfId="9128"/>
    <cellStyle name="Warning Text 6" xfId="9129"/>
    <cellStyle name="Warning Text 7" xfId="9130"/>
    <cellStyle name="Warning Text 7 2" xfId="9131"/>
    <cellStyle name="Warning Text 8" xfId="9132"/>
    <cellStyle name="Warning Text 8 2" xfId="9133"/>
  </cellStyles>
  <dxfs count="2685"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0.4999847407452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rgb="FFFF0000"/>
      </font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EDDC"/>
      <rgbColor rgb="00969240"/>
      <rgbColor rgb="00725A80"/>
      <rgbColor rgb="00FF1144"/>
      <rgbColor rgb="00614C6C"/>
      <rgbColor rgb="00322838"/>
      <rgbColor rgb="008E739D"/>
      <rgbColor rgb="00580013"/>
      <rgbColor rgb="00C7002B"/>
      <rgbColor rgb="00DDDDDD"/>
      <rgbColor rgb="00A20023"/>
      <rgbColor rgb="00F2F1E2"/>
      <rgbColor rgb="00E60031"/>
      <rgbColor rgb="00D9D0DE"/>
      <rgbColor rgb="00FF93AA"/>
      <rgbColor rgb="00001A19"/>
      <rgbColor rgb="00003635"/>
      <rgbColor rgb="00004E4C"/>
      <rgbColor rgb="00006766"/>
      <rgbColor rgb="0000918E"/>
      <rgbColor rgb="0000C4BF"/>
      <rgbColor rgb="0000F6F0"/>
      <rgbColor rgb="003FFFFA"/>
      <rgbColor rgb="00746E00"/>
      <rgbColor rgb="00A8A000"/>
      <rgbColor rgb="00DAD000"/>
      <rgbColor rgb="00FFF500"/>
      <rgbColor rgb="00FFF63F"/>
      <rgbColor rgb="00FFF86D"/>
      <rgbColor rgb="00FFFA9F"/>
      <rgbColor rgb="00FFFDCD"/>
      <rgbColor rgb="00A690B2"/>
      <rgbColor rgb="00EAC486"/>
      <rgbColor rgb="00E3B061"/>
      <rgbColor rgb="00DDA13F"/>
      <rgbColor rgb="00F0D5AA"/>
      <rgbColor rgb="00B27A20"/>
      <rgbColor rgb="00F5E3C7"/>
      <rgbColor rgb="00D49226"/>
      <rgbColor rgb="00EAE9CE"/>
      <rgbColor rgb="00E3E1BF"/>
      <rgbColor rgb="00C8C47E"/>
      <rgbColor rgb="0051405A"/>
      <rgbColor rgb="00B7B255"/>
      <rgbColor rgb="0082001C"/>
      <rgbColor rgb="00FF4B72"/>
      <rgbColor rgb="00F9F8F1"/>
      <rgbColor rgb="00B2B2B2"/>
      <rgbColor rgb="00D8D6A4"/>
      <rgbColor rgb="00969696"/>
      <rgbColor rgb="00777777"/>
      <rgbColor rgb="004D4D4D"/>
      <rgbColor rgb="00BCABC5"/>
      <rgbColor rgb="00EAEAEA"/>
      <rgbColor rgb="00FFFFFF"/>
    </indexedColors>
    <mruColors>
      <color rgb="FFFFFFCC"/>
      <color rgb="FFFFFF99"/>
      <color rgb="FFFEFCAA"/>
      <color rgb="FFFF7C80"/>
      <color rgb="FFB8B8B4"/>
      <color rgb="FFFF5D5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123825</xdr:rowOff>
        </xdr:from>
        <xdr:to>
          <xdr:col>4</xdr:col>
          <xdr:colOff>266700</xdr:colOff>
          <xdr:row>0</xdr:row>
          <xdr:rowOff>361950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E60031"/>
                  </a:solidFill>
                  <a:latin typeface="Calibri"/>
                </a:rPr>
                <a:t>Consolida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190508</xdr:colOff>
      <xdr:row>1</xdr:row>
      <xdr:rowOff>43577</xdr:rowOff>
    </xdr:from>
    <xdr:to>
      <xdr:col>11</xdr:col>
      <xdr:colOff>366582</xdr:colOff>
      <xdr:row>3</xdr:row>
      <xdr:rowOff>162639</xdr:rowOff>
    </xdr:to>
    <xdr:sp macro="" textlink="Parametros!B2">
      <xdr:nvSpPr>
        <xdr:cNvPr id="2" name="CaixaDeTexto 1"/>
        <xdr:cNvSpPr txBox="1"/>
      </xdr:nvSpPr>
      <xdr:spPr>
        <a:xfrm>
          <a:off x="2142572" y="234077"/>
          <a:ext cx="8824775" cy="500062"/>
        </a:xfrm>
        <a:prstGeom prst="rect">
          <a:avLst/>
        </a:prstGeom>
        <a:gradFill>
          <a:gsLst>
            <a:gs pos="18000">
              <a:schemeClr val="accent2">
                <a:lumMod val="60000"/>
                <a:lumOff val="40000"/>
              </a:schemeClr>
            </a:gs>
            <a:gs pos="39999">
              <a:schemeClr val="accent2">
                <a:lumMod val="20000"/>
                <a:lumOff val="80000"/>
              </a:schemeClr>
            </a:gs>
            <a:gs pos="70000">
              <a:schemeClr val="bg1"/>
            </a:gs>
            <a:gs pos="100000">
              <a:schemeClr val="bg1"/>
            </a:gs>
          </a:gsLst>
          <a:lin ang="5400000" scaled="0"/>
        </a:gra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extrusionH="38100" contourW="12700">
          <a:bevelT/>
          <a:bevelB w="165100" prst="coolSlant"/>
          <a:extrusionClr>
            <a:schemeClr val="tx2"/>
          </a:extrusionClr>
          <a:contourClr>
            <a:schemeClr val="accent6">
              <a:lumMod val="20000"/>
              <a:lumOff val="8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fld id="{B9357177-244A-4F6C-96A2-59300A26A77F}" type="TxLink">
            <a:rPr lang="en-US" sz="1800" b="0" i="0" u="none" strike="noStrike">
              <a:ln>
                <a:noFill/>
              </a:ln>
              <a:solidFill>
                <a:sysClr val="windowText" lastClr="000000"/>
              </a:solidFill>
              <a:effectLst>
                <a:innerShdw blurRad="63500" dist="50800" dir="13500000">
                  <a:schemeClr val="tx1">
                    <a:lumMod val="75000"/>
                    <a:lumOff val="25000"/>
                    <a:alpha val="50000"/>
                  </a:schemeClr>
                </a:innerShdw>
              </a:effectLst>
              <a:latin typeface="Trebuchet MS"/>
            </a:rPr>
            <a:pPr/>
            <a:t>Operational Map  - December</a:t>
          </a:fld>
          <a:endParaRPr lang="pt-BR" sz="1800" baseline="0">
            <a:ln>
              <a:noFill/>
            </a:ln>
            <a:solidFill>
              <a:sysClr val="windowText" lastClr="000000"/>
            </a:solidFill>
            <a:effectLst>
              <a:innerShdw blurRad="63500" dist="50800" dir="13500000">
                <a:schemeClr val="tx1">
                  <a:lumMod val="75000"/>
                  <a:lumOff val="25000"/>
                  <a:alpha val="50000"/>
                </a:schemeClr>
              </a:inn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123272</xdr:colOff>
      <xdr:row>1</xdr:row>
      <xdr:rowOff>43577</xdr:rowOff>
    </xdr:from>
    <xdr:to>
      <xdr:col>11</xdr:col>
      <xdr:colOff>299347</xdr:colOff>
      <xdr:row>3</xdr:row>
      <xdr:rowOff>162639</xdr:rowOff>
    </xdr:to>
    <xdr:sp macro="" textlink="Parametros!B2">
      <xdr:nvSpPr>
        <xdr:cNvPr id="2" name="CaixaDeTexto 1"/>
        <xdr:cNvSpPr txBox="1"/>
      </xdr:nvSpPr>
      <xdr:spPr>
        <a:xfrm>
          <a:off x="2142572" y="234077"/>
          <a:ext cx="8824775" cy="500062"/>
        </a:xfrm>
        <a:prstGeom prst="rect">
          <a:avLst/>
        </a:prstGeom>
        <a:gradFill>
          <a:gsLst>
            <a:gs pos="18000">
              <a:schemeClr val="accent2">
                <a:lumMod val="60000"/>
                <a:lumOff val="40000"/>
              </a:schemeClr>
            </a:gs>
            <a:gs pos="39999">
              <a:schemeClr val="accent2">
                <a:lumMod val="20000"/>
                <a:lumOff val="80000"/>
              </a:schemeClr>
            </a:gs>
            <a:gs pos="70000">
              <a:schemeClr val="bg1"/>
            </a:gs>
            <a:gs pos="100000">
              <a:schemeClr val="bg1"/>
            </a:gs>
          </a:gsLst>
          <a:lin ang="5400000" scaled="0"/>
        </a:gra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extrusionH="38100" contourW="12700">
          <a:bevelT/>
          <a:bevelB w="165100" prst="coolSlant"/>
          <a:extrusionClr>
            <a:schemeClr val="tx2"/>
          </a:extrusionClr>
          <a:contourClr>
            <a:schemeClr val="accent6">
              <a:lumMod val="20000"/>
              <a:lumOff val="8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fld id="{E57D099F-EA25-403C-816D-A34689AE522D}" type="TxLink">
            <a:rPr lang="en-US" sz="1800" b="0" i="0" u="none" strike="noStrike">
              <a:ln>
                <a:noFill/>
              </a:ln>
              <a:solidFill>
                <a:sysClr val="windowText" lastClr="000000"/>
              </a:solidFill>
              <a:effectLst>
                <a:innerShdw blurRad="63500" dist="50800" dir="13500000">
                  <a:schemeClr val="tx1">
                    <a:lumMod val="75000"/>
                    <a:lumOff val="25000"/>
                    <a:alpha val="50000"/>
                  </a:schemeClr>
                </a:innerShdw>
              </a:effectLst>
              <a:latin typeface="Trebuchet MS"/>
            </a:rPr>
            <a:pPr/>
            <a:t>Operational Map  - December</a:t>
          </a:fld>
          <a:endParaRPr lang="pt-BR" sz="1800" baseline="0">
            <a:ln>
              <a:noFill/>
            </a:ln>
            <a:solidFill>
              <a:sysClr val="windowText" lastClr="000000"/>
            </a:solidFill>
            <a:effectLst>
              <a:innerShdw blurRad="63500" dist="50800" dir="13500000">
                <a:schemeClr val="tx1">
                  <a:lumMod val="75000"/>
                  <a:lumOff val="25000"/>
                  <a:alpha val="50000"/>
                </a:schemeClr>
              </a:inn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123272</xdr:colOff>
      <xdr:row>1</xdr:row>
      <xdr:rowOff>43577</xdr:rowOff>
    </xdr:from>
    <xdr:to>
      <xdr:col>10</xdr:col>
      <xdr:colOff>400200</xdr:colOff>
      <xdr:row>3</xdr:row>
      <xdr:rowOff>162639</xdr:rowOff>
    </xdr:to>
    <xdr:sp macro="" textlink="Parametros!B2">
      <xdr:nvSpPr>
        <xdr:cNvPr id="2" name="CaixaDeTexto 1"/>
        <xdr:cNvSpPr txBox="1"/>
      </xdr:nvSpPr>
      <xdr:spPr>
        <a:xfrm>
          <a:off x="2142572" y="234077"/>
          <a:ext cx="8816931" cy="500062"/>
        </a:xfrm>
        <a:prstGeom prst="rect">
          <a:avLst/>
        </a:prstGeom>
        <a:gradFill>
          <a:gsLst>
            <a:gs pos="18000">
              <a:schemeClr val="accent2">
                <a:lumMod val="60000"/>
                <a:lumOff val="40000"/>
              </a:schemeClr>
            </a:gs>
            <a:gs pos="39999">
              <a:schemeClr val="accent2">
                <a:lumMod val="20000"/>
                <a:lumOff val="80000"/>
              </a:schemeClr>
            </a:gs>
            <a:gs pos="70000">
              <a:schemeClr val="bg1"/>
            </a:gs>
            <a:gs pos="100000">
              <a:schemeClr val="bg1"/>
            </a:gs>
          </a:gsLst>
          <a:lin ang="5400000" scaled="0"/>
        </a:gra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extrusionH="38100" contourW="12700">
          <a:bevelT/>
          <a:bevelB w="165100" prst="coolSlant"/>
          <a:extrusionClr>
            <a:schemeClr val="tx2"/>
          </a:extrusionClr>
          <a:contourClr>
            <a:schemeClr val="accent6">
              <a:lumMod val="20000"/>
              <a:lumOff val="8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fld id="{E57D099F-EA25-403C-816D-A34689AE522D}" type="TxLink">
            <a:rPr lang="en-US" sz="1800" b="0" i="0" u="none" strike="noStrike">
              <a:ln>
                <a:noFill/>
              </a:ln>
              <a:solidFill>
                <a:sysClr val="windowText" lastClr="000000"/>
              </a:solidFill>
              <a:effectLst>
                <a:innerShdw blurRad="63500" dist="50800" dir="13500000">
                  <a:schemeClr val="tx1">
                    <a:lumMod val="75000"/>
                    <a:lumOff val="25000"/>
                    <a:alpha val="50000"/>
                  </a:schemeClr>
                </a:innerShdw>
              </a:effectLst>
              <a:latin typeface="Trebuchet MS"/>
            </a:rPr>
            <a:pPr/>
            <a:t>Operational Map  - December</a:t>
          </a:fld>
          <a:endParaRPr lang="pt-BR" sz="1800" baseline="0">
            <a:ln>
              <a:noFill/>
            </a:ln>
            <a:solidFill>
              <a:sysClr val="windowText" lastClr="000000"/>
            </a:solidFill>
            <a:effectLst>
              <a:innerShdw blurRad="63500" dist="50800" dir="13500000">
                <a:schemeClr val="tx1">
                  <a:lumMod val="75000"/>
                  <a:lumOff val="25000"/>
                  <a:alpha val="50000"/>
                </a:schemeClr>
              </a:inn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1860684</xdr:colOff>
      <xdr:row>1</xdr:row>
      <xdr:rowOff>43577</xdr:rowOff>
    </xdr:from>
    <xdr:to>
      <xdr:col>12</xdr:col>
      <xdr:colOff>357202</xdr:colOff>
      <xdr:row>3</xdr:row>
      <xdr:rowOff>173222</xdr:rowOff>
    </xdr:to>
    <xdr:sp macro="" textlink="Parametros!B2">
      <xdr:nvSpPr>
        <xdr:cNvPr id="4" name="CaixaDeTexto 3"/>
        <xdr:cNvSpPr txBox="1"/>
      </xdr:nvSpPr>
      <xdr:spPr>
        <a:xfrm>
          <a:off x="2206166" y="228785"/>
          <a:ext cx="8827016" cy="500062"/>
        </a:xfrm>
        <a:prstGeom prst="rect">
          <a:avLst/>
        </a:prstGeom>
        <a:gradFill>
          <a:gsLst>
            <a:gs pos="18000">
              <a:schemeClr val="accent2">
                <a:lumMod val="60000"/>
                <a:lumOff val="40000"/>
              </a:schemeClr>
            </a:gs>
            <a:gs pos="39999">
              <a:schemeClr val="accent2">
                <a:lumMod val="20000"/>
                <a:lumOff val="80000"/>
              </a:schemeClr>
            </a:gs>
            <a:gs pos="70000">
              <a:schemeClr val="bg1"/>
            </a:gs>
            <a:gs pos="100000">
              <a:schemeClr val="bg1"/>
            </a:gs>
          </a:gsLst>
          <a:lin ang="5400000" scaled="0"/>
        </a:gra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extrusionH="38100" contourW="12700">
          <a:bevelT/>
          <a:bevelB w="165100" prst="coolSlant"/>
          <a:extrusionClr>
            <a:schemeClr val="tx2"/>
          </a:extrusionClr>
          <a:contourClr>
            <a:schemeClr val="accent6">
              <a:lumMod val="20000"/>
              <a:lumOff val="8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fld id="{ACB193E8-4D49-4600-98A9-D369B2BD5D6B}" type="TxLink">
            <a:rPr lang="en-US" sz="1800" b="0" i="0" u="none" strike="noStrike">
              <a:ln>
                <a:noFill/>
              </a:ln>
              <a:solidFill>
                <a:sysClr val="windowText" lastClr="000000"/>
              </a:solidFill>
              <a:effectLst>
                <a:innerShdw blurRad="63500" dist="50800" dir="13500000">
                  <a:schemeClr val="tx1">
                    <a:lumMod val="75000"/>
                    <a:lumOff val="25000"/>
                    <a:alpha val="50000"/>
                  </a:schemeClr>
                </a:innerShdw>
              </a:effectLst>
              <a:latin typeface="Trebuchet MS"/>
            </a:rPr>
            <a:pPr/>
            <a:t>Operational Map  - December</a:t>
          </a:fld>
          <a:endParaRPr lang="pt-BR" sz="1800" baseline="0">
            <a:ln>
              <a:noFill/>
            </a:ln>
            <a:solidFill>
              <a:sysClr val="windowText" lastClr="000000"/>
            </a:solidFill>
            <a:effectLst>
              <a:innerShdw blurRad="63500" dist="50800" dir="13500000">
                <a:schemeClr val="tx1">
                  <a:lumMod val="75000"/>
                  <a:lumOff val="25000"/>
                  <a:alpha val="50000"/>
                </a:schemeClr>
              </a:inn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</xdr:row>
      <xdr:rowOff>9525</xdr:rowOff>
    </xdr:from>
    <xdr:to>
      <xdr:col>23</xdr:col>
      <xdr:colOff>1143000</xdr:colOff>
      <xdr:row>3</xdr:row>
      <xdr:rowOff>128587</xdr:rowOff>
    </xdr:to>
    <xdr:sp macro="" textlink="Parametros!B2">
      <xdr:nvSpPr>
        <xdr:cNvPr id="2" name="CaixaDeTexto 1"/>
        <xdr:cNvSpPr txBox="1"/>
      </xdr:nvSpPr>
      <xdr:spPr>
        <a:xfrm>
          <a:off x="400050" y="200025"/>
          <a:ext cx="19964400" cy="500062"/>
        </a:xfrm>
        <a:prstGeom prst="rect">
          <a:avLst/>
        </a:prstGeom>
        <a:gradFill>
          <a:gsLst>
            <a:gs pos="18000">
              <a:schemeClr val="accent2">
                <a:lumMod val="60000"/>
                <a:lumOff val="40000"/>
              </a:schemeClr>
            </a:gs>
            <a:gs pos="39999">
              <a:schemeClr val="accent2">
                <a:lumMod val="20000"/>
                <a:lumOff val="80000"/>
              </a:schemeClr>
            </a:gs>
            <a:gs pos="70000">
              <a:schemeClr val="bg1"/>
            </a:gs>
            <a:gs pos="100000">
              <a:schemeClr val="bg1"/>
            </a:gs>
          </a:gsLst>
          <a:lin ang="5400000" scaled="0"/>
        </a:gra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extrusionH="38100" contourW="12700">
          <a:bevelT/>
          <a:bevelB w="165100" prst="coolSlant"/>
          <a:extrusionClr>
            <a:schemeClr val="tx2"/>
          </a:extrusionClr>
          <a:contourClr>
            <a:schemeClr val="accent6">
              <a:lumMod val="20000"/>
              <a:lumOff val="8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fld id="{39B3759A-5845-4083-BA09-4126930C3860}" type="TxLink">
            <a:rPr lang="en-US" sz="1800" b="0" i="0" u="none" strike="noStrike">
              <a:ln>
                <a:noFill/>
              </a:ln>
              <a:solidFill>
                <a:sysClr val="windowText" lastClr="000000"/>
              </a:solidFill>
              <a:effectLst>
                <a:innerShdw blurRad="63500" dist="50800" dir="13500000">
                  <a:schemeClr val="tx1">
                    <a:lumMod val="75000"/>
                    <a:lumOff val="25000"/>
                    <a:alpha val="50000"/>
                  </a:schemeClr>
                </a:innerShdw>
              </a:effectLst>
              <a:latin typeface="Trebuchet MS"/>
            </a:rPr>
            <a:pPr/>
            <a:t>Operational Map  - December</a:t>
          </a:fld>
          <a:endParaRPr lang="pt-BR" sz="1800" baseline="0">
            <a:ln>
              <a:noFill/>
            </a:ln>
            <a:solidFill>
              <a:sysClr val="windowText" lastClr="000000"/>
            </a:solidFill>
            <a:effectLst>
              <a:innerShdw blurRad="63500" dist="50800" dir="13500000">
                <a:schemeClr val="tx1">
                  <a:lumMod val="75000"/>
                  <a:lumOff val="25000"/>
                  <a:alpha val="50000"/>
                </a:schemeClr>
              </a:inn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</xdr:row>
      <xdr:rowOff>76200</xdr:rowOff>
    </xdr:from>
    <xdr:to>
      <xdr:col>5</xdr:col>
      <xdr:colOff>3495675</xdr:colOff>
      <xdr:row>4</xdr:row>
      <xdr:rowOff>4762</xdr:rowOff>
    </xdr:to>
    <xdr:sp macro="" textlink="Parametros!B2">
      <xdr:nvSpPr>
        <xdr:cNvPr id="2" name="CaixaDeTexto 1"/>
        <xdr:cNvSpPr txBox="1"/>
      </xdr:nvSpPr>
      <xdr:spPr>
        <a:xfrm>
          <a:off x="371475" y="266700"/>
          <a:ext cx="10458450" cy="500062"/>
        </a:xfrm>
        <a:prstGeom prst="rect">
          <a:avLst/>
        </a:prstGeom>
        <a:gradFill>
          <a:gsLst>
            <a:gs pos="18000">
              <a:schemeClr val="accent2">
                <a:lumMod val="60000"/>
                <a:lumOff val="40000"/>
              </a:schemeClr>
            </a:gs>
            <a:gs pos="39999">
              <a:schemeClr val="accent2">
                <a:lumMod val="20000"/>
                <a:lumOff val="80000"/>
              </a:schemeClr>
            </a:gs>
            <a:gs pos="70000">
              <a:schemeClr val="bg1"/>
            </a:gs>
            <a:gs pos="100000">
              <a:schemeClr val="bg1"/>
            </a:gs>
          </a:gsLst>
          <a:lin ang="5400000" scaled="0"/>
        </a:gra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extrusionH="38100" contourW="12700">
          <a:bevelT/>
          <a:bevelB w="165100" prst="coolSlant"/>
          <a:extrusionClr>
            <a:schemeClr val="tx2"/>
          </a:extrusionClr>
          <a:contourClr>
            <a:schemeClr val="accent6">
              <a:lumMod val="20000"/>
              <a:lumOff val="8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fld id="{39B3759A-5845-4083-BA09-4126930C3860}" type="TxLink">
            <a:rPr lang="en-US" sz="1800" b="0" i="0" u="none" strike="noStrike">
              <a:ln>
                <a:noFill/>
              </a:ln>
              <a:solidFill>
                <a:sysClr val="windowText" lastClr="000000"/>
              </a:solidFill>
              <a:effectLst>
                <a:innerShdw blurRad="63500" dist="50800" dir="13500000">
                  <a:schemeClr val="tx1">
                    <a:lumMod val="75000"/>
                    <a:lumOff val="25000"/>
                    <a:alpha val="50000"/>
                  </a:schemeClr>
                </a:innerShdw>
              </a:effectLst>
              <a:latin typeface="Trebuchet MS"/>
            </a:rPr>
            <a:pPr/>
            <a:t>Operational Map  - December</a:t>
          </a:fld>
          <a:endParaRPr lang="pt-BR" sz="1800" baseline="0">
            <a:ln>
              <a:noFill/>
            </a:ln>
            <a:solidFill>
              <a:sysClr val="windowText" lastClr="000000"/>
            </a:solidFill>
            <a:effectLst>
              <a:innerShdw blurRad="63500" dist="50800" dir="13500000">
                <a:schemeClr val="tx1">
                  <a:lumMod val="75000"/>
                  <a:lumOff val="25000"/>
                  <a:alpha val="50000"/>
                </a:schemeClr>
              </a:innerShdw>
            </a:effectLst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493066</xdr:colOff>
      <xdr:row>1</xdr:row>
      <xdr:rowOff>43577</xdr:rowOff>
    </xdr:from>
    <xdr:to>
      <xdr:col>15</xdr:col>
      <xdr:colOff>41612</xdr:colOff>
      <xdr:row>3</xdr:row>
      <xdr:rowOff>162639</xdr:rowOff>
    </xdr:to>
    <xdr:sp macro="" textlink="Parametros!B2">
      <xdr:nvSpPr>
        <xdr:cNvPr id="2" name="CaixaDeTexto 1"/>
        <xdr:cNvSpPr txBox="1"/>
      </xdr:nvSpPr>
      <xdr:spPr>
        <a:xfrm>
          <a:off x="2142572" y="234077"/>
          <a:ext cx="8824775" cy="500062"/>
        </a:xfrm>
        <a:prstGeom prst="rect">
          <a:avLst/>
        </a:prstGeom>
        <a:gradFill>
          <a:gsLst>
            <a:gs pos="18000">
              <a:schemeClr val="accent2">
                <a:lumMod val="60000"/>
                <a:lumOff val="40000"/>
              </a:schemeClr>
            </a:gs>
            <a:gs pos="39999">
              <a:schemeClr val="accent2">
                <a:lumMod val="20000"/>
                <a:lumOff val="80000"/>
              </a:schemeClr>
            </a:gs>
            <a:gs pos="70000">
              <a:schemeClr val="bg1"/>
            </a:gs>
            <a:gs pos="100000">
              <a:schemeClr val="bg1"/>
            </a:gs>
          </a:gsLst>
          <a:lin ang="5400000" scaled="0"/>
        </a:gra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extrusionH="38100" contourW="12700">
          <a:bevelT/>
          <a:bevelB w="165100" prst="coolSlant"/>
          <a:extrusionClr>
            <a:schemeClr val="tx2"/>
          </a:extrusionClr>
          <a:contourClr>
            <a:schemeClr val="accent6">
              <a:lumMod val="20000"/>
              <a:lumOff val="80000"/>
            </a:schemeClr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1"/>
        <a:lstStyle/>
        <a:p>
          <a:fld id="{E57D099F-EA25-403C-816D-A34689AE522D}" type="TxLink">
            <a:rPr lang="en-US" sz="1800" b="0" i="0" u="none" strike="noStrike">
              <a:ln>
                <a:noFill/>
              </a:ln>
              <a:solidFill>
                <a:sysClr val="windowText" lastClr="000000"/>
              </a:solidFill>
              <a:effectLst>
                <a:innerShdw blurRad="63500" dist="50800" dir="13500000">
                  <a:schemeClr val="tx1">
                    <a:lumMod val="75000"/>
                    <a:lumOff val="25000"/>
                    <a:alpha val="50000"/>
                  </a:schemeClr>
                </a:innerShdw>
              </a:effectLst>
              <a:latin typeface="Trebuchet MS"/>
            </a:rPr>
            <a:pPr/>
            <a:t>Operational Map  - December</a:t>
          </a:fld>
          <a:endParaRPr lang="pt-BR" sz="1800" baseline="0">
            <a:ln>
              <a:noFill/>
            </a:ln>
            <a:solidFill>
              <a:sysClr val="windowText" lastClr="000000"/>
            </a:solidFill>
            <a:effectLst>
              <a:innerShdw blurRad="63500" dist="50800" dir="13500000">
                <a:schemeClr val="tx1">
                  <a:lumMod val="75000"/>
                  <a:lumOff val="25000"/>
                  <a:alpha val="50000"/>
                </a:schemeClr>
              </a:inn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PA%20OPERACIONAL/2012/Mapas%20antigos/new%20MAPA%20OPERACIONAL%20-%20PH%20%20-%2008_2012_v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Parametros"/>
      <sheetName val="DATA"/>
      <sheetName val="LOGINS_DISPONIVEIS"/>
      <sheetName val="MAPA"/>
      <sheetName val="RESUMO"/>
      <sheetName val="DESLIGADOS"/>
      <sheetName val="FILA DE ESPERA"/>
      <sheetName val="OCP"/>
      <sheetName val="INATIVOS"/>
      <sheetName val="LAWSON MANUAL"/>
    </sheetNames>
    <sheetDataSet>
      <sheetData sheetId="0"/>
      <sheetData sheetId="1"/>
      <sheetData sheetId="2">
        <row r="13">
          <cell r="N13">
            <v>0.26388888888888878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>
    <tabColor theme="1"/>
  </sheetPr>
  <dimension ref="B1:U1077"/>
  <sheetViews>
    <sheetView showGridLines="0" showRowColHeaders="0" zoomScale="80" zoomScaleNormal="80" workbookViewId="0">
      <pane ySplit="2" topLeftCell="A3" activePane="bottomLeft" state="frozen"/>
      <selection activeCell="G32" sqref="G32"/>
      <selection pane="bottomLeft"/>
    </sheetView>
  </sheetViews>
  <sheetFormatPr defaultRowHeight="15"/>
  <cols>
    <col min="1" max="2" width="1.28515625" style="31" customWidth="1"/>
    <col min="3" max="5" width="8.140625" style="31" customWidth="1"/>
    <col min="6" max="6" width="44.5703125" style="31" bestFit="1" customWidth="1"/>
    <col min="7" max="7" width="35.42578125" style="31" customWidth="1"/>
    <col min="8" max="9" width="33.85546875" style="31" customWidth="1"/>
    <col min="10" max="10" width="12.85546875" style="31" bestFit="1" customWidth="1"/>
    <col min="11" max="11" width="26" style="31" bestFit="1" customWidth="1"/>
    <col min="12" max="12" width="26" style="31" customWidth="1"/>
    <col min="13" max="15" width="10.7109375" style="36" customWidth="1"/>
    <col min="16" max="16" width="10.85546875" style="38" bestFit="1" customWidth="1"/>
    <col min="17" max="17" width="10.85546875" style="31" bestFit="1" customWidth="1"/>
    <col min="18" max="18" width="18.5703125" style="31" bestFit="1" customWidth="1"/>
    <col min="19" max="19" width="34.140625" style="31" bestFit="1" customWidth="1"/>
    <col min="20" max="20" width="11.85546875" style="31" bestFit="1" customWidth="1"/>
    <col min="21" max="21" width="17.5703125" style="31" bestFit="1" customWidth="1"/>
    <col min="22" max="16384" width="9.140625" style="31"/>
  </cols>
  <sheetData>
    <row r="1" spans="2:21" ht="46.5" customHeight="1"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</row>
    <row r="2" spans="2:21" ht="21.75" customHeight="1">
      <c r="C2" s="34" t="s">
        <v>1</v>
      </c>
      <c r="D2" s="34" t="s">
        <v>25</v>
      </c>
      <c r="E2" s="34" t="s">
        <v>17</v>
      </c>
      <c r="F2" s="34" t="s">
        <v>32</v>
      </c>
      <c r="G2" s="34" t="s">
        <v>33</v>
      </c>
      <c r="H2" s="34" t="s">
        <v>2800</v>
      </c>
      <c r="I2" s="35" t="s">
        <v>59</v>
      </c>
      <c r="J2" s="35" t="s">
        <v>19</v>
      </c>
      <c r="K2" s="35" t="s">
        <v>34</v>
      </c>
      <c r="L2" s="34" t="s">
        <v>61</v>
      </c>
      <c r="M2" s="35" t="s">
        <v>35</v>
      </c>
      <c r="N2" s="35" t="s">
        <v>36</v>
      </c>
      <c r="O2" s="35" t="s">
        <v>37</v>
      </c>
      <c r="P2" s="35" t="s">
        <v>41</v>
      </c>
      <c r="Q2" s="35" t="s">
        <v>46</v>
      </c>
      <c r="R2" s="35" t="s">
        <v>60</v>
      </c>
      <c r="S2" s="35" t="s">
        <v>49</v>
      </c>
      <c r="T2" s="35" t="s">
        <v>3</v>
      </c>
      <c r="U2" s="35" t="s">
        <v>62</v>
      </c>
    </row>
    <row r="3" spans="2:21">
      <c r="B3" s="155"/>
      <c r="C3" s="155">
        <v>22053</v>
      </c>
      <c r="D3" s="43">
        <v>770454</v>
      </c>
      <c r="E3" s="43">
        <v>12408</v>
      </c>
      <c r="F3" s="43" t="s">
        <v>104</v>
      </c>
      <c r="G3" s="43" t="s">
        <v>412</v>
      </c>
      <c r="H3" s="43" t="s">
        <v>413</v>
      </c>
      <c r="I3" s="43" t="s">
        <v>775</v>
      </c>
      <c r="J3" s="43" t="s">
        <v>4</v>
      </c>
      <c r="K3" s="43" t="s">
        <v>392</v>
      </c>
      <c r="L3" s="43" t="s">
        <v>89</v>
      </c>
      <c r="M3" s="44">
        <v>0.33333333333333331</v>
      </c>
      <c r="N3" s="44">
        <v>0.67499999999999993</v>
      </c>
      <c r="O3" s="44">
        <v>0.34166666666666662</v>
      </c>
      <c r="P3" s="45">
        <v>41065</v>
      </c>
      <c r="Q3" s="45">
        <v>42590</v>
      </c>
      <c r="R3" s="45" t="s">
        <v>68</v>
      </c>
      <c r="S3" s="45" t="s">
        <v>439</v>
      </c>
      <c r="T3" s="31">
        <v>810000</v>
      </c>
      <c r="U3" s="31" t="s">
        <v>791</v>
      </c>
    </row>
    <row r="4" spans="2:21">
      <c r="B4" s="155"/>
      <c r="C4" s="155">
        <v>22947</v>
      </c>
      <c r="D4" s="43">
        <v>778945</v>
      </c>
      <c r="E4" s="43">
        <v>12650</v>
      </c>
      <c r="F4" s="43" t="s">
        <v>116</v>
      </c>
      <c r="G4" s="43" t="s">
        <v>412</v>
      </c>
      <c r="H4" s="43" t="s">
        <v>413</v>
      </c>
      <c r="I4" s="43" t="s">
        <v>775</v>
      </c>
      <c r="J4" s="43" t="s">
        <v>4</v>
      </c>
      <c r="K4" s="43" t="s">
        <v>392</v>
      </c>
      <c r="L4" s="43" t="s">
        <v>89</v>
      </c>
      <c r="M4" s="44">
        <v>0.40833333333333338</v>
      </c>
      <c r="N4" s="44">
        <v>0.75</v>
      </c>
      <c r="O4" s="44">
        <v>0.34166666666666662</v>
      </c>
      <c r="P4" s="45">
        <v>41155</v>
      </c>
      <c r="Q4" s="45">
        <v>42583</v>
      </c>
      <c r="R4" s="45" t="s">
        <v>68</v>
      </c>
      <c r="S4" s="45" t="s">
        <v>451</v>
      </c>
      <c r="T4" s="31">
        <v>810016</v>
      </c>
      <c r="U4" s="31" t="s">
        <v>803</v>
      </c>
    </row>
    <row r="5" spans="2:21">
      <c r="B5" s="155"/>
      <c r="C5" s="155">
        <v>18716</v>
      </c>
      <c r="D5" s="43">
        <v>740172</v>
      </c>
      <c r="E5" s="43">
        <v>12259</v>
      </c>
      <c r="F5" s="43" t="s">
        <v>91</v>
      </c>
      <c r="G5" s="43" t="s">
        <v>412</v>
      </c>
      <c r="H5" s="43" t="s">
        <v>413</v>
      </c>
      <c r="I5" s="43" t="s">
        <v>775</v>
      </c>
      <c r="J5" s="43" t="s">
        <v>4</v>
      </c>
      <c r="K5" s="43" t="s">
        <v>392</v>
      </c>
      <c r="L5" s="43" t="s">
        <v>89</v>
      </c>
      <c r="M5" s="44">
        <v>0.45</v>
      </c>
      <c r="N5" s="44">
        <v>0.79166666666666663</v>
      </c>
      <c r="O5" s="44">
        <v>0.34166666666666662</v>
      </c>
      <c r="P5" s="45">
        <v>40798</v>
      </c>
      <c r="Q5" s="45">
        <v>42646</v>
      </c>
      <c r="R5" s="45" t="s">
        <v>68</v>
      </c>
      <c r="S5" s="45" t="s">
        <v>426</v>
      </c>
      <c r="T5" s="31">
        <v>810020</v>
      </c>
      <c r="U5" s="31" t="s">
        <v>778</v>
      </c>
    </row>
    <row r="6" spans="2:21">
      <c r="B6" s="155"/>
      <c r="C6" s="155">
        <v>23412</v>
      </c>
      <c r="D6" s="43">
        <v>786543</v>
      </c>
      <c r="E6" s="43">
        <v>12320</v>
      </c>
      <c r="F6" s="43" t="s">
        <v>98</v>
      </c>
      <c r="G6" s="43" t="s">
        <v>412</v>
      </c>
      <c r="H6" s="43" t="s">
        <v>413</v>
      </c>
      <c r="I6" s="43" t="s">
        <v>775</v>
      </c>
      <c r="J6" s="43" t="s">
        <v>4</v>
      </c>
      <c r="K6" s="43" t="s">
        <v>392</v>
      </c>
      <c r="L6" s="43" t="s">
        <v>89</v>
      </c>
      <c r="M6" s="44">
        <v>0.4916666666666667</v>
      </c>
      <c r="N6" s="44">
        <v>0.83333333333333337</v>
      </c>
      <c r="O6" s="44">
        <v>0.34166666666666662</v>
      </c>
      <c r="P6" s="45">
        <v>41219</v>
      </c>
      <c r="Q6" s="45">
        <v>42590</v>
      </c>
      <c r="R6" s="45" t="s">
        <v>68</v>
      </c>
      <c r="S6" s="45" t="s">
        <v>433</v>
      </c>
      <c r="T6" s="31">
        <v>810028</v>
      </c>
      <c r="U6" s="31" t="s">
        <v>785</v>
      </c>
    </row>
    <row r="7" spans="2:21">
      <c r="B7" s="155"/>
      <c r="C7" s="155">
        <v>18202</v>
      </c>
      <c r="D7" s="43">
        <v>734526</v>
      </c>
      <c r="E7" s="43">
        <v>12477</v>
      </c>
      <c r="F7" s="43" t="s">
        <v>118</v>
      </c>
      <c r="G7" s="43" t="s">
        <v>412</v>
      </c>
      <c r="H7" s="43" t="s">
        <v>413</v>
      </c>
      <c r="I7" s="43" t="s">
        <v>775</v>
      </c>
      <c r="J7" s="43" t="s">
        <v>6</v>
      </c>
      <c r="K7" s="43" t="s">
        <v>392</v>
      </c>
      <c r="L7" s="43" t="s">
        <v>89</v>
      </c>
      <c r="M7" s="44">
        <v>0.54166666666666663</v>
      </c>
      <c r="N7" s="44">
        <v>0.80555555555555547</v>
      </c>
      <c r="O7" s="44">
        <v>0.2638888888888889</v>
      </c>
      <c r="P7" s="45">
        <v>40735</v>
      </c>
      <c r="Q7" s="45">
        <v>42583</v>
      </c>
      <c r="R7" s="45" t="s">
        <v>68</v>
      </c>
      <c r="S7" s="45" t="s">
        <v>453</v>
      </c>
      <c r="T7" s="31">
        <v>810022</v>
      </c>
      <c r="U7" s="31" t="s">
        <v>805</v>
      </c>
    </row>
    <row r="8" spans="2:21">
      <c r="B8" s="155"/>
      <c r="C8" s="155">
        <v>13396</v>
      </c>
      <c r="D8" s="43">
        <v>704136</v>
      </c>
      <c r="E8" s="43">
        <v>12480</v>
      </c>
      <c r="F8" s="43" t="s">
        <v>135</v>
      </c>
      <c r="G8" s="43" t="s">
        <v>411</v>
      </c>
      <c r="H8" s="43" t="s">
        <v>413</v>
      </c>
      <c r="I8" s="43" t="s">
        <v>775</v>
      </c>
      <c r="J8" s="43" t="s">
        <v>4</v>
      </c>
      <c r="K8" s="43" t="s">
        <v>394</v>
      </c>
      <c r="L8" s="43" t="s">
        <v>89</v>
      </c>
      <c r="M8" s="44">
        <v>0.33333333333333298</v>
      </c>
      <c r="N8" s="44">
        <v>0.70833333333333304</v>
      </c>
      <c r="O8" s="44">
        <v>0.375</v>
      </c>
      <c r="P8" s="45">
        <v>40399</v>
      </c>
      <c r="Q8" s="45">
        <v>42541</v>
      </c>
      <c r="R8" s="45" t="s">
        <v>68</v>
      </c>
      <c r="S8" s="45" t="s">
        <v>470</v>
      </c>
      <c r="T8" s="31" t="s">
        <v>2</v>
      </c>
      <c r="U8" s="31" t="s">
        <v>822</v>
      </c>
    </row>
    <row r="9" spans="2:21">
      <c r="B9" s="155"/>
      <c r="C9" s="155">
        <v>23288</v>
      </c>
      <c r="D9" s="43">
        <v>783902</v>
      </c>
      <c r="E9" s="43">
        <v>12754</v>
      </c>
      <c r="F9" s="43" t="s">
        <v>140</v>
      </c>
      <c r="G9" s="43" t="s">
        <v>411</v>
      </c>
      <c r="H9" s="43" t="s">
        <v>413</v>
      </c>
      <c r="I9" s="43" t="s">
        <v>775</v>
      </c>
      <c r="J9" s="43" t="s">
        <v>4</v>
      </c>
      <c r="K9" s="43" t="s">
        <v>394</v>
      </c>
      <c r="L9" s="43" t="s">
        <v>89</v>
      </c>
      <c r="M9" s="44">
        <v>0.33333333333333331</v>
      </c>
      <c r="N9" s="44">
        <v>0.70833333333333337</v>
      </c>
      <c r="O9" s="44">
        <v>0.375</v>
      </c>
      <c r="P9" s="45">
        <v>41199</v>
      </c>
      <c r="Q9" s="45">
        <v>42559</v>
      </c>
      <c r="R9" s="45" t="s">
        <v>68</v>
      </c>
      <c r="S9" s="45" t="s">
        <v>475</v>
      </c>
      <c r="T9" s="31" t="s">
        <v>2</v>
      </c>
      <c r="U9" s="31" t="s">
        <v>827</v>
      </c>
    </row>
    <row r="10" spans="2:21">
      <c r="B10" s="155"/>
      <c r="C10" s="155">
        <v>20732</v>
      </c>
      <c r="D10" s="43">
        <v>761487</v>
      </c>
      <c r="E10" s="43">
        <v>12553</v>
      </c>
      <c r="F10" s="43" t="s">
        <v>137</v>
      </c>
      <c r="G10" s="43" t="s">
        <v>411</v>
      </c>
      <c r="H10" s="43" t="s">
        <v>413</v>
      </c>
      <c r="I10" s="43" t="s">
        <v>775</v>
      </c>
      <c r="J10" s="43" t="s">
        <v>4</v>
      </c>
      <c r="K10" s="43" t="s">
        <v>394</v>
      </c>
      <c r="L10" s="43" t="s">
        <v>89</v>
      </c>
      <c r="M10" s="44">
        <v>0.33333333333333331</v>
      </c>
      <c r="N10" s="44">
        <v>0.70833333333333337</v>
      </c>
      <c r="O10" s="44">
        <v>0.375</v>
      </c>
      <c r="P10" s="45">
        <v>40952</v>
      </c>
      <c r="Q10" s="45">
        <v>42464</v>
      </c>
      <c r="R10" s="45" t="s">
        <v>68</v>
      </c>
      <c r="S10" s="45" t="s">
        <v>472</v>
      </c>
      <c r="T10" s="31" t="s">
        <v>2</v>
      </c>
      <c r="U10" s="31" t="s">
        <v>824</v>
      </c>
    </row>
    <row r="11" spans="2:21">
      <c r="B11" s="155"/>
      <c r="C11" s="155">
        <v>15491</v>
      </c>
      <c r="D11" s="43">
        <v>720610</v>
      </c>
      <c r="E11" s="43">
        <v>12430</v>
      </c>
      <c r="F11" s="43" t="s">
        <v>138</v>
      </c>
      <c r="G11" s="43" t="s">
        <v>411</v>
      </c>
      <c r="H11" s="43" t="s">
        <v>413</v>
      </c>
      <c r="I11" s="43" t="s">
        <v>775</v>
      </c>
      <c r="J11" s="43" t="s">
        <v>5</v>
      </c>
      <c r="K11" s="43" t="s">
        <v>394</v>
      </c>
      <c r="L11" s="43" t="s">
        <v>89</v>
      </c>
      <c r="M11" s="44">
        <v>0.33333333333333331</v>
      </c>
      <c r="N11" s="44">
        <v>0.67499999999999993</v>
      </c>
      <c r="O11" s="44">
        <v>0.34166666666666662</v>
      </c>
      <c r="P11" s="45">
        <v>40603</v>
      </c>
      <c r="Q11" s="45">
        <v>42719</v>
      </c>
      <c r="R11" s="45" t="s">
        <v>68</v>
      </c>
      <c r="S11" s="45" t="s">
        <v>473</v>
      </c>
      <c r="T11" s="31" t="s">
        <v>2</v>
      </c>
      <c r="U11" s="31" t="s">
        <v>825</v>
      </c>
    </row>
    <row r="12" spans="2:21">
      <c r="B12" s="155"/>
      <c r="C12" s="155">
        <v>12959</v>
      </c>
      <c r="D12" s="43">
        <v>699672</v>
      </c>
      <c r="E12" s="43">
        <v>12588</v>
      </c>
      <c r="F12" s="43" t="s">
        <v>142</v>
      </c>
      <c r="G12" s="43" t="s">
        <v>411</v>
      </c>
      <c r="H12" s="43" t="s">
        <v>413</v>
      </c>
      <c r="I12" s="43" t="s">
        <v>775</v>
      </c>
      <c r="J12" s="43" t="s">
        <v>4</v>
      </c>
      <c r="K12" s="43" t="s">
        <v>394</v>
      </c>
      <c r="L12" s="43" t="s">
        <v>89</v>
      </c>
      <c r="M12" s="44">
        <v>0.33333333333333331</v>
      </c>
      <c r="N12" s="44">
        <v>0.70833333333333337</v>
      </c>
      <c r="O12" s="44">
        <v>0.375</v>
      </c>
      <c r="P12" s="45">
        <v>40338</v>
      </c>
      <c r="Q12" s="45">
        <v>42410</v>
      </c>
      <c r="R12" s="45" t="s">
        <v>68</v>
      </c>
      <c r="S12" s="45" t="s">
        <v>477</v>
      </c>
      <c r="T12" s="31" t="s">
        <v>2</v>
      </c>
      <c r="U12" s="31" t="s">
        <v>829</v>
      </c>
    </row>
    <row r="13" spans="2:21">
      <c r="B13" s="155"/>
      <c r="C13" s="155">
        <v>28283</v>
      </c>
      <c r="D13" s="43">
        <v>839988</v>
      </c>
      <c r="E13" s="43">
        <v>12587</v>
      </c>
      <c r="F13" s="43" t="s">
        <v>378</v>
      </c>
      <c r="G13" s="43" t="s">
        <v>411</v>
      </c>
      <c r="H13" s="43" t="s">
        <v>413</v>
      </c>
      <c r="I13" s="43" t="s">
        <v>775</v>
      </c>
      <c r="J13" s="43" t="s">
        <v>4</v>
      </c>
      <c r="K13" s="43" t="s">
        <v>394</v>
      </c>
      <c r="L13" s="43" t="s">
        <v>89</v>
      </c>
      <c r="M13" s="44">
        <v>0.33333333333333331</v>
      </c>
      <c r="N13" s="44">
        <v>0.67499999999999993</v>
      </c>
      <c r="O13" s="44">
        <v>0.34166666666666662</v>
      </c>
      <c r="P13" s="45">
        <v>41765</v>
      </c>
      <c r="Q13" s="45">
        <v>42597</v>
      </c>
      <c r="R13" s="45" t="s">
        <v>68</v>
      </c>
      <c r="S13" s="45" t="s">
        <v>703</v>
      </c>
      <c r="T13" s="31" t="s">
        <v>2</v>
      </c>
      <c r="U13" s="31" t="s">
        <v>1052</v>
      </c>
    </row>
    <row r="14" spans="2:21">
      <c r="B14" s="155"/>
      <c r="C14" s="155">
        <v>29317</v>
      </c>
      <c r="D14" s="43">
        <v>858695</v>
      </c>
      <c r="E14" s="43">
        <v>12338</v>
      </c>
      <c r="F14" s="43" t="s">
        <v>139</v>
      </c>
      <c r="G14" s="43" t="s">
        <v>411</v>
      </c>
      <c r="H14" s="43" t="s">
        <v>413</v>
      </c>
      <c r="I14" s="43" t="s">
        <v>775</v>
      </c>
      <c r="J14" s="43" t="s">
        <v>4</v>
      </c>
      <c r="K14" s="43" t="s">
        <v>394</v>
      </c>
      <c r="L14" s="43" t="s">
        <v>89</v>
      </c>
      <c r="M14" s="44">
        <v>0.33333333333333331</v>
      </c>
      <c r="N14" s="44">
        <v>0.67499999999999993</v>
      </c>
      <c r="O14" s="44">
        <v>0.34166666666666662</v>
      </c>
      <c r="P14" s="45">
        <v>41918</v>
      </c>
      <c r="Q14" s="45" t="s">
        <v>2</v>
      </c>
      <c r="R14" s="45" t="s">
        <v>68</v>
      </c>
      <c r="S14" s="45" t="s">
        <v>474</v>
      </c>
      <c r="T14" s="31" t="s">
        <v>2</v>
      </c>
      <c r="U14" s="31" t="s">
        <v>826</v>
      </c>
    </row>
    <row r="15" spans="2:21">
      <c r="B15" s="155"/>
      <c r="C15" s="155">
        <v>30465</v>
      </c>
      <c r="D15" s="43">
        <v>876678</v>
      </c>
      <c r="E15" s="43">
        <v>12812</v>
      </c>
      <c r="F15" s="43" t="s">
        <v>244</v>
      </c>
      <c r="G15" s="43" t="s">
        <v>411</v>
      </c>
      <c r="H15" s="43" t="s">
        <v>413</v>
      </c>
      <c r="I15" s="43" t="s">
        <v>775</v>
      </c>
      <c r="J15" s="43" t="s">
        <v>4</v>
      </c>
      <c r="K15" s="43" t="s">
        <v>394</v>
      </c>
      <c r="L15" s="43" t="s">
        <v>89</v>
      </c>
      <c r="M15" s="44">
        <v>0.375</v>
      </c>
      <c r="N15" s="44">
        <v>0.71666666666666667</v>
      </c>
      <c r="O15" s="44">
        <v>0.34166666666666662</v>
      </c>
      <c r="P15" s="45">
        <v>42079</v>
      </c>
      <c r="Q15" s="45">
        <v>42586</v>
      </c>
      <c r="R15" s="45" t="s">
        <v>68</v>
      </c>
      <c r="S15" s="45" t="s">
        <v>576</v>
      </c>
      <c r="T15" s="31" t="s">
        <v>2</v>
      </c>
      <c r="U15" s="31" t="s">
        <v>927</v>
      </c>
    </row>
    <row r="16" spans="2:21">
      <c r="B16" s="155"/>
      <c r="C16" s="155">
        <v>27124</v>
      </c>
      <c r="D16" s="43">
        <v>826341</v>
      </c>
      <c r="E16" s="43">
        <v>12974</v>
      </c>
      <c r="F16" s="43" t="s">
        <v>136</v>
      </c>
      <c r="G16" s="43" t="s">
        <v>411</v>
      </c>
      <c r="H16" s="43" t="s">
        <v>413</v>
      </c>
      <c r="I16" s="43" t="s">
        <v>775</v>
      </c>
      <c r="J16" s="43" t="s">
        <v>4</v>
      </c>
      <c r="K16" s="43" t="s">
        <v>394</v>
      </c>
      <c r="L16" s="43" t="s">
        <v>89</v>
      </c>
      <c r="M16" s="44">
        <v>0.375</v>
      </c>
      <c r="N16" s="44">
        <v>0.75</v>
      </c>
      <c r="O16" s="44">
        <v>0.375</v>
      </c>
      <c r="P16" s="45">
        <v>41610</v>
      </c>
      <c r="Q16" s="45" t="s">
        <v>2</v>
      </c>
      <c r="R16" s="45" t="s">
        <v>68</v>
      </c>
      <c r="S16" s="45" t="s">
        <v>471</v>
      </c>
      <c r="T16" s="31" t="s">
        <v>2</v>
      </c>
      <c r="U16" s="31" t="s">
        <v>823</v>
      </c>
    </row>
    <row r="17" spans="2:21">
      <c r="B17" s="155"/>
      <c r="C17" s="155">
        <v>16940</v>
      </c>
      <c r="D17" s="43">
        <v>727327</v>
      </c>
      <c r="E17" s="43">
        <v>17059</v>
      </c>
      <c r="F17" s="43" t="s">
        <v>144</v>
      </c>
      <c r="G17" s="43" t="s">
        <v>411</v>
      </c>
      <c r="H17" s="43" t="s">
        <v>413</v>
      </c>
      <c r="I17" s="43" t="s">
        <v>775</v>
      </c>
      <c r="J17" s="43" t="s">
        <v>4</v>
      </c>
      <c r="K17" s="43" t="s">
        <v>394</v>
      </c>
      <c r="L17" s="43" t="s">
        <v>89</v>
      </c>
      <c r="M17" s="44">
        <v>0.375</v>
      </c>
      <c r="N17" s="44">
        <v>0.71666666666666656</v>
      </c>
      <c r="O17" s="44">
        <v>0.34166666666666662</v>
      </c>
      <c r="P17" s="45">
        <v>40665</v>
      </c>
      <c r="Q17" s="45">
        <v>42716</v>
      </c>
      <c r="R17" s="45" t="s">
        <v>68</v>
      </c>
      <c r="S17" s="45" t="s">
        <v>479</v>
      </c>
      <c r="T17" s="31" t="s">
        <v>2</v>
      </c>
      <c r="U17" s="31" t="s">
        <v>831</v>
      </c>
    </row>
    <row r="18" spans="2:21">
      <c r="B18" s="155"/>
      <c r="C18" s="155">
        <v>27398</v>
      </c>
      <c r="D18" s="43">
        <v>829343</v>
      </c>
      <c r="E18" s="43">
        <v>12591</v>
      </c>
      <c r="F18" s="43" t="s">
        <v>147</v>
      </c>
      <c r="G18" s="43" t="s">
        <v>411</v>
      </c>
      <c r="H18" s="43" t="s">
        <v>413</v>
      </c>
      <c r="I18" s="43" t="s">
        <v>775</v>
      </c>
      <c r="J18" s="43" t="s">
        <v>4</v>
      </c>
      <c r="K18" s="43" t="s">
        <v>394</v>
      </c>
      <c r="L18" s="43" t="s">
        <v>89</v>
      </c>
      <c r="M18" s="44">
        <v>0.39583333333333331</v>
      </c>
      <c r="N18" s="44">
        <v>0.73749999999999993</v>
      </c>
      <c r="O18" s="44">
        <v>0.34166666666666662</v>
      </c>
      <c r="P18" s="45">
        <v>41655</v>
      </c>
      <c r="Q18" s="45">
        <v>42705</v>
      </c>
      <c r="R18" s="45" t="s">
        <v>68</v>
      </c>
      <c r="S18" s="45" t="s">
        <v>482</v>
      </c>
      <c r="T18" s="31" t="s">
        <v>2</v>
      </c>
      <c r="U18" s="31" t="s">
        <v>834</v>
      </c>
    </row>
    <row r="19" spans="2:21">
      <c r="B19" s="155"/>
      <c r="C19" s="155">
        <v>27208</v>
      </c>
      <c r="D19" s="43">
        <v>827433</v>
      </c>
      <c r="E19" s="43">
        <v>12697</v>
      </c>
      <c r="F19" s="43" t="s">
        <v>146</v>
      </c>
      <c r="G19" s="43" t="s">
        <v>411</v>
      </c>
      <c r="H19" s="43" t="s">
        <v>413</v>
      </c>
      <c r="I19" s="43" t="s">
        <v>775</v>
      </c>
      <c r="J19" s="43" t="s">
        <v>9</v>
      </c>
      <c r="K19" s="43" t="s">
        <v>394</v>
      </c>
      <c r="L19" s="43" t="s">
        <v>89</v>
      </c>
      <c r="M19" s="44">
        <v>0.39583333333333331</v>
      </c>
      <c r="N19" s="44">
        <v>0.73749999999999993</v>
      </c>
      <c r="O19" s="44">
        <v>0.34166666666666662</v>
      </c>
      <c r="P19" s="45">
        <v>41620</v>
      </c>
      <c r="Q19" s="45">
        <v>42402</v>
      </c>
      <c r="R19" s="45" t="s">
        <v>68</v>
      </c>
      <c r="S19" s="45" t="s">
        <v>481</v>
      </c>
      <c r="T19" s="31" t="s">
        <v>2</v>
      </c>
      <c r="U19" s="31" t="s">
        <v>833</v>
      </c>
    </row>
    <row r="20" spans="2:21">
      <c r="B20" s="155"/>
      <c r="C20" s="155">
        <v>25803</v>
      </c>
      <c r="D20" s="43">
        <v>810620</v>
      </c>
      <c r="E20" s="43">
        <v>12292</v>
      </c>
      <c r="F20" s="43" t="s">
        <v>149</v>
      </c>
      <c r="G20" s="43" t="s">
        <v>411</v>
      </c>
      <c r="H20" s="43" t="s">
        <v>413</v>
      </c>
      <c r="I20" s="43" t="s">
        <v>775</v>
      </c>
      <c r="J20" s="43" t="s">
        <v>4</v>
      </c>
      <c r="K20" s="43" t="s">
        <v>394</v>
      </c>
      <c r="L20" s="43" t="s">
        <v>89</v>
      </c>
      <c r="M20" s="44">
        <v>0.39583333333333331</v>
      </c>
      <c r="N20" s="44">
        <v>0.73750000000000004</v>
      </c>
      <c r="O20" s="44">
        <v>0.34166666666666662</v>
      </c>
      <c r="P20" s="45">
        <v>41459</v>
      </c>
      <c r="Q20" s="45">
        <v>42508</v>
      </c>
      <c r="R20" s="45" t="s">
        <v>68</v>
      </c>
      <c r="S20" s="45" t="s">
        <v>483</v>
      </c>
      <c r="T20" s="31" t="s">
        <v>2</v>
      </c>
      <c r="U20" s="31" t="s">
        <v>836</v>
      </c>
    </row>
    <row r="21" spans="2:21">
      <c r="B21" s="155"/>
      <c r="C21" s="155">
        <v>28116</v>
      </c>
      <c r="D21" s="43">
        <v>836318</v>
      </c>
      <c r="E21" s="43">
        <v>12665</v>
      </c>
      <c r="F21" s="43" t="s">
        <v>154</v>
      </c>
      <c r="G21" s="43" t="s">
        <v>412</v>
      </c>
      <c r="H21" s="43" t="s">
        <v>413</v>
      </c>
      <c r="I21" s="43" t="s">
        <v>775</v>
      </c>
      <c r="J21" s="43" t="s">
        <v>5</v>
      </c>
      <c r="K21" s="43" t="s">
        <v>395</v>
      </c>
      <c r="L21" s="43" t="s">
        <v>89</v>
      </c>
      <c r="M21" s="44">
        <v>0.375</v>
      </c>
      <c r="N21" s="44">
        <v>0.63888888888888884</v>
      </c>
      <c r="O21" s="44">
        <v>0.2638888888888889</v>
      </c>
      <c r="P21" s="45">
        <v>41731</v>
      </c>
      <c r="Q21" s="45">
        <v>42716</v>
      </c>
      <c r="R21" s="45" t="s">
        <v>68</v>
      </c>
      <c r="S21" s="45" t="s">
        <v>488</v>
      </c>
      <c r="T21" s="31" t="s">
        <v>2</v>
      </c>
      <c r="U21" s="31" t="s">
        <v>841</v>
      </c>
    </row>
    <row r="22" spans="2:21">
      <c r="B22" s="155"/>
      <c r="C22" s="155">
        <v>30475</v>
      </c>
      <c r="D22" s="43">
        <v>876688</v>
      </c>
      <c r="E22" s="43">
        <v>17002</v>
      </c>
      <c r="F22" s="43" t="s">
        <v>165</v>
      </c>
      <c r="G22" s="43" t="s">
        <v>412</v>
      </c>
      <c r="H22" s="43" t="s">
        <v>413</v>
      </c>
      <c r="I22" s="43" t="s">
        <v>775</v>
      </c>
      <c r="J22" s="43" t="s">
        <v>4</v>
      </c>
      <c r="K22" s="43" t="s">
        <v>395</v>
      </c>
      <c r="L22" s="43" t="s">
        <v>89</v>
      </c>
      <c r="M22" s="44">
        <v>0.40277777777777773</v>
      </c>
      <c r="N22" s="44">
        <v>0.66666666666666663</v>
      </c>
      <c r="O22" s="44">
        <v>0.2638888888888889</v>
      </c>
      <c r="P22" s="45">
        <v>42079</v>
      </c>
      <c r="Q22" s="45">
        <v>42589</v>
      </c>
      <c r="R22" s="45" t="s">
        <v>68</v>
      </c>
      <c r="S22" s="45" t="s">
        <v>499</v>
      </c>
      <c r="T22" s="31" t="s">
        <v>2</v>
      </c>
      <c r="U22" s="31" t="s">
        <v>851</v>
      </c>
    </row>
    <row r="23" spans="2:21">
      <c r="B23" s="155"/>
      <c r="C23" s="155">
        <v>27197</v>
      </c>
      <c r="D23" s="43">
        <v>827422</v>
      </c>
      <c r="E23" s="43">
        <v>12644</v>
      </c>
      <c r="F23" s="43" t="s">
        <v>215</v>
      </c>
      <c r="G23" s="43" t="s">
        <v>412</v>
      </c>
      <c r="H23" s="43" t="s">
        <v>413</v>
      </c>
      <c r="I23" s="43" t="s">
        <v>775</v>
      </c>
      <c r="J23" s="43" t="s">
        <v>4</v>
      </c>
      <c r="K23" s="43" t="s">
        <v>395</v>
      </c>
      <c r="L23" s="43" t="s">
        <v>89</v>
      </c>
      <c r="M23" s="44">
        <v>0.40277777777777773</v>
      </c>
      <c r="N23" s="44">
        <v>0.66666666666666663</v>
      </c>
      <c r="O23" s="44">
        <v>0.2638888888888889</v>
      </c>
      <c r="P23" s="45">
        <v>41620</v>
      </c>
      <c r="Q23" s="45">
        <v>42464</v>
      </c>
      <c r="R23" s="45" t="s">
        <v>68</v>
      </c>
      <c r="S23" s="45" t="s">
        <v>548</v>
      </c>
      <c r="T23" s="31" t="s">
        <v>2</v>
      </c>
      <c r="U23" s="31" t="s">
        <v>898</v>
      </c>
    </row>
    <row r="24" spans="2:21">
      <c r="B24" s="155"/>
      <c r="C24" s="155">
        <v>31191</v>
      </c>
      <c r="D24" s="43">
        <v>897566</v>
      </c>
      <c r="E24" s="43">
        <v>12012</v>
      </c>
      <c r="F24" s="43" t="s">
        <v>2335</v>
      </c>
      <c r="G24" s="43" t="s">
        <v>412</v>
      </c>
      <c r="H24" s="43" t="s">
        <v>413</v>
      </c>
      <c r="I24" s="43" t="s">
        <v>775</v>
      </c>
      <c r="J24" s="43" t="s">
        <v>4</v>
      </c>
      <c r="K24" s="43" t="s">
        <v>395</v>
      </c>
      <c r="L24" s="43" t="s">
        <v>89</v>
      </c>
      <c r="M24" s="44">
        <v>0.40277777777777773</v>
      </c>
      <c r="N24" s="44">
        <v>0.66666666666666663</v>
      </c>
      <c r="O24" s="44">
        <v>0.2638888888888889</v>
      </c>
      <c r="P24" s="45">
        <v>42256</v>
      </c>
      <c r="Q24" s="45">
        <v>42646</v>
      </c>
      <c r="R24" s="45" t="s">
        <v>68</v>
      </c>
      <c r="S24" s="45" t="s">
        <v>2358</v>
      </c>
      <c r="T24" s="31" t="s">
        <v>2</v>
      </c>
      <c r="U24" s="31" t="s">
        <v>2374</v>
      </c>
    </row>
    <row r="25" spans="2:21">
      <c r="B25" s="155"/>
      <c r="C25" s="155">
        <v>22161</v>
      </c>
      <c r="D25" s="43">
        <v>770988</v>
      </c>
      <c r="E25" s="43">
        <v>12545</v>
      </c>
      <c r="F25" s="43" t="s">
        <v>160</v>
      </c>
      <c r="G25" s="43" t="s">
        <v>412</v>
      </c>
      <c r="H25" s="43" t="s">
        <v>413</v>
      </c>
      <c r="I25" s="43" t="s">
        <v>775</v>
      </c>
      <c r="J25" s="43" t="s">
        <v>4</v>
      </c>
      <c r="K25" s="43" t="s">
        <v>395</v>
      </c>
      <c r="L25" s="43" t="s">
        <v>89</v>
      </c>
      <c r="M25" s="44">
        <v>0.40277777777777773</v>
      </c>
      <c r="N25" s="44">
        <v>0.66666666666666663</v>
      </c>
      <c r="O25" s="44">
        <v>0.2638888888888889</v>
      </c>
      <c r="P25" s="45">
        <v>41075</v>
      </c>
      <c r="Q25" s="45">
        <v>42646</v>
      </c>
      <c r="R25" s="45" t="s">
        <v>68</v>
      </c>
      <c r="S25" s="45" t="s">
        <v>494</v>
      </c>
      <c r="T25" s="31" t="s">
        <v>2</v>
      </c>
      <c r="U25" s="31" t="s">
        <v>846</v>
      </c>
    </row>
    <row r="26" spans="2:21">
      <c r="B26" s="155"/>
      <c r="C26" s="155">
        <v>27230</v>
      </c>
      <c r="D26" s="43">
        <v>827455</v>
      </c>
      <c r="E26" s="43">
        <v>12415</v>
      </c>
      <c r="F26" s="43" t="s">
        <v>174</v>
      </c>
      <c r="G26" s="43" t="s">
        <v>412</v>
      </c>
      <c r="H26" s="43" t="s">
        <v>413</v>
      </c>
      <c r="I26" s="43" t="s">
        <v>775</v>
      </c>
      <c r="J26" s="43" t="s">
        <v>4</v>
      </c>
      <c r="K26" s="43" t="s">
        <v>2853</v>
      </c>
      <c r="L26" s="43" t="s">
        <v>89</v>
      </c>
      <c r="M26" s="44">
        <v>0.375</v>
      </c>
      <c r="N26" s="44">
        <v>0.71666666666666656</v>
      </c>
      <c r="O26" s="44">
        <v>0.34166666666666662</v>
      </c>
      <c r="P26" s="45">
        <v>41620</v>
      </c>
      <c r="Q26" s="45">
        <v>42401</v>
      </c>
      <c r="R26" s="45" t="s">
        <v>68</v>
      </c>
      <c r="S26" s="45" t="s">
        <v>507</v>
      </c>
      <c r="T26" s="31" t="s">
        <v>2</v>
      </c>
      <c r="U26" s="31" t="s">
        <v>859</v>
      </c>
    </row>
    <row r="27" spans="2:21">
      <c r="B27" s="155"/>
      <c r="C27" s="155">
        <v>26049</v>
      </c>
      <c r="D27" s="43">
        <v>813622</v>
      </c>
      <c r="E27" s="43">
        <v>12406</v>
      </c>
      <c r="F27" s="43" t="s">
        <v>182</v>
      </c>
      <c r="G27" s="43" t="s">
        <v>412</v>
      </c>
      <c r="H27" s="43" t="s">
        <v>413</v>
      </c>
      <c r="I27" s="43" t="s">
        <v>775</v>
      </c>
      <c r="J27" s="43" t="s">
        <v>4</v>
      </c>
      <c r="K27" s="43" t="s">
        <v>2853</v>
      </c>
      <c r="L27" s="43" t="s">
        <v>89</v>
      </c>
      <c r="M27" s="44">
        <v>0.45</v>
      </c>
      <c r="N27" s="44">
        <v>0.79166666666666663</v>
      </c>
      <c r="O27" s="44">
        <v>0.34166666666666662</v>
      </c>
      <c r="P27" s="45">
        <v>41494</v>
      </c>
      <c r="Q27" s="45">
        <v>42648</v>
      </c>
      <c r="R27" s="45" t="s">
        <v>68</v>
      </c>
      <c r="S27" s="45" t="s">
        <v>516</v>
      </c>
      <c r="T27" s="31">
        <v>810156</v>
      </c>
      <c r="U27" s="31" t="s">
        <v>868</v>
      </c>
    </row>
    <row r="28" spans="2:21">
      <c r="B28" s="155"/>
      <c r="C28" s="155">
        <v>30448</v>
      </c>
      <c r="D28" s="43">
        <v>876653</v>
      </c>
      <c r="E28" s="43">
        <v>12544</v>
      </c>
      <c r="F28" s="43" t="s">
        <v>214</v>
      </c>
      <c r="G28" s="43" t="s">
        <v>416</v>
      </c>
      <c r="H28" s="43" t="s">
        <v>414</v>
      </c>
      <c r="I28" s="43" t="s">
        <v>775</v>
      </c>
      <c r="J28" s="43" t="s">
        <v>4</v>
      </c>
      <c r="K28" s="43" t="s">
        <v>396</v>
      </c>
      <c r="L28" s="43" t="s">
        <v>89</v>
      </c>
      <c r="M28" s="44">
        <v>0.375</v>
      </c>
      <c r="N28" s="44">
        <v>0.71666666666666667</v>
      </c>
      <c r="O28" s="44">
        <v>0.34166666666666662</v>
      </c>
      <c r="P28" s="45">
        <v>42079</v>
      </c>
      <c r="Q28" s="45">
        <v>42552</v>
      </c>
      <c r="R28" s="45" t="s">
        <v>68</v>
      </c>
      <c r="S28" s="45" t="s">
        <v>547</v>
      </c>
      <c r="T28" s="31" t="s">
        <v>2</v>
      </c>
      <c r="U28" s="31" t="s">
        <v>897</v>
      </c>
    </row>
    <row r="29" spans="2:21">
      <c r="B29" s="155"/>
      <c r="C29" s="155">
        <v>31392</v>
      </c>
      <c r="D29" s="43">
        <v>909805</v>
      </c>
      <c r="E29" s="43">
        <v>12278</v>
      </c>
      <c r="F29" s="43" t="s">
        <v>2422</v>
      </c>
      <c r="G29" s="43" t="s">
        <v>418</v>
      </c>
      <c r="H29" s="43" t="s">
        <v>414</v>
      </c>
      <c r="I29" s="43" t="s">
        <v>775</v>
      </c>
      <c r="J29" s="43" t="s">
        <v>4</v>
      </c>
      <c r="K29" s="43" t="s">
        <v>396</v>
      </c>
      <c r="L29" s="43" t="s">
        <v>89</v>
      </c>
      <c r="M29" s="44">
        <v>0.375</v>
      </c>
      <c r="N29" s="44">
        <v>0.71666666666666667</v>
      </c>
      <c r="O29" s="44">
        <v>0.34166666666666662</v>
      </c>
      <c r="P29" s="45">
        <v>42340</v>
      </c>
      <c r="Q29" s="45">
        <v>42709</v>
      </c>
      <c r="R29" s="45" t="s">
        <v>68</v>
      </c>
      <c r="S29" s="45" t="s">
        <v>2456</v>
      </c>
      <c r="T29" s="31">
        <v>24220</v>
      </c>
      <c r="U29" s="31" t="s">
        <v>2432</v>
      </c>
    </row>
    <row r="30" spans="2:21">
      <c r="B30" s="155"/>
      <c r="C30" s="155">
        <v>31437</v>
      </c>
      <c r="D30" s="43">
        <v>911888</v>
      </c>
      <c r="E30" s="43">
        <v>17105</v>
      </c>
      <c r="F30" s="43" t="s">
        <v>2643</v>
      </c>
      <c r="G30" s="43" t="s">
        <v>414</v>
      </c>
      <c r="H30" s="43" t="s">
        <v>414</v>
      </c>
      <c r="I30" s="43" t="s">
        <v>775</v>
      </c>
      <c r="J30" s="43" t="s">
        <v>4</v>
      </c>
      <c r="K30" s="43" t="s">
        <v>396</v>
      </c>
      <c r="L30" s="43" t="s">
        <v>89</v>
      </c>
      <c r="M30" s="44">
        <v>0.41666666666666669</v>
      </c>
      <c r="N30" s="44">
        <v>0.7583333333333333</v>
      </c>
      <c r="O30" s="44">
        <v>0.34166666666666662</v>
      </c>
      <c r="P30" s="45">
        <v>42373</v>
      </c>
      <c r="Q30" s="45">
        <v>42685</v>
      </c>
      <c r="R30" s="45" t="s">
        <v>68</v>
      </c>
      <c r="S30" s="45" t="s">
        <v>2659</v>
      </c>
      <c r="T30" s="31">
        <v>810409</v>
      </c>
      <c r="U30" s="31" t="s">
        <v>2652</v>
      </c>
    </row>
    <row r="31" spans="2:21">
      <c r="B31" s="155"/>
      <c r="C31" s="155">
        <v>30190</v>
      </c>
      <c r="D31" s="43">
        <v>873196</v>
      </c>
      <c r="E31" s="43">
        <v>12301</v>
      </c>
      <c r="F31" s="43" t="s">
        <v>327</v>
      </c>
      <c r="G31" s="43" t="s">
        <v>420</v>
      </c>
      <c r="H31" s="43" t="s">
        <v>414</v>
      </c>
      <c r="I31" s="43" t="s">
        <v>775</v>
      </c>
      <c r="J31" s="43" t="s">
        <v>4</v>
      </c>
      <c r="K31" s="43" t="s">
        <v>396</v>
      </c>
      <c r="L31" s="43" t="s">
        <v>89</v>
      </c>
      <c r="M31" s="44">
        <v>0.5</v>
      </c>
      <c r="N31" s="44">
        <v>0.875</v>
      </c>
      <c r="O31" s="44">
        <v>0.375</v>
      </c>
      <c r="P31" s="45">
        <v>42044</v>
      </c>
      <c r="Q31" s="45">
        <v>42709</v>
      </c>
      <c r="R31" s="45" t="s">
        <v>68</v>
      </c>
      <c r="S31" s="45" t="s">
        <v>654</v>
      </c>
      <c r="T31" s="31">
        <v>810254</v>
      </c>
      <c r="U31" s="31" t="s">
        <v>1005</v>
      </c>
    </row>
    <row r="32" spans="2:21">
      <c r="B32" s="155"/>
      <c r="C32" s="155">
        <v>29866</v>
      </c>
      <c r="D32" s="43">
        <v>868182</v>
      </c>
      <c r="E32" s="43">
        <v>12694</v>
      </c>
      <c r="F32" s="43" t="s">
        <v>314</v>
      </c>
      <c r="G32" s="43" t="s">
        <v>417</v>
      </c>
      <c r="H32" s="43" t="s">
        <v>414</v>
      </c>
      <c r="I32" s="43" t="s">
        <v>775</v>
      </c>
      <c r="J32" s="43" t="s">
        <v>4</v>
      </c>
      <c r="K32" s="43" t="s">
        <v>396</v>
      </c>
      <c r="L32" s="43" t="s">
        <v>89</v>
      </c>
      <c r="M32" s="44">
        <v>0.53333333333333333</v>
      </c>
      <c r="N32" s="44">
        <v>0.875</v>
      </c>
      <c r="O32" s="44">
        <v>0.34166666666666662</v>
      </c>
      <c r="P32" s="45">
        <v>41983</v>
      </c>
      <c r="Q32" s="45">
        <v>42682</v>
      </c>
      <c r="R32" s="45" t="s">
        <v>68</v>
      </c>
      <c r="S32" s="45" t="s">
        <v>641</v>
      </c>
      <c r="T32" s="31">
        <v>810258</v>
      </c>
      <c r="U32" s="31" t="s">
        <v>992</v>
      </c>
    </row>
    <row r="33" spans="2:21">
      <c r="B33" s="155"/>
      <c r="C33" s="155">
        <v>31202</v>
      </c>
      <c r="D33" s="43">
        <v>897652</v>
      </c>
      <c r="E33" s="43">
        <v>17162</v>
      </c>
      <c r="F33" s="43" t="s">
        <v>2341</v>
      </c>
      <c r="G33" s="43" t="s">
        <v>420</v>
      </c>
      <c r="H33" s="43" t="s">
        <v>414</v>
      </c>
      <c r="I33" s="43" t="s">
        <v>775</v>
      </c>
      <c r="J33" s="43" t="s">
        <v>4</v>
      </c>
      <c r="K33" s="43" t="s">
        <v>396</v>
      </c>
      <c r="L33" s="43" t="s">
        <v>89</v>
      </c>
      <c r="M33" s="44">
        <v>0.57500000000000007</v>
      </c>
      <c r="N33" s="44">
        <v>0.91666666666666663</v>
      </c>
      <c r="O33" s="44">
        <v>0.34166666666666662</v>
      </c>
      <c r="P33" s="45">
        <v>42256</v>
      </c>
      <c r="Q33" s="45">
        <v>42705</v>
      </c>
      <c r="R33" s="45" t="s">
        <v>68</v>
      </c>
      <c r="S33" s="45" t="s">
        <v>2360</v>
      </c>
      <c r="T33" s="31">
        <v>23699</v>
      </c>
      <c r="U33" s="31" t="s">
        <v>2377</v>
      </c>
    </row>
    <row r="34" spans="2:21">
      <c r="B34" s="155"/>
      <c r="C34" s="155">
        <v>31394</v>
      </c>
      <c r="D34" s="43">
        <v>909807</v>
      </c>
      <c r="E34" s="43">
        <v>12275</v>
      </c>
      <c r="F34" s="43" t="s">
        <v>2406</v>
      </c>
      <c r="G34" s="43" t="s">
        <v>416</v>
      </c>
      <c r="H34" s="43" t="s">
        <v>414</v>
      </c>
      <c r="I34" s="43" t="s">
        <v>775</v>
      </c>
      <c r="J34" s="43" t="s">
        <v>4</v>
      </c>
      <c r="K34" s="43" t="s">
        <v>398</v>
      </c>
      <c r="L34" s="43" t="s">
        <v>89</v>
      </c>
      <c r="M34" s="44">
        <v>0.33333333333333331</v>
      </c>
      <c r="N34" s="44">
        <v>0.59722222222222221</v>
      </c>
      <c r="O34" s="44">
        <v>0.2638888888888889</v>
      </c>
      <c r="P34" s="45">
        <v>42340</v>
      </c>
      <c r="Q34" s="45" t="s">
        <v>2</v>
      </c>
      <c r="R34" s="45" t="s">
        <v>68</v>
      </c>
      <c r="S34" s="45" t="s">
        <v>2453</v>
      </c>
      <c r="T34" s="31">
        <v>24202</v>
      </c>
      <c r="U34" s="31" t="s">
        <v>2429</v>
      </c>
    </row>
    <row r="35" spans="2:21">
      <c r="B35" s="155"/>
      <c r="C35" s="155">
        <v>31056</v>
      </c>
      <c r="D35" s="43">
        <v>893771</v>
      </c>
      <c r="E35" s="43">
        <v>17097</v>
      </c>
      <c r="F35" s="43" t="s">
        <v>2256</v>
      </c>
      <c r="G35" s="43" t="s">
        <v>416</v>
      </c>
      <c r="H35" s="43" t="s">
        <v>414</v>
      </c>
      <c r="I35" s="43" t="s">
        <v>775</v>
      </c>
      <c r="J35" s="43" t="s">
        <v>4</v>
      </c>
      <c r="K35" s="43" t="s">
        <v>398</v>
      </c>
      <c r="L35" s="43" t="s">
        <v>89</v>
      </c>
      <c r="M35" s="44">
        <v>0.33333333333333331</v>
      </c>
      <c r="N35" s="44">
        <v>0.59722222222222221</v>
      </c>
      <c r="O35" s="44">
        <v>0.2638888888888889</v>
      </c>
      <c r="P35" s="45">
        <v>42227</v>
      </c>
      <c r="Q35" s="45">
        <v>42662</v>
      </c>
      <c r="R35" s="45" t="s">
        <v>68</v>
      </c>
      <c r="S35" s="45" t="s">
        <v>2293</v>
      </c>
      <c r="T35" s="31">
        <v>23469</v>
      </c>
      <c r="U35" s="31" t="s">
        <v>2276</v>
      </c>
    </row>
    <row r="36" spans="2:21">
      <c r="B36" s="155"/>
      <c r="C36" s="155">
        <v>30175</v>
      </c>
      <c r="D36" s="43">
        <v>873180</v>
      </c>
      <c r="E36" s="43">
        <v>17047</v>
      </c>
      <c r="F36" s="43" t="s">
        <v>248</v>
      </c>
      <c r="G36" s="43" t="s">
        <v>416</v>
      </c>
      <c r="H36" s="43" t="s">
        <v>414</v>
      </c>
      <c r="I36" s="43" t="s">
        <v>775</v>
      </c>
      <c r="J36" s="43" t="s">
        <v>4</v>
      </c>
      <c r="K36" s="43" t="s">
        <v>398</v>
      </c>
      <c r="L36" s="43" t="s">
        <v>89</v>
      </c>
      <c r="M36" s="44">
        <v>0.33333333333333331</v>
      </c>
      <c r="N36" s="44">
        <v>0.59722222222222221</v>
      </c>
      <c r="O36" s="44">
        <v>0.2638888888888889</v>
      </c>
      <c r="P36" s="45">
        <v>42044</v>
      </c>
      <c r="Q36" s="45">
        <v>42655</v>
      </c>
      <c r="R36" s="45" t="s">
        <v>68</v>
      </c>
      <c r="S36" s="45" t="s">
        <v>580</v>
      </c>
      <c r="T36" s="31">
        <v>810329</v>
      </c>
      <c r="U36" s="31" t="s">
        <v>931</v>
      </c>
    </row>
    <row r="37" spans="2:21">
      <c r="B37" s="155"/>
      <c r="C37" s="155">
        <v>31433</v>
      </c>
      <c r="D37" s="43">
        <v>911880</v>
      </c>
      <c r="E37" s="43">
        <v>17093</v>
      </c>
      <c r="F37" s="43" t="s">
        <v>2639</v>
      </c>
      <c r="G37" s="43" t="s">
        <v>416</v>
      </c>
      <c r="H37" s="43" t="s">
        <v>414</v>
      </c>
      <c r="I37" s="43" t="s">
        <v>775</v>
      </c>
      <c r="J37" s="43" t="s">
        <v>4</v>
      </c>
      <c r="K37" s="43" t="s">
        <v>398</v>
      </c>
      <c r="L37" s="43" t="s">
        <v>89</v>
      </c>
      <c r="M37" s="44">
        <v>0.33333333333333331</v>
      </c>
      <c r="N37" s="44">
        <v>0.59722222222222221</v>
      </c>
      <c r="O37" s="44">
        <v>0.2638888888888889</v>
      </c>
      <c r="P37" s="45">
        <v>42373</v>
      </c>
      <c r="Q37" s="45" t="s">
        <v>2</v>
      </c>
      <c r="R37" s="45" t="s">
        <v>68</v>
      </c>
      <c r="S37" s="45" t="s">
        <v>2655</v>
      </c>
      <c r="T37" s="31">
        <v>810392</v>
      </c>
      <c r="U37" s="31" t="s">
        <v>2648</v>
      </c>
    </row>
    <row r="38" spans="2:21">
      <c r="B38" s="155"/>
      <c r="C38" s="155">
        <v>30609</v>
      </c>
      <c r="D38" s="43">
        <v>879251</v>
      </c>
      <c r="E38" s="43">
        <v>12792</v>
      </c>
      <c r="F38" s="43" t="s">
        <v>206</v>
      </c>
      <c r="G38" s="43" t="s">
        <v>416</v>
      </c>
      <c r="H38" s="43" t="s">
        <v>414</v>
      </c>
      <c r="I38" s="43" t="s">
        <v>775</v>
      </c>
      <c r="J38" s="43" t="s">
        <v>4</v>
      </c>
      <c r="K38" s="43" t="s">
        <v>398</v>
      </c>
      <c r="L38" s="43" t="s">
        <v>89</v>
      </c>
      <c r="M38" s="44">
        <v>0.33333333333333331</v>
      </c>
      <c r="N38" s="44">
        <v>0.59722222222222221</v>
      </c>
      <c r="O38" s="44">
        <v>0.2638888888888889</v>
      </c>
      <c r="P38" s="45">
        <v>42107</v>
      </c>
      <c r="Q38" s="45">
        <v>42612</v>
      </c>
      <c r="R38" s="45" t="s">
        <v>68</v>
      </c>
      <c r="S38" s="45" t="s">
        <v>539</v>
      </c>
      <c r="T38" s="31">
        <v>810325</v>
      </c>
      <c r="U38" s="31" t="s">
        <v>890</v>
      </c>
    </row>
    <row r="39" spans="2:21">
      <c r="B39" s="155"/>
      <c r="C39" s="155">
        <v>32620</v>
      </c>
      <c r="D39" s="43">
        <v>930891</v>
      </c>
      <c r="E39" s="43">
        <v>17183</v>
      </c>
      <c r="F39" s="43" t="s">
        <v>2805</v>
      </c>
      <c r="G39" s="43" t="s">
        <v>416</v>
      </c>
      <c r="H39" s="43" t="s">
        <v>414</v>
      </c>
      <c r="I39" s="43" t="s">
        <v>775</v>
      </c>
      <c r="J39" s="43" t="s">
        <v>4</v>
      </c>
      <c r="K39" s="43" t="s">
        <v>398</v>
      </c>
      <c r="L39" s="43" t="s">
        <v>89</v>
      </c>
      <c r="M39" s="44">
        <v>0.33333333333333331</v>
      </c>
      <c r="N39" s="44">
        <v>0.59722222222222221</v>
      </c>
      <c r="O39" s="44">
        <v>0.2638888888888889</v>
      </c>
      <c r="P39" s="45">
        <v>42529</v>
      </c>
      <c r="Q39" s="45">
        <v>42529</v>
      </c>
      <c r="R39" s="45" t="s">
        <v>68</v>
      </c>
      <c r="S39" s="45" t="s">
        <v>2841</v>
      </c>
      <c r="T39" s="31">
        <v>24677</v>
      </c>
      <c r="U39" s="31" t="s">
        <v>2819</v>
      </c>
    </row>
    <row r="40" spans="2:21">
      <c r="B40" s="155"/>
      <c r="C40" s="155">
        <v>32627</v>
      </c>
      <c r="D40" s="43">
        <v>930898</v>
      </c>
      <c r="E40" s="43">
        <v>17190</v>
      </c>
      <c r="F40" s="43" t="s">
        <v>2812</v>
      </c>
      <c r="G40" s="43" t="s">
        <v>416</v>
      </c>
      <c r="H40" s="43" t="s">
        <v>414</v>
      </c>
      <c r="I40" s="43" t="s">
        <v>775</v>
      </c>
      <c r="J40" s="43" t="s">
        <v>4</v>
      </c>
      <c r="K40" s="43" t="s">
        <v>398</v>
      </c>
      <c r="L40" s="43" t="s">
        <v>89</v>
      </c>
      <c r="M40" s="44">
        <v>0.33333333333333331</v>
      </c>
      <c r="N40" s="44">
        <v>0.59722222222222221</v>
      </c>
      <c r="O40" s="44">
        <v>0.2638888888888889</v>
      </c>
      <c r="P40" s="45">
        <v>42529</v>
      </c>
      <c r="Q40" s="45">
        <v>42663</v>
      </c>
      <c r="R40" s="45" t="s">
        <v>68</v>
      </c>
      <c r="S40" s="45" t="s">
        <v>2845</v>
      </c>
      <c r="T40" s="31">
        <v>24680</v>
      </c>
      <c r="U40" s="31" t="s">
        <v>2823</v>
      </c>
    </row>
    <row r="41" spans="2:21">
      <c r="B41" s="155"/>
      <c r="C41" s="155">
        <v>33993</v>
      </c>
      <c r="D41" s="43">
        <v>998994</v>
      </c>
      <c r="E41" s="43">
        <v>17000</v>
      </c>
      <c r="F41" s="43" t="s">
        <v>3056</v>
      </c>
      <c r="G41" s="43" t="s">
        <v>418</v>
      </c>
      <c r="H41" s="43" t="s">
        <v>414</v>
      </c>
      <c r="I41" s="43" t="s">
        <v>775</v>
      </c>
      <c r="J41" s="43" t="s">
        <v>7</v>
      </c>
      <c r="K41" s="43" t="s">
        <v>398</v>
      </c>
      <c r="L41" s="43" t="s">
        <v>89</v>
      </c>
      <c r="M41" s="44">
        <v>0.33333333333333331</v>
      </c>
      <c r="N41" s="44">
        <v>0.58333333333333337</v>
      </c>
      <c r="O41" s="44">
        <v>0.25</v>
      </c>
      <c r="P41" s="45">
        <v>42713</v>
      </c>
      <c r="Q41" s="45">
        <v>42713</v>
      </c>
      <c r="R41" s="45" t="s">
        <v>68</v>
      </c>
      <c r="S41" s="45" t="s">
        <v>2</v>
      </c>
      <c r="T41" s="31">
        <v>810411</v>
      </c>
      <c r="U41" s="31" t="s">
        <v>3059</v>
      </c>
    </row>
    <row r="42" spans="2:21">
      <c r="B42" s="155"/>
      <c r="C42" s="155">
        <v>33992</v>
      </c>
      <c r="D42" s="43">
        <v>998992</v>
      </c>
      <c r="E42" s="43">
        <v>17001</v>
      </c>
      <c r="F42" s="43" t="s">
        <v>3057</v>
      </c>
      <c r="G42" s="43" t="s">
        <v>418</v>
      </c>
      <c r="H42" s="43" t="s">
        <v>414</v>
      </c>
      <c r="I42" s="43" t="s">
        <v>775</v>
      </c>
      <c r="J42" s="43" t="s">
        <v>7</v>
      </c>
      <c r="K42" s="43" t="s">
        <v>398</v>
      </c>
      <c r="L42" s="43" t="s">
        <v>89</v>
      </c>
      <c r="M42" s="44">
        <v>0.33333333333333331</v>
      </c>
      <c r="N42" s="44">
        <v>0.58333333333333337</v>
      </c>
      <c r="O42" s="44">
        <v>0.25</v>
      </c>
      <c r="P42" s="45">
        <v>42713</v>
      </c>
      <c r="Q42" s="45">
        <v>42713</v>
      </c>
      <c r="R42" s="45" t="s">
        <v>68</v>
      </c>
      <c r="S42" s="45" t="s">
        <v>2</v>
      </c>
      <c r="T42" s="31">
        <v>810412</v>
      </c>
      <c r="U42" s="31" t="s">
        <v>3058</v>
      </c>
    </row>
    <row r="43" spans="2:21">
      <c r="B43" s="155"/>
      <c r="C43" s="155">
        <v>29305</v>
      </c>
      <c r="D43" s="43">
        <v>858683</v>
      </c>
      <c r="E43" s="43">
        <v>17005</v>
      </c>
      <c r="F43" s="43" t="s">
        <v>207</v>
      </c>
      <c r="G43" s="43" t="s">
        <v>416</v>
      </c>
      <c r="H43" s="43" t="s">
        <v>414</v>
      </c>
      <c r="I43" s="43" t="s">
        <v>775</v>
      </c>
      <c r="J43" s="43" t="s">
        <v>4</v>
      </c>
      <c r="K43" s="43" t="s">
        <v>398</v>
      </c>
      <c r="L43" s="43" t="s">
        <v>89</v>
      </c>
      <c r="M43" s="44">
        <v>0.35416666666666669</v>
      </c>
      <c r="N43" s="44">
        <v>0.6958333333333333</v>
      </c>
      <c r="O43" s="44">
        <v>0.34166666666666662</v>
      </c>
      <c r="P43" s="45">
        <v>41918</v>
      </c>
      <c r="Q43" s="45">
        <v>42683</v>
      </c>
      <c r="R43" s="45" t="s">
        <v>68</v>
      </c>
      <c r="S43" s="45" t="s">
        <v>540</v>
      </c>
      <c r="T43" s="31">
        <v>810125</v>
      </c>
      <c r="U43" s="31" t="s">
        <v>891</v>
      </c>
    </row>
    <row r="44" spans="2:21">
      <c r="B44" s="155"/>
      <c r="C44" s="155">
        <v>27525</v>
      </c>
      <c r="D44" s="43">
        <v>831259</v>
      </c>
      <c r="E44" s="43">
        <v>17085</v>
      </c>
      <c r="F44" s="43" t="s">
        <v>193</v>
      </c>
      <c r="G44" s="43" t="s">
        <v>418</v>
      </c>
      <c r="H44" s="43" t="s">
        <v>414</v>
      </c>
      <c r="I44" s="43" t="s">
        <v>775</v>
      </c>
      <c r="J44" s="43" t="s">
        <v>4</v>
      </c>
      <c r="K44" s="43" t="s">
        <v>398</v>
      </c>
      <c r="L44" s="43" t="s">
        <v>89</v>
      </c>
      <c r="M44" s="44">
        <v>0.35416666666666669</v>
      </c>
      <c r="N44" s="44">
        <v>0.6958333333333333</v>
      </c>
      <c r="O44" s="44">
        <v>0.34166666666666662</v>
      </c>
      <c r="P44" s="45">
        <v>41676</v>
      </c>
      <c r="Q44" s="45" t="s">
        <v>2</v>
      </c>
      <c r="R44" s="45" t="s">
        <v>68</v>
      </c>
      <c r="S44" s="45" t="s">
        <v>526</v>
      </c>
      <c r="T44" s="31">
        <v>810151</v>
      </c>
      <c r="U44" s="31" t="s">
        <v>878</v>
      </c>
    </row>
    <row r="45" spans="2:21">
      <c r="B45" s="155"/>
      <c r="C45" s="155">
        <v>29316</v>
      </c>
      <c r="D45" s="43">
        <v>858694</v>
      </c>
      <c r="E45" s="43">
        <v>12402</v>
      </c>
      <c r="F45" s="43" t="s">
        <v>239</v>
      </c>
      <c r="G45" s="43" t="s">
        <v>418</v>
      </c>
      <c r="H45" s="43" t="s">
        <v>414</v>
      </c>
      <c r="I45" s="43" t="s">
        <v>775</v>
      </c>
      <c r="J45" s="43" t="s">
        <v>4</v>
      </c>
      <c r="K45" s="43" t="s">
        <v>398</v>
      </c>
      <c r="L45" s="43" t="s">
        <v>89</v>
      </c>
      <c r="M45" s="44">
        <v>0.35416666666666669</v>
      </c>
      <c r="N45" s="44">
        <v>0.6958333333333333</v>
      </c>
      <c r="O45" s="44">
        <v>0.34166666666666662</v>
      </c>
      <c r="P45" s="45">
        <v>41918</v>
      </c>
      <c r="Q45" s="45" t="s">
        <v>2</v>
      </c>
      <c r="R45" s="45" t="s">
        <v>68</v>
      </c>
      <c r="S45" s="45" t="s">
        <v>571</v>
      </c>
      <c r="T45" s="31">
        <v>810189</v>
      </c>
      <c r="U45" s="31" t="s">
        <v>922</v>
      </c>
    </row>
    <row r="46" spans="2:21">
      <c r="B46" s="155"/>
      <c r="C46" s="155">
        <v>29196</v>
      </c>
      <c r="D46" s="43">
        <v>854898</v>
      </c>
      <c r="E46" s="43">
        <v>17057</v>
      </c>
      <c r="F46" s="43" t="s">
        <v>151</v>
      </c>
      <c r="G46" s="43" t="s">
        <v>416</v>
      </c>
      <c r="H46" s="43" t="s">
        <v>414</v>
      </c>
      <c r="I46" s="43" t="s">
        <v>775</v>
      </c>
      <c r="J46" s="43" t="s">
        <v>4</v>
      </c>
      <c r="K46" s="43" t="s">
        <v>398</v>
      </c>
      <c r="L46" s="43" t="s">
        <v>89</v>
      </c>
      <c r="M46" s="44">
        <v>0.375</v>
      </c>
      <c r="N46" s="44">
        <v>0.63888888888888895</v>
      </c>
      <c r="O46" s="44">
        <v>0.26388888888888895</v>
      </c>
      <c r="P46" s="45">
        <v>41891</v>
      </c>
      <c r="Q46" s="45">
        <v>42656</v>
      </c>
      <c r="R46" s="45" t="s">
        <v>68</v>
      </c>
      <c r="S46" s="45" t="s">
        <v>485</v>
      </c>
      <c r="T46" s="31">
        <v>810115</v>
      </c>
      <c r="U46" s="31" t="s">
        <v>838</v>
      </c>
    </row>
    <row r="47" spans="2:21">
      <c r="B47" s="155"/>
      <c r="C47" s="155">
        <v>28071</v>
      </c>
      <c r="D47" s="43">
        <v>836145</v>
      </c>
      <c r="E47" s="43">
        <v>17029</v>
      </c>
      <c r="F47" s="43" t="s">
        <v>255</v>
      </c>
      <c r="G47" s="43" t="s">
        <v>416</v>
      </c>
      <c r="H47" s="43" t="s">
        <v>414</v>
      </c>
      <c r="I47" s="43" t="s">
        <v>775</v>
      </c>
      <c r="J47" s="43" t="s">
        <v>4</v>
      </c>
      <c r="K47" s="43" t="s">
        <v>398</v>
      </c>
      <c r="L47" s="43" t="s">
        <v>89</v>
      </c>
      <c r="M47" s="44">
        <v>0.375</v>
      </c>
      <c r="N47" s="44">
        <v>0.63888888888888895</v>
      </c>
      <c r="O47" s="44">
        <v>0.26388888888888895</v>
      </c>
      <c r="P47" s="45">
        <v>41731</v>
      </c>
      <c r="Q47" s="45" t="s">
        <v>2</v>
      </c>
      <c r="R47" s="45" t="s">
        <v>68</v>
      </c>
      <c r="S47" s="45" t="s">
        <v>587</v>
      </c>
      <c r="T47" s="31">
        <v>810165</v>
      </c>
      <c r="U47" s="31" t="s">
        <v>938</v>
      </c>
    </row>
    <row r="48" spans="2:21">
      <c r="B48" s="155"/>
      <c r="C48" s="155">
        <v>30173</v>
      </c>
      <c r="D48" s="43">
        <v>873178</v>
      </c>
      <c r="E48" s="43">
        <v>17037</v>
      </c>
      <c r="F48" s="43" t="s">
        <v>258</v>
      </c>
      <c r="G48" s="43" t="s">
        <v>416</v>
      </c>
      <c r="H48" s="43" t="s">
        <v>414</v>
      </c>
      <c r="I48" s="43" t="s">
        <v>775</v>
      </c>
      <c r="J48" s="43" t="s">
        <v>4</v>
      </c>
      <c r="K48" s="43" t="s">
        <v>398</v>
      </c>
      <c r="L48" s="43" t="s">
        <v>89</v>
      </c>
      <c r="M48" s="44">
        <v>0.375</v>
      </c>
      <c r="N48" s="44">
        <v>0.63888888888888895</v>
      </c>
      <c r="O48" s="44">
        <v>0.2638888888888889</v>
      </c>
      <c r="P48" s="45">
        <v>42044</v>
      </c>
      <c r="Q48" s="45">
        <v>42710</v>
      </c>
      <c r="R48" s="45" t="s">
        <v>68</v>
      </c>
      <c r="S48" s="45" t="s">
        <v>590</v>
      </c>
      <c r="T48" s="31">
        <v>23492</v>
      </c>
      <c r="U48" s="31" t="s">
        <v>941</v>
      </c>
    </row>
    <row r="49" spans="2:21">
      <c r="B49" s="155"/>
      <c r="C49" s="155">
        <v>32623</v>
      </c>
      <c r="D49" s="43">
        <v>930894</v>
      </c>
      <c r="E49" s="43">
        <v>17167</v>
      </c>
      <c r="F49" s="43" t="s">
        <v>2808</v>
      </c>
      <c r="G49" s="43" t="s">
        <v>416</v>
      </c>
      <c r="H49" s="43" t="s">
        <v>414</v>
      </c>
      <c r="I49" s="43" t="s">
        <v>775</v>
      </c>
      <c r="J49" s="43" t="s">
        <v>4</v>
      </c>
      <c r="K49" s="43" t="s">
        <v>398</v>
      </c>
      <c r="L49" s="43" t="s">
        <v>89</v>
      </c>
      <c r="M49" s="44">
        <v>0.375</v>
      </c>
      <c r="N49" s="44">
        <v>0.63888888888888895</v>
      </c>
      <c r="O49" s="44">
        <v>0.26388888888888895</v>
      </c>
      <c r="P49" s="45">
        <v>42529</v>
      </c>
      <c r="Q49" s="45">
        <v>42529</v>
      </c>
      <c r="R49" s="45" t="s">
        <v>68</v>
      </c>
      <c r="S49" s="45" t="s">
        <v>2843</v>
      </c>
      <c r="T49" s="31">
        <v>24679</v>
      </c>
      <c r="U49" s="31" t="s">
        <v>2821</v>
      </c>
    </row>
    <row r="50" spans="2:21">
      <c r="B50" s="155"/>
      <c r="C50" s="155">
        <v>30191</v>
      </c>
      <c r="D50" s="43">
        <v>873197</v>
      </c>
      <c r="E50" s="43">
        <v>12666</v>
      </c>
      <c r="F50" s="43" t="s">
        <v>251</v>
      </c>
      <c r="G50" s="43" t="s">
        <v>416</v>
      </c>
      <c r="H50" s="43" t="s">
        <v>414</v>
      </c>
      <c r="I50" s="43" t="s">
        <v>775</v>
      </c>
      <c r="J50" s="43" t="s">
        <v>10</v>
      </c>
      <c r="K50" s="43" t="s">
        <v>398</v>
      </c>
      <c r="L50" s="43" t="s">
        <v>89</v>
      </c>
      <c r="M50" s="44">
        <v>0.375</v>
      </c>
      <c r="N50" s="44">
        <v>0.71666666666666667</v>
      </c>
      <c r="O50" s="44">
        <v>0.34166666666666662</v>
      </c>
      <c r="P50" s="45">
        <v>42044</v>
      </c>
      <c r="Q50" s="45">
        <v>42718</v>
      </c>
      <c r="R50" s="45" t="s">
        <v>68</v>
      </c>
      <c r="S50" s="45" t="s">
        <v>583</v>
      </c>
      <c r="T50" s="31">
        <v>810312</v>
      </c>
      <c r="U50" s="31" t="s">
        <v>934</v>
      </c>
    </row>
    <row r="51" spans="2:21">
      <c r="B51" s="155"/>
      <c r="C51" s="155">
        <v>24423</v>
      </c>
      <c r="D51" s="43">
        <v>796363</v>
      </c>
      <c r="E51" s="43">
        <v>12088</v>
      </c>
      <c r="F51" s="43" t="s">
        <v>298</v>
      </c>
      <c r="G51" s="43" t="s">
        <v>418</v>
      </c>
      <c r="H51" s="43" t="s">
        <v>414</v>
      </c>
      <c r="I51" s="43" t="s">
        <v>775</v>
      </c>
      <c r="J51" s="43" t="s">
        <v>4</v>
      </c>
      <c r="K51" s="43" t="s">
        <v>398</v>
      </c>
      <c r="L51" s="43" t="s">
        <v>89</v>
      </c>
      <c r="M51" s="44">
        <v>0.375</v>
      </c>
      <c r="N51" s="44">
        <v>0.63888888888888895</v>
      </c>
      <c r="O51" s="44">
        <v>0.26388888888888895</v>
      </c>
      <c r="P51" s="45">
        <v>41319</v>
      </c>
      <c r="Q51" s="45">
        <v>42552</v>
      </c>
      <c r="R51" s="45" t="s">
        <v>68</v>
      </c>
      <c r="S51" s="45" t="s">
        <v>626</v>
      </c>
      <c r="T51" s="31">
        <v>810414</v>
      </c>
      <c r="U51" s="31" t="s">
        <v>978</v>
      </c>
    </row>
    <row r="52" spans="2:21">
      <c r="B52" s="155"/>
      <c r="C52" s="155">
        <v>28079</v>
      </c>
      <c r="D52" s="43">
        <v>836153</v>
      </c>
      <c r="E52" s="43">
        <v>12807</v>
      </c>
      <c r="F52" s="43" t="s">
        <v>218</v>
      </c>
      <c r="G52" s="43" t="s">
        <v>416</v>
      </c>
      <c r="H52" s="43" t="s">
        <v>414</v>
      </c>
      <c r="I52" s="43" t="s">
        <v>775</v>
      </c>
      <c r="J52" s="43" t="s">
        <v>4</v>
      </c>
      <c r="K52" s="43" t="s">
        <v>398</v>
      </c>
      <c r="L52" s="43" t="s">
        <v>89</v>
      </c>
      <c r="M52" s="44">
        <v>0.39583333333333331</v>
      </c>
      <c r="N52" s="44">
        <v>0.73749999999999993</v>
      </c>
      <c r="O52" s="44">
        <v>0.34166666666666662</v>
      </c>
      <c r="P52" s="45">
        <v>41731</v>
      </c>
      <c r="Q52" s="45">
        <v>42492</v>
      </c>
      <c r="R52" s="45" t="s">
        <v>68</v>
      </c>
      <c r="S52" s="45" t="s">
        <v>551</v>
      </c>
      <c r="T52" s="31">
        <v>810192</v>
      </c>
      <c r="U52" s="31" t="s">
        <v>901</v>
      </c>
    </row>
    <row r="53" spans="2:21">
      <c r="B53" s="155"/>
      <c r="C53" s="155">
        <v>26951</v>
      </c>
      <c r="D53" s="43">
        <v>824001</v>
      </c>
      <c r="E53" s="43">
        <v>12416</v>
      </c>
      <c r="F53" s="43" t="s">
        <v>1454</v>
      </c>
      <c r="G53" s="43" t="s">
        <v>416</v>
      </c>
      <c r="H53" s="43" t="s">
        <v>414</v>
      </c>
      <c r="I53" s="43" t="s">
        <v>775</v>
      </c>
      <c r="J53" s="43" t="s">
        <v>5</v>
      </c>
      <c r="K53" s="43" t="s">
        <v>398</v>
      </c>
      <c r="L53" s="43" t="s">
        <v>89</v>
      </c>
      <c r="M53" s="44">
        <v>0.39583333333333331</v>
      </c>
      <c r="N53" s="44">
        <v>0.73749999999999993</v>
      </c>
      <c r="O53" s="44">
        <v>0.34166666666666662</v>
      </c>
      <c r="P53" s="45">
        <v>41584</v>
      </c>
      <c r="Q53" s="45">
        <v>42709</v>
      </c>
      <c r="R53" s="45" t="s">
        <v>68</v>
      </c>
      <c r="S53" s="45" t="s">
        <v>1632</v>
      </c>
      <c r="T53" s="31">
        <v>810394</v>
      </c>
      <c r="U53" s="31" t="s">
        <v>1804</v>
      </c>
    </row>
    <row r="54" spans="2:21">
      <c r="B54" s="155"/>
      <c r="C54" s="155">
        <v>31508</v>
      </c>
      <c r="D54" s="43">
        <v>915108</v>
      </c>
      <c r="E54" s="43">
        <v>17016</v>
      </c>
      <c r="F54" s="43" t="s">
        <v>2687</v>
      </c>
      <c r="G54" s="43" t="s">
        <v>416</v>
      </c>
      <c r="H54" s="43" t="s">
        <v>414</v>
      </c>
      <c r="I54" s="43" t="s">
        <v>775</v>
      </c>
      <c r="J54" s="43" t="s">
        <v>4</v>
      </c>
      <c r="K54" s="43" t="s">
        <v>398</v>
      </c>
      <c r="L54" s="43" t="s">
        <v>89</v>
      </c>
      <c r="M54" s="44">
        <v>0.39583333333333331</v>
      </c>
      <c r="N54" s="44">
        <v>0.73749999999999993</v>
      </c>
      <c r="O54" s="44">
        <v>0.34166666666666662</v>
      </c>
      <c r="P54" s="45">
        <v>42404</v>
      </c>
      <c r="Q54" s="45">
        <v>42506</v>
      </c>
      <c r="R54" s="45" t="s">
        <v>68</v>
      </c>
      <c r="S54" s="45" t="s">
        <v>2727</v>
      </c>
      <c r="T54" s="31">
        <v>410392</v>
      </c>
      <c r="U54" s="31" t="s">
        <v>2707</v>
      </c>
    </row>
    <row r="55" spans="2:21">
      <c r="B55" s="155"/>
      <c r="C55" s="155">
        <v>20229</v>
      </c>
      <c r="D55" s="43">
        <v>758405</v>
      </c>
      <c r="E55" s="43">
        <v>12404</v>
      </c>
      <c r="F55" s="43" t="s">
        <v>217</v>
      </c>
      <c r="G55" s="43" t="s">
        <v>416</v>
      </c>
      <c r="H55" s="43" t="s">
        <v>414</v>
      </c>
      <c r="I55" s="43" t="s">
        <v>775</v>
      </c>
      <c r="J55" s="43" t="s">
        <v>6</v>
      </c>
      <c r="K55" s="43" t="s">
        <v>398</v>
      </c>
      <c r="L55" s="43" t="s">
        <v>89</v>
      </c>
      <c r="M55" s="44">
        <v>0.39583333333333331</v>
      </c>
      <c r="N55" s="44">
        <v>0.73749999999999993</v>
      </c>
      <c r="O55" s="44">
        <v>0.34166666666666662</v>
      </c>
      <c r="P55" s="45">
        <v>40919</v>
      </c>
      <c r="Q55" s="45" t="s">
        <v>2</v>
      </c>
      <c r="R55" s="45" t="s">
        <v>68</v>
      </c>
      <c r="S55" s="45" t="s">
        <v>550</v>
      </c>
      <c r="T55" s="31">
        <v>810135</v>
      </c>
      <c r="U55" s="31" t="s">
        <v>900</v>
      </c>
    </row>
    <row r="56" spans="2:21">
      <c r="B56" s="155"/>
      <c r="C56" s="155">
        <v>15509</v>
      </c>
      <c r="D56" s="43">
        <v>720640</v>
      </c>
      <c r="E56" s="43">
        <v>12819</v>
      </c>
      <c r="F56" s="43" t="s">
        <v>196</v>
      </c>
      <c r="G56" s="43" t="s">
        <v>417</v>
      </c>
      <c r="H56" s="43" t="s">
        <v>414</v>
      </c>
      <c r="I56" s="43" t="s">
        <v>775</v>
      </c>
      <c r="J56" s="43" t="s">
        <v>6</v>
      </c>
      <c r="K56" s="43" t="s">
        <v>398</v>
      </c>
      <c r="L56" s="43" t="s">
        <v>89</v>
      </c>
      <c r="M56" s="44">
        <v>0.39583333333333331</v>
      </c>
      <c r="N56" s="44">
        <v>0.73749999999999993</v>
      </c>
      <c r="O56" s="44">
        <v>0.34166666666666662</v>
      </c>
      <c r="P56" s="45">
        <v>40603</v>
      </c>
      <c r="Q56" s="45">
        <v>42465</v>
      </c>
      <c r="R56" s="45" t="s">
        <v>68</v>
      </c>
      <c r="S56" s="45" t="s">
        <v>529</v>
      </c>
      <c r="T56" s="31">
        <v>810128</v>
      </c>
      <c r="U56" s="31" t="s">
        <v>880</v>
      </c>
    </row>
    <row r="57" spans="2:21">
      <c r="B57" s="155"/>
      <c r="C57" s="155">
        <v>28067</v>
      </c>
      <c r="D57" s="43">
        <v>836142</v>
      </c>
      <c r="E57" s="43">
        <v>17125</v>
      </c>
      <c r="F57" s="43" t="s">
        <v>200</v>
      </c>
      <c r="G57" s="43" t="s">
        <v>417</v>
      </c>
      <c r="H57" s="43" t="s">
        <v>414</v>
      </c>
      <c r="I57" s="43" t="s">
        <v>775</v>
      </c>
      <c r="J57" s="43" t="s">
        <v>4</v>
      </c>
      <c r="K57" s="43" t="s">
        <v>398</v>
      </c>
      <c r="L57" s="43" t="s">
        <v>89</v>
      </c>
      <c r="M57" s="44">
        <v>0.41666666666666669</v>
      </c>
      <c r="N57" s="44">
        <v>0.7583333333333333</v>
      </c>
      <c r="O57" s="44">
        <v>0.34166666666666662</v>
      </c>
      <c r="P57" s="45">
        <v>41731</v>
      </c>
      <c r="Q57" s="45" t="s">
        <v>2</v>
      </c>
      <c r="R57" s="45" t="s">
        <v>68</v>
      </c>
      <c r="S57" s="45" t="s">
        <v>533</v>
      </c>
      <c r="T57" s="31">
        <v>810148</v>
      </c>
      <c r="U57" s="31" t="s">
        <v>884</v>
      </c>
    </row>
    <row r="58" spans="2:21">
      <c r="B58" s="155"/>
      <c r="C58" s="155">
        <v>31066</v>
      </c>
      <c r="D58" s="43">
        <v>893781</v>
      </c>
      <c r="E58" s="43">
        <v>12718</v>
      </c>
      <c r="F58" s="43" t="s">
        <v>2264</v>
      </c>
      <c r="G58" s="43" t="s">
        <v>418</v>
      </c>
      <c r="H58" s="43" t="s">
        <v>414</v>
      </c>
      <c r="I58" s="43" t="s">
        <v>775</v>
      </c>
      <c r="J58" s="43" t="s">
        <v>4</v>
      </c>
      <c r="K58" s="43" t="s">
        <v>398</v>
      </c>
      <c r="L58" s="43" t="s">
        <v>89</v>
      </c>
      <c r="M58" s="44">
        <v>0.41666666666666669</v>
      </c>
      <c r="N58" s="44">
        <v>0.7583333333333333</v>
      </c>
      <c r="O58" s="44">
        <v>0.34166666666666662</v>
      </c>
      <c r="P58" s="45">
        <v>42227</v>
      </c>
      <c r="Q58" s="45">
        <v>42719</v>
      </c>
      <c r="R58" s="45" t="s">
        <v>68</v>
      </c>
      <c r="S58" s="45" t="s">
        <v>2298</v>
      </c>
      <c r="T58" s="31">
        <v>23472</v>
      </c>
      <c r="U58" s="31" t="s">
        <v>2285</v>
      </c>
    </row>
    <row r="59" spans="2:21">
      <c r="B59" s="155"/>
      <c r="C59" s="155">
        <v>30459</v>
      </c>
      <c r="D59" s="43">
        <v>876672</v>
      </c>
      <c r="E59" s="43">
        <v>12753</v>
      </c>
      <c r="F59" s="43" t="s">
        <v>245</v>
      </c>
      <c r="G59" s="43" t="s">
        <v>420</v>
      </c>
      <c r="H59" s="43" t="s">
        <v>414</v>
      </c>
      <c r="I59" s="43" t="s">
        <v>775</v>
      </c>
      <c r="J59" s="43" t="s">
        <v>4</v>
      </c>
      <c r="K59" s="43" t="s">
        <v>398</v>
      </c>
      <c r="L59" s="43" t="s">
        <v>89</v>
      </c>
      <c r="M59" s="44">
        <v>0.41666666666666669</v>
      </c>
      <c r="N59" s="44">
        <v>0.7583333333333333</v>
      </c>
      <c r="O59" s="44">
        <v>0.34166666666666662</v>
      </c>
      <c r="P59" s="45">
        <v>42079</v>
      </c>
      <c r="Q59" s="45">
        <v>42661</v>
      </c>
      <c r="R59" s="45" t="s">
        <v>68</v>
      </c>
      <c r="S59" s="45" t="s">
        <v>577</v>
      </c>
      <c r="T59" s="31">
        <v>810415</v>
      </c>
      <c r="U59" s="31" t="s">
        <v>928</v>
      </c>
    </row>
    <row r="60" spans="2:21">
      <c r="B60" s="155"/>
      <c r="C60" s="155">
        <v>30473</v>
      </c>
      <c r="D60" s="43">
        <v>876686</v>
      </c>
      <c r="E60" s="43">
        <v>17030</v>
      </c>
      <c r="F60" s="43" t="s">
        <v>247</v>
      </c>
      <c r="G60" s="43" t="s">
        <v>420</v>
      </c>
      <c r="H60" s="43" t="s">
        <v>414</v>
      </c>
      <c r="I60" s="43" t="s">
        <v>775</v>
      </c>
      <c r="J60" s="43" t="s">
        <v>4</v>
      </c>
      <c r="K60" s="43" t="s">
        <v>398</v>
      </c>
      <c r="L60" s="43" t="s">
        <v>89</v>
      </c>
      <c r="M60" s="44">
        <v>0.41666666666666669</v>
      </c>
      <c r="N60" s="44">
        <v>0.7583333333333333</v>
      </c>
      <c r="O60" s="44">
        <v>0.34166666666666662</v>
      </c>
      <c r="P60" s="45">
        <v>42079</v>
      </c>
      <c r="Q60" s="45">
        <v>42688</v>
      </c>
      <c r="R60" s="45" t="s">
        <v>68</v>
      </c>
      <c r="S60" s="45" t="s">
        <v>579</v>
      </c>
      <c r="T60" s="31">
        <v>810302</v>
      </c>
      <c r="U60" s="31" t="s">
        <v>930</v>
      </c>
    </row>
    <row r="61" spans="2:21">
      <c r="B61" s="155"/>
      <c r="C61" s="155">
        <v>28109</v>
      </c>
      <c r="D61" s="43">
        <v>836312</v>
      </c>
      <c r="E61" s="43">
        <v>12340</v>
      </c>
      <c r="F61" s="43" t="s">
        <v>226</v>
      </c>
      <c r="G61" s="43" t="s">
        <v>420</v>
      </c>
      <c r="H61" s="43" t="s">
        <v>414</v>
      </c>
      <c r="I61" s="43" t="s">
        <v>775</v>
      </c>
      <c r="J61" s="43" t="s">
        <v>4</v>
      </c>
      <c r="K61" s="43" t="s">
        <v>398</v>
      </c>
      <c r="L61" s="43" t="s">
        <v>89</v>
      </c>
      <c r="M61" s="44">
        <v>0.41666666666666669</v>
      </c>
      <c r="N61" s="44">
        <v>0.68055555555555547</v>
      </c>
      <c r="O61" s="44">
        <v>0.26388888888888878</v>
      </c>
      <c r="P61" s="45">
        <v>41731</v>
      </c>
      <c r="Q61" s="45">
        <v>42522</v>
      </c>
      <c r="R61" s="45" t="s">
        <v>68</v>
      </c>
      <c r="S61" s="45" t="s">
        <v>558</v>
      </c>
      <c r="T61" s="31">
        <v>810176</v>
      </c>
      <c r="U61" s="31" t="s">
        <v>909</v>
      </c>
    </row>
    <row r="62" spans="2:21">
      <c r="B62" s="155"/>
      <c r="C62" s="155">
        <v>31435</v>
      </c>
      <c r="D62" s="43">
        <v>911885</v>
      </c>
      <c r="E62" s="43">
        <v>17101</v>
      </c>
      <c r="F62" s="43" t="s">
        <v>2641</v>
      </c>
      <c r="G62" s="43" t="s">
        <v>420</v>
      </c>
      <c r="H62" s="43" t="s">
        <v>414</v>
      </c>
      <c r="I62" s="43" t="s">
        <v>775</v>
      </c>
      <c r="J62" s="43" t="s">
        <v>4</v>
      </c>
      <c r="K62" s="43" t="s">
        <v>398</v>
      </c>
      <c r="L62" s="43" t="s">
        <v>89</v>
      </c>
      <c r="M62" s="44">
        <v>0.41666666666666669</v>
      </c>
      <c r="N62" s="44">
        <v>0.68055555555555547</v>
      </c>
      <c r="O62" s="44">
        <v>0.26388888888888878</v>
      </c>
      <c r="P62" s="45">
        <v>42373</v>
      </c>
      <c r="Q62" s="45" t="s">
        <v>2</v>
      </c>
      <c r="R62" s="45" t="s">
        <v>68</v>
      </c>
      <c r="S62" s="45" t="s">
        <v>2657</v>
      </c>
      <c r="T62" s="31">
        <v>810405</v>
      </c>
      <c r="U62" s="31" t="s">
        <v>2650</v>
      </c>
    </row>
    <row r="63" spans="2:21">
      <c r="B63" s="155"/>
      <c r="C63" s="155">
        <v>29867</v>
      </c>
      <c r="D63" s="43">
        <v>868183</v>
      </c>
      <c r="E63" s="43">
        <v>12798</v>
      </c>
      <c r="F63" s="43" t="s">
        <v>241</v>
      </c>
      <c r="G63" s="43" t="s">
        <v>420</v>
      </c>
      <c r="H63" s="43" t="s">
        <v>414</v>
      </c>
      <c r="I63" s="43" t="s">
        <v>775</v>
      </c>
      <c r="J63" s="43" t="s">
        <v>4</v>
      </c>
      <c r="K63" s="43" t="s">
        <v>398</v>
      </c>
      <c r="L63" s="43" t="s">
        <v>89</v>
      </c>
      <c r="M63" s="44">
        <v>0.4916666666666667</v>
      </c>
      <c r="N63" s="44">
        <v>0.83333333333333337</v>
      </c>
      <c r="O63" s="44">
        <v>0.34166666666666667</v>
      </c>
      <c r="P63" s="45">
        <v>41983</v>
      </c>
      <c r="Q63" s="45">
        <v>42506</v>
      </c>
      <c r="R63" s="45" t="s">
        <v>68</v>
      </c>
      <c r="S63" s="45" t="s">
        <v>573</v>
      </c>
      <c r="T63" s="31">
        <v>810308</v>
      </c>
      <c r="U63" s="31" t="s">
        <v>924</v>
      </c>
    </row>
    <row r="64" spans="2:21">
      <c r="B64" s="155"/>
      <c r="C64" s="155">
        <v>29195</v>
      </c>
      <c r="D64" s="43">
        <v>854897</v>
      </c>
      <c r="E64" s="43">
        <v>17177</v>
      </c>
      <c r="F64" s="43" t="s">
        <v>168</v>
      </c>
      <c r="G64" s="43" t="s">
        <v>420</v>
      </c>
      <c r="H64" s="43" t="s">
        <v>414</v>
      </c>
      <c r="I64" s="43" t="s">
        <v>775</v>
      </c>
      <c r="J64" s="43" t="s">
        <v>10</v>
      </c>
      <c r="K64" s="43" t="s">
        <v>398</v>
      </c>
      <c r="L64" s="43" t="s">
        <v>89</v>
      </c>
      <c r="M64" s="44">
        <v>0.53333333333333333</v>
      </c>
      <c r="N64" s="44">
        <v>0.875</v>
      </c>
      <c r="O64" s="44">
        <v>0.34166666666666667</v>
      </c>
      <c r="P64" s="45">
        <v>41891</v>
      </c>
      <c r="Q64" s="45">
        <v>42705</v>
      </c>
      <c r="R64" s="45" t="s">
        <v>68</v>
      </c>
      <c r="S64" s="45" t="s">
        <v>502</v>
      </c>
      <c r="T64" s="31">
        <v>810367</v>
      </c>
      <c r="U64" s="31" t="s">
        <v>854</v>
      </c>
    </row>
    <row r="65" spans="2:21">
      <c r="B65" s="155"/>
      <c r="C65" s="155">
        <v>29920</v>
      </c>
      <c r="D65" s="43">
        <v>869824</v>
      </c>
      <c r="E65" s="43">
        <v>17120</v>
      </c>
      <c r="F65" s="43" t="s">
        <v>238</v>
      </c>
      <c r="G65" s="43" t="s">
        <v>420</v>
      </c>
      <c r="H65" s="43" t="s">
        <v>414</v>
      </c>
      <c r="I65" s="43" t="s">
        <v>775</v>
      </c>
      <c r="J65" s="43" t="s">
        <v>10</v>
      </c>
      <c r="K65" s="43" t="s">
        <v>398</v>
      </c>
      <c r="L65" s="43" t="s">
        <v>89</v>
      </c>
      <c r="M65" s="44">
        <v>0.57500000000000007</v>
      </c>
      <c r="N65" s="44">
        <v>0.91666666666666663</v>
      </c>
      <c r="O65" s="44">
        <v>0.34166666666666656</v>
      </c>
      <c r="P65" s="45">
        <v>42010</v>
      </c>
      <c r="Q65" s="45">
        <v>42719</v>
      </c>
      <c r="R65" s="45" t="s">
        <v>68</v>
      </c>
      <c r="S65" s="45" t="s">
        <v>570</v>
      </c>
      <c r="T65" s="31">
        <v>810232</v>
      </c>
      <c r="U65" s="31" t="s">
        <v>921</v>
      </c>
    </row>
    <row r="66" spans="2:21">
      <c r="B66" s="155"/>
      <c r="C66" s="155">
        <v>24160</v>
      </c>
      <c r="D66" s="43">
        <v>795194</v>
      </c>
      <c r="E66" s="43">
        <v>12672</v>
      </c>
      <c r="F66" s="43" t="s">
        <v>240</v>
      </c>
      <c r="G66" s="43" t="s">
        <v>420</v>
      </c>
      <c r="H66" s="43" t="s">
        <v>414</v>
      </c>
      <c r="I66" s="43" t="s">
        <v>775</v>
      </c>
      <c r="J66" s="43" t="s">
        <v>6</v>
      </c>
      <c r="K66" s="43" t="s">
        <v>398</v>
      </c>
      <c r="L66" s="43" t="s">
        <v>89</v>
      </c>
      <c r="M66" s="44">
        <v>0.57500000000000007</v>
      </c>
      <c r="N66" s="44">
        <v>0.91666666666666663</v>
      </c>
      <c r="O66" s="44">
        <v>0.34166666666666656</v>
      </c>
      <c r="P66" s="45">
        <v>41306</v>
      </c>
      <c r="Q66" s="45" t="s">
        <v>2</v>
      </c>
      <c r="R66" s="45" t="s">
        <v>68</v>
      </c>
      <c r="S66" s="45" t="s">
        <v>572</v>
      </c>
      <c r="T66" s="31">
        <v>810106</v>
      </c>
      <c r="U66" s="31" t="s">
        <v>923</v>
      </c>
    </row>
    <row r="67" spans="2:21">
      <c r="B67" s="155"/>
      <c r="C67" s="155">
        <v>31403</v>
      </c>
      <c r="D67" s="43">
        <v>909816</v>
      </c>
      <c r="E67" s="43">
        <v>17198</v>
      </c>
      <c r="F67" s="43" t="s">
        <v>2415</v>
      </c>
      <c r="G67" s="43" t="s">
        <v>420</v>
      </c>
      <c r="H67" s="43" t="s">
        <v>414</v>
      </c>
      <c r="I67" s="43" t="s">
        <v>775</v>
      </c>
      <c r="J67" s="43" t="s">
        <v>4</v>
      </c>
      <c r="K67" s="43" t="s">
        <v>398</v>
      </c>
      <c r="L67" s="43" t="s">
        <v>89</v>
      </c>
      <c r="M67" s="44">
        <v>0.59722222222222221</v>
      </c>
      <c r="N67" s="44">
        <v>0.86111111111111116</v>
      </c>
      <c r="O67" s="44">
        <v>0.26388888888888895</v>
      </c>
      <c r="P67" s="45">
        <v>42340</v>
      </c>
      <c r="Q67" s="45">
        <v>42559</v>
      </c>
      <c r="R67" s="45" t="s">
        <v>68</v>
      </c>
      <c r="S67" s="45" t="s">
        <v>2464</v>
      </c>
      <c r="T67" s="31">
        <v>24207</v>
      </c>
      <c r="U67" s="31" t="s">
        <v>2440</v>
      </c>
    </row>
    <row r="68" spans="2:21">
      <c r="B68" s="155"/>
      <c r="C68" s="155">
        <v>31503</v>
      </c>
      <c r="D68" s="43">
        <v>915103</v>
      </c>
      <c r="E68" s="43">
        <v>17003</v>
      </c>
      <c r="F68" s="43" t="s">
        <v>2671</v>
      </c>
      <c r="G68" s="43" t="s">
        <v>420</v>
      </c>
      <c r="H68" s="43" t="s">
        <v>414</v>
      </c>
      <c r="I68" s="43" t="s">
        <v>775</v>
      </c>
      <c r="J68" s="43" t="s">
        <v>4</v>
      </c>
      <c r="K68" s="43" t="s">
        <v>398</v>
      </c>
      <c r="L68" s="43" t="s">
        <v>89</v>
      </c>
      <c r="M68" s="44">
        <v>0.59722222222222221</v>
      </c>
      <c r="N68" s="44">
        <v>0.86111111111111116</v>
      </c>
      <c r="O68" s="44">
        <v>0.26388888888888895</v>
      </c>
      <c r="P68" s="45">
        <v>42404</v>
      </c>
      <c r="Q68" s="45" t="s">
        <v>2</v>
      </c>
      <c r="R68" s="45" t="s">
        <v>68</v>
      </c>
      <c r="S68" s="45" t="s">
        <v>2735</v>
      </c>
      <c r="T68" s="31">
        <v>410394</v>
      </c>
      <c r="U68" s="31" t="s">
        <v>2691</v>
      </c>
    </row>
    <row r="69" spans="2:21">
      <c r="B69" s="155"/>
      <c r="C69" s="155">
        <v>31502</v>
      </c>
      <c r="D69" s="43">
        <v>915102</v>
      </c>
      <c r="E69" s="43">
        <v>12927</v>
      </c>
      <c r="F69" s="43" t="s">
        <v>2670</v>
      </c>
      <c r="G69" s="43" t="s">
        <v>420</v>
      </c>
      <c r="H69" s="43" t="s">
        <v>414</v>
      </c>
      <c r="I69" s="43" t="s">
        <v>775</v>
      </c>
      <c r="J69" s="43" t="s">
        <v>4</v>
      </c>
      <c r="K69" s="43" t="s">
        <v>398</v>
      </c>
      <c r="L69" s="43" t="s">
        <v>89</v>
      </c>
      <c r="M69" s="44">
        <v>0.59722222222222221</v>
      </c>
      <c r="N69" s="44">
        <v>0.86111111111111116</v>
      </c>
      <c r="O69" s="44">
        <v>0.26388888888888895</v>
      </c>
      <c r="P69" s="45">
        <v>42404</v>
      </c>
      <c r="Q69" s="45" t="s">
        <v>2</v>
      </c>
      <c r="R69" s="45" t="s">
        <v>68</v>
      </c>
      <c r="S69" s="45" t="s">
        <v>2738</v>
      </c>
      <c r="T69" s="31">
        <v>810407</v>
      </c>
      <c r="U69" s="31" t="s">
        <v>2690</v>
      </c>
    </row>
    <row r="70" spans="2:21">
      <c r="B70" s="155"/>
      <c r="C70" s="155">
        <v>31587</v>
      </c>
      <c r="D70" s="43">
        <v>923142</v>
      </c>
      <c r="E70" s="43">
        <v>17184</v>
      </c>
      <c r="F70" s="43" t="s">
        <v>2759</v>
      </c>
      <c r="G70" s="43" t="s">
        <v>420</v>
      </c>
      <c r="H70" s="43" t="s">
        <v>414</v>
      </c>
      <c r="I70" s="43" t="s">
        <v>775</v>
      </c>
      <c r="J70" s="43" t="s">
        <v>4</v>
      </c>
      <c r="K70" s="43" t="s">
        <v>398</v>
      </c>
      <c r="L70" s="43" t="s">
        <v>89</v>
      </c>
      <c r="M70" s="44">
        <v>0.59722222222222221</v>
      </c>
      <c r="N70" s="44">
        <v>0.86111111111111116</v>
      </c>
      <c r="O70" s="44">
        <v>0.26388888888888895</v>
      </c>
      <c r="P70" s="45">
        <v>42466</v>
      </c>
      <c r="Q70" s="45" t="s">
        <v>2</v>
      </c>
      <c r="R70" s="45" t="s">
        <v>68</v>
      </c>
      <c r="S70" s="45" t="s">
        <v>2773</v>
      </c>
      <c r="T70" s="31">
        <v>24471</v>
      </c>
      <c r="U70" s="31" t="s">
        <v>2766</v>
      </c>
    </row>
    <row r="71" spans="2:21">
      <c r="B71" s="155"/>
      <c r="C71" s="155">
        <v>22180</v>
      </c>
      <c r="D71" s="43">
        <v>771007</v>
      </c>
      <c r="E71" s="43">
        <v>17095</v>
      </c>
      <c r="F71" s="43" t="s">
        <v>229</v>
      </c>
      <c r="G71" s="43" t="s">
        <v>417</v>
      </c>
      <c r="H71" s="43" t="s">
        <v>414</v>
      </c>
      <c r="I71" s="43" t="s">
        <v>775</v>
      </c>
      <c r="J71" s="43" t="s">
        <v>6</v>
      </c>
      <c r="K71" s="43" t="s">
        <v>398</v>
      </c>
      <c r="L71" s="43" t="s">
        <v>89</v>
      </c>
      <c r="M71" s="44">
        <v>0.65277777777777779</v>
      </c>
      <c r="N71" s="44">
        <v>0.91666666666666663</v>
      </c>
      <c r="O71" s="44">
        <v>0.26388888888888884</v>
      </c>
      <c r="P71" s="45">
        <v>41075</v>
      </c>
      <c r="Q71" s="45" t="s">
        <v>2</v>
      </c>
      <c r="R71" s="45" t="s">
        <v>68</v>
      </c>
      <c r="S71" s="45" t="s">
        <v>562</v>
      </c>
      <c r="T71" s="31">
        <v>810179</v>
      </c>
      <c r="U71" s="31" t="s">
        <v>913</v>
      </c>
    </row>
    <row r="72" spans="2:21">
      <c r="B72" s="155"/>
      <c r="C72" s="155">
        <v>31589</v>
      </c>
      <c r="D72" s="43">
        <v>923144</v>
      </c>
      <c r="E72" s="43">
        <v>17186</v>
      </c>
      <c r="F72" s="43" t="s">
        <v>2761</v>
      </c>
      <c r="G72" s="43" t="s">
        <v>420</v>
      </c>
      <c r="H72" s="43" t="s">
        <v>414</v>
      </c>
      <c r="I72" s="43" t="s">
        <v>775</v>
      </c>
      <c r="J72" s="43" t="s">
        <v>9</v>
      </c>
      <c r="K72" s="43" t="s">
        <v>398</v>
      </c>
      <c r="L72" s="43" t="s">
        <v>89</v>
      </c>
      <c r="M72" s="44">
        <v>0.65277777777777779</v>
      </c>
      <c r="N72" s="44">
        <v>0.91666666666666663</v>
      </c>
      <c r="O72" s="44">
        <v>0.2638888888888889</v>
      </c>
      <c r="P72" s="45">
        <v>42466</v>
      </c>
      <c r="Q72" s="45">
        <v>42706</v>
      </c>
      <c r="R72" s="45" t="s">
        <v>68</v>
      </c>
      <c r="S72" s="45" t="s">
        <v>2777</v>
      </c>
      <c r="T72" s="31">
        <v>24475</v>
      </c>
      <c r="U72" s="31" t="s">
        <v>2770</v>
      </c>
    </row>
    <row r="73" spans="2:21">
      <c r="B73" s="155"/>
      <c r="C73" s="155">
        <v>31406</v>
      </c>
      <c r="D73" s="43">
        <v>909819</v>
      </c>
      <c r="E73" s="43">
        <v>12289</v>
      </c>
      <c r="F73" s="43" t="s">
        <v>2416</v>
      </c>
      <c r="G73" s="43" t="s">
        <v>420</v>
      </c>
      <c r="H73" s="43" t="s">
        <v>414</v>
      </c>
      <c r="I73" s="43" t="s">
        <v>775</v>
      </c>
      <c r="J73" s="43" t="s">
        <v>4</v>
      </c>
      <c r="K73" s="43" t="s">
        <v>398</v>
      </c>
      <c r="L73" s="43" t="s">
        <v>89</v>
      </c>
      <c r="M73" s="44">
        <v>0.65277777777777779</v>
      </c>
      <c r="N73" s="44">
        <v>0.91666666666666663</v>
      </c>
      <c r="O73" s="44">
        <v>0.26388888888888884</v>
      </c>
      <c r="P73" s="45">
        <v>42340</v>
      </c>
      <c r="Q73" s="45" t="s">
        <v>2</v>
      </c>
      <c r="R73" s="45" t="s">
        <v>68</v>
      </c>
      <c r="S73" s="45" t="s">
        <v>2457</v>
      </c>
      <c r="T73" s="31">
        <v>24208</v>
      </c>
      <c r="U73" s="31" t="s">
        <v>2441</v>
      </c>
    </row>
    <row r="74" spans="2:21">
      <c r="B74" s="155"/>
      <c r="C74" s="155">
        <v>31402</v>
      </c>
      <c r="D74" s="43">
        <v>909815</v>
      </c>
      <c r="E74" s="43">
        <v>12285</v>
      </c>
      <c r="F74" s="43" t="s">
        <v>2412</v>
      </c>
      <c r="G74" s="43" t="s">
        <v>420</v>
      </c>
      <c r="H74" s="43" t="s">
        <v>414</v>
      </c>
      <c r="I74" s="43" t="s">
        <v>775</v>
      </c>
      <c r="J74" s="43" t="s">
        <v>4</v>
      </c>
      <c r="K74" s="43" t="s">
        <v>398</v>
      </c>
      <c r="L74" s="43" t="s">
        <v>89</v>
      </c>
      <c r="M74" s="44">
        <v>0.65277777777777779</v>
      </c>
      <c r="N74" s="44">
        <v>0.91666666666666663</v>
      </c>
      <c r="O74" s="44">
        <v>0.26388888888888884</v>
      </c>
      <c r="P74" s="45">
        <v>42340</v>
      </c>
      <c r="Q74" s="45">
        <v>42663</v>
      </c>
      <c r="R74" s="45" t="s">
        <v>68</v>
      </c>
      <c r="S74" s="45" t="s">
        <v>2462</v>
      </c>
      <c r="T74" s="31">
        <v>24205</v>
      </c>
      <c r="U74" s="31" t="s">
        <v>2437</v>
      </c>
    </row>
    <row r="75" spans="2:21">
      <c r="B75" s="155"/>
      <c r="C75" s="155">
        <v>30701</v>
      </c>
      <c r="D75" s="43">
        <v>882231</v>
      </c>
      <c r="E75" s="43">
        <v>17169</v>
      </c>
      <c r="F75" s="43" t="s">
        <v>232</v>
      </c>
      <c r="G75" s="43" t="s">
        <v>420</v>
      </c>
      <c r="H75" s="43" t="s">
        <v>414</v>
      </c>
      <c r="I75" s="43" t="s">
        <v>775</v>
      </c>
      <c r="J75" s="43" t="s">
        <v>9</v>
      </c>
      <c r="K75" s="43" t="s">
        <v>398</v>
      </c>
      <c r="L75" s="43" t="s">
        <v>89</v>
      </c>
      <c r="M75" s="44">
        <v>0.65277777777777779</v>
      </c>
      <c r="N75" s="44">
        <v>0.91666666666666663</v>
      </c>
      <c r="O75" s="44">
        <v>0.26388888888888884</v>
      </c>
      <c r="P75" s="45">
        <v>42131</v>
      </c>
      <c r="Q75" s="45">
        <v>42706</v>
      </c>
      <c r="R75" s="45" t="s">
        <v>68</v>
      </c>
      <c r="S75" s="45" t="s">
        <v>565</v>
      </c>
      <c r="T75" s="31">
        <v>810340</v>
      </c>
      <c r="U75" s="31" t="s">
        <v>916</v>
      </c>
    </row>
    <row r="76" spans="2:21">
      <c r="B76" s="155"/>
      <c r="C76" s="155">
        <v>31192</v>
      </c>
      <c r="D76" s="43">
        <v>897567</v>
      </c>
      <c r="E76" s="43">
        <v>17136</v>
      </c>
      <c r="F76" s="43" t="s">
        <v>2332</v>
      </c>
      <c r="G76" s="43" t="s">
        <v>420</v>
      </c>
      <c r="H76" s="43" t="s">
        <v>414</v>
      </c>
      <c r="I76" s="43" t="s">
        <v>775</v>
      </c>
      <c r="J76" s="43" t="s">
        <v>4</v>
      </c>
      <c r="K76" s="43" t="s">
        <v>398</v>
      </c>
      <c r="L76" s="43" t="s">
        <v>89</v>
      </c>
      <c r="M76" s="44">
        <v>0.65277777777777779</v>
      </c>
      <c r="N76" s="44">
        <v>0.91666666666666663</v>
      </c>
      <c r="O76" s="44">
        <v>0.26388888888888884</v>
      </c>
      <c r="P76" s="45">
        <v>42256</v>
      </c>
      <c r="Q76" s="45">
        <v>42662</v>
      </c>
      <c r="R76" s="45" t="s">
        <v>68</v>
      </c>
      <c r="S76" s="45" t="s">
        <v>2351</v>
      </c>
      <c r="T76" s="31">
        <v>23908</v>
      </c>
      <c r="U76" s="31" t="s">
        <v>2367</v>
      </c>
    </row>
    <row r="77" spans="2:21">
      <c r="B77" s="155"/>
      <c r="C77" s="155">
        <v>30691</v>
      </c>
      <c r="D77" s="43">
        <v>882221</v>
      </c>
      <c r="E77" s="43">
        <v>17142</v>
      </c>
      <c r="F77" s="43" t="s">
        <v>230</v>
      </c>
      <c r="G77" s="43" t="s">
        <v>420</v>
      </c>
      <c r="H77" s="43" t="s">
        <v>414</v>
      </c>
      <c r="I77" s="43" t="s">
        <v>775</v>
      </c>
      <c r="J77" s="43" t="s">
        <v>4</v>
      </c>
      <c r="K77" s="43" t="s">
        <v>398</v>
      </c>
      <c r="L77" s="43" t="s">
        <v>89</v>
      </c>
      <c r="M77" s="44">
        <v>0.65277777777777779</v>
      </c>
      <c r="N77" s="44">
        <v>0.91666666666666663</v>
      </c>
      <c r="O77" s="44">
        <v>0.26388888888888884</v>
      </c>
      <c r="P77" s="45">
        <v>42131</v>
      </c>
      <c r="Q77" s="45">
        <v>42566</v>
      </c>
      <c r="R77" s="45" t="s">
        <v>68</v>
      </c>
      <c r="S77" s="45" t="s">
        <v>563</v>
      </c>
      <c r="T77" s="31">
        <v>810336</v>
      </c>
      <c r="U77" s="31" t="s">
        <v>914</v>
      </c>
    </row>
    <row r="78" spans="2:21">
      <c r="B78" s="155"/>
      <c r="C78" s="155">
        <v>24018</v>
      </c>
      <c r="D78" s="43">
        <v>793223</v>
      </c>
      <c r="E78" s="43">
        <v>17175</v>
      </c>
      <c r="F78" s="43" t="s">
        <v>2705</v>
      </c>
      <c r="G78" s="43" t="s">
        <v>420</v>
      </c>
      <c r="H78" s="43" t="s">
        <v>414</v>
      </c>
      <c r="I78" s="43" t="s">
        <v>775</v>
      </c>
      <c r="J78" s="43" t="s">
        <v>4</v>
      </c>
      <c r="K78" s="43" t="s">
        <v>398</v>
      </c>
      <c r="L78" s="43" t="s">
        <v>89</v>
      </c>
      <c r="M78" s="44">
        <v>0.65277777777777779</v>
      </c>
      <c r="N78" s="44">
        <v>0.91666666666666663</v>
      </c>
      <c r="O78" s="44">
        <v>0.26388888888888884</v>
      </c>
      <c r="P78" s="45">
        <v>41289</v>
      </c>
      <c r="Q78" s="45">
        <v>42457</v>
      </c>
      <c r="R78" s="45" t="s">
        <v>68</v>
      </c>
      <c r="S78" s="45" t="s">
        <v>561</v>
      </c>
      <c r="T78" s="31">
        <v>810152</v>
      </c>
      <c r="U78" s="31" t="s">
        <v>912</v>
      </c>
    </row>
    <row r="79" spans="2:21">
      <c r="B79" s="155"/>
      <c r="C79" s="155">
        <v>22675</v>
      </c>
      <c r="D79" s="43">
        <v>776136</v>
      </c>
      <c r="E79" s="43">
        <v>12516</v>
      </c>
      <c r="F79" s="43" t="s">
        <v>261</v>
      </c>
      <c r="G79" s="43" t="s">
        <v>416</v>
      </c>
      <c r="H79" s="43" t="s">
        <v>414</v>
      </c>
      <c r="I79" s="43" t="s">
        <v>775</v>
      </c>
      <c r="J79" s="43" t="s">
        <v>4</v>
      </c>
      <c r="K79" s="43" t="s">
        <v>399</v>
      </c>
      <c r="L79" s="43" t="s">
        <v>89</v>
      </c>
      <c r="M79" s="44">
        <v>0.35416666666666669</v>
      </c>
      <c r="N79" s="44">
        <v>0.72916666666666663</v>
      </c>
      <c r="O79" s="44">
        <v>0.375</v>
      </c>
      <c r="P79" s="45">
        <v>41127</v>
      </c>
      <c r="Q79" s="45">
        <v>42461</v>
      </c>
      <c r="R79" s="45" t="s">
        <v>68</v>
      </c>
      <c r="S79" s="45" t="s">
        <v>593</v>
      </c>
      <c r="T79" s="31" t="s">
        <v>2</v>
      </c>
      <c r="U79" s="31" t="s">
        <v>944</v>
      </c>
    </row>
    <row r="80" spans="2:21">
      <c r="B80" s="155"/>
      <c r="C80" s="155">
        <v>19976</v>
      </c>
      <c r="D80" s="43">
        <v>755847</v>
      </c>
      <c r="E80" s="43">
        <v>12746</v>
      </c>
      <c r="F80" s="43" t="s">
        <v>262</v>
      </c>
      <c r="G80" s="43" t="s">
        <v>411</v>
      </c>
      <c r="H80" s="43" t="s">
        <v>413</v>
      </c>
      <c r="I80" s="43" t="s">
        <v>775</v>
      </c>
      <c r="J80" s="43" t="s">
        <v>4</v>
      </c>
      <c r="K80" s="43" t="s">
        <v>399</v>
      </c>
      <c r="L80" s="43" t="s">
        <v>89</v>
      </c>
      <c r="M80" s="44">
        <v>0.375</v>
      </c>
      <c r="N80" s="44">
        <v>0.75</v>
      </c>
      <c r="O80" s="44">
        <v>0.375</v>
      </c>
      <c r="P80" s="45">
        <v>40889</v>
      </c>
      <c r="Q80" s="45">
        <v>42590</v>
      </c>
      <c r="R80" s="45" t="s">
        <v>68</v>
      </c>
      <c r="S80" s="45" t="s">
        <v>594</v>
      </c>
      <c r="T80" s="31" t="s">
        <v>2</v>
      </c>
      <c r="U80" s="31" t="s">
        <v>945</v>
      </c>
    </row>
    <row r="81" spans="2:21">
      <c r="B81" s="155"/>
      <c r="C81" s="155">
        <v>23651</v>
      </c>
      <c r="D81" s="43">
        <v>790317</v>
      </c>
      <c r="E81" s="43">
        <v>12486</v>
      </c>
      <c r="F81" s="43" t="s">
        <v>2702</v>
      </c>
      <c r="G81" s="43" t="s">
        <v>418</v>
      </c>
      <c r="H81" s="43" t="s">
        <v>414</v>
      </c>
      <c r="I81" s="43" t="s">
        <v>775</v>
      </c>
      <c r="J81" s="43" t="s">
        <v>4</v>
      </c>
      <c r="K81" s="43" t="s">
        <v>399</v>
      </c>
      <c r="L81" s="43" t="s">
        <v>89</v>
      </c>
      <c r="M81" s="44">
        <v>2.3333333333333335</v>
      </c>
      <c r="N81" s="44">
        <v>0.70833333333333337</v>
      </c>
      <c r="O81" s="44">
        <v>0.375</v>
      </c>
      <c r="P81" s="45">
        <v>41253</v>
      </c>
      <c r="Q81" s="45">
        <v>42431</v>
      </c>
      <c r="R81" s="45" t="s">
        <v>68</v>
      </c>
      <c r="S81" s="45" t="s">
        <v>2250</v>
      </c>
      <c r="T81" s="31" t="s">
        <v>2</v>
      </c>
      <c r="U81" s="31" t="s">
        <v>2249</v>
      </c>
    </row>
    <row r="82" spans="2:21">
      <c r="B82" s="155"/>
      <c r="C82" s="155">
        <v>21437</v>
      </c>
      <c r="D82" s="43">
        <v>766108</v>
      </c>
      <c r="E82" s="43">
        <v>12316</v>
      </c>
      <c r="F82" s="43" t="s">
        <v>268</v>
      </c>
      <c r="G82" s="43" t="s">
        <v>420</v>
      </c>
      <c r="H82" s="43" t="s">
        <v>414</v>
      </c>
      <c r="I82" s="43" t="s">
        <v>775</v>
      </c>
      <c r="J82" s="43" t="s">
        <v>5</v>
      </c>
      <c r="K82" s="43" t="s">
        <v>399</v>
      </c>
      <c r="L82" s="43" t="s">
        <v>89</v>
      </c>
      <c r="M82" s="44">
        <v>2.4583333333333335</v>
      </c>
      <c r="N82" s="44">
        <v>0.83333333333333326</v>
      </c>
      <c r="O82" s="44">
        <v>0.375</v>
      </c>
      <c r="P82" s="45">
        <v>41008</v>
      </c>
      <c r="Q82" s="45">
        <v>42738</v>
      </c>
      <c r="R82" s="45" t="s">
        <v>68</v>
      </c>
      <c r="S82" s="45" t="s">
        <v>599</v>
      </c>
      <c r="T82" s="31" t="s">
        <v>2</v>
      </c>
      <c r="U82" s="31" t="s">
        <v>950</v>
      </c>
    </row>
    <row r="83" spans="2:21">
      <c r="B83" s="155"/>
      <c r="C83" s="155">
        <v>17839</v>
      </c>
      <c r="D83" s="43">
        <v>732222</v>
      </c>
      <c r="E83" s="43">
        <v>12504</v>
      </c>
      <c r="F83" s="43" t="s">
        <v>266</v>
      </c>
      <c r="G83" s="43" t="s">
        <v>417</v>
      </c>
      <c r="H83" s="43" t="s">
        <v>414</v>
      </c>
      <c r="I83" s="43" t="s">
        <v>775</v>
      </c>
      <c r="J83" s="43" t="s">
        <v>4</v>
      </c>
      <c r="K83" s="43" t="s">
        <v>399</v>
      </c>
      <c r="L83" s="43" t="s">
        <v>89</v>
      </c>
      <c r="M83" s="44">
        <v>2.5416666666666665</v>
      </c>
      <c r="N83" s="44">
        <v>0.91666666666666663</v>
      </c>
      <c r="O83" s="44">
        <v>0.375</v>
      </c>
      <c r="P83" s="45">
        <v>40711</v>
      </c>
      <c r="Q83" s="45">
        <v>42585</v>
      </c>
      <c r="R83" s="45" t="s">
        <v>68</v>
      </c>
      <c r="S83" s="45" t="s">
        <v>598</v>
      </c>
      <c r="T83" s="31" t="s">
        <v>2</v>
      </c>
      <c r="U83" s="31" t="s">
        <v>948</v>
      </c>
    </row>
    <row r="84" spans="2:21">
      <c r="B84" s="155"/>
      <c r="C84" s="155">
        <v>14405</v>
      </c>
      <c r="D84" s="43">
        <v>714240</v>
      </c>
      <c r="E84" s="43">
        <v>12682</v>
      </c>
      <c r="F84" s="43" t="s">
        <v>273</v>
      </c>
      <c r="G84" s="43" t="s">
        <v>413</v>
      </c>
      <c r="H84" s="43" t="s">
        <v>413</v>
      </c>
      <c r="I84" s="43" t="s">
        <v>775</v>
      </c>
      <c r="J84" s="43" t="s">
        <v>4</v>
      </c>
      <c r="K84" s="43" t="s">
        <v>400</v>
      </c>
      <c r="L84" s="43" t="s">
        <v>89</v>
      </c>
      <c r="M84" s="44">
        <v>0.33333333333333331</v>
      </c>
      <c r="N84" s="44">
        <v>0.70833333333333337</v>
      </c>
      <c r="O84" s="44">
        <v>0.375</v>
      </c>
      <c r="P84" s="45">
        <v>40519</v>
      </c>
      <c r="Q84" s="45">
        <v>42672</v>
      </c>
      <c r="R84" s="45" t="s">
        <v>68</v>
      </c>
      <c r="S84" s="45" t="s">
        <v>602</v>
      </c>
      <c r="T84" s="31" t="s">
        <v>2</v>
      </c>
      <c r="U84" s="31" t="s">
        <v>953</v>
      </c>
    </row>
    <row r="85" spans="2:21">
      <c r="B85" s="155"/>
      <c r="C85" s="155">
        <v>22933</v>
      </c>
      <c r="D85" s="43">
        <v>778931</v>
      </c>
      <c r="E85" s="43">
        <v>12740</v>
      </c>
      <c r="F85" s="43" t="s">
        <v>279</v>
      </c>
      <c r="G85" s="43" t="s">
        <v>413</v>
      </c>
      <c r="H85" s="43" t="s">
        <v>413</v>
      </c>
      <c r="I85" s="43" t="s">
        <v>775</v>
      </c>
      <c r="J85" s="43" t="s">
        <v>4</v>
      </c>
      <c r="K85" s="43" t="s">
        <v>400</v>
      </c>
      <c r="L85" s="43" t="s">
        <v>89</v>
      </c>
      <c r="M85" s="44">
        <v>0.375</v>
      </c>
      <c r="N85" s="44">
        <v>0.75</v>
      </c>
      <c r="O85" s="44">
        <v>0.375</v>
      </c>
      <c r="P85" s="45">
        <v>41155</v>
      </c>
      <c r="Q85" s="45" t="s">
        <v>2</v>
      </c>
      <c r="R85" s="45" t="s">
        <v>68</v>
      </c>
      <c r="S85" s="45" t="s">
        <v>608</v>
      </c>
      <c r="T85" s="31" t="s">
        <v>2</v>
      </c>
      <c r="U85" s="31" t="s">
        <v>959</v>
      </c>
    </row>
    <row r="86" spans="2:21">
      <c r="B86" s="155"/>
      <c r="C86" s="155">
        <v>12768</v>
      </c>
      <c r="D86" s="43">
        <v>697079</v>
      </c>
      <c r="E86" s="43">
        <v>12681</v>
      </c>
      <c r="F86" s="43" t="s">
        <v>272</v>
      </c>
      <c r="G86" s="43" t="s">
        <v>413</v>
      </c>
      <c r="H86" s="43" t="s">
        <v>413</v>
      </c>
      <c r="I86" s="43" t="s">
        <v>775</v>
      </c>
      <c r="J86" s="43" t="s">
        <v>4</v>
      </c>
      <c r="K86" s="43" t="s">
        <v>400</v>
      </c>
      <c r="L86" s="43" t="s">
        <v>89</v>
      </c>
      <c r="M86" s="44">
        <v>0.375</v>
      </c>
      <c r="N86" s="44">
        <v>0.75</v>
      </c>
      <c r="O86" s="44">
        <v>0.375</v>
      </c>
      <c r="P86" s="45">
        <v>40308</v>
      </c>
      <c r="Q86" s="45" t="s">
        <v>2</v>
      </c>
      <c r="R86" s="45" t="s">
        <v>68</v>
      </c>
      <c r="S86" s="45" t="s">
        <v>601</v>
      </c>
      <c r="T86" s="31" t="s">
        <v>2</v>
      </c>
      <c r="U86" s="31" t="s">
        <v>952</v>
      </c>
    </row>
    <row r="87" spans="2:21">
      <c r="B87" s="155"/>
      <c r="C87" s="155">
        <v>11057</v>
      </c>
      <c r="D87" s="43">
        <v>688809</v>
      </c>
      <c r="E87" s="43">
        <v>12582</v>
      </c>
      <c r="F87" s="43" t="s">
        <v>133</v>
      </c>
      <c r="G87" s="43" t="s">
        <v>411</v>
      </c>
      <c r="H87" s="43" t="s">
        <v>413</v>
      </c>
      <c r="I87" s="43" t="s">
        <v>775</v>
      </c>
      <c r="J87" s="43" t="s">
        <v>4</v>
      </c>
      <c r="K87" s="43" t="s">
        <v>400</v>
      </c>
      <c r="L87" s="43" t="s">
        <v>89</v>
      </c>
      <c r="M87" s="44">
        <v>0.375</v>
      </c>
      <c r="N87" s="44">
        <v>0.75</v>
      </c>
      <c r="O87" s="44">
        <v>0.375</v>
      </c>
      <c r="P87" s="45">
        <v>39995</v>
      </c>
      <c r="Q87" s="45">
        <v>42410</v>
      </c>
      <c r="R87" s="45" t="s">
        <v>68</v>
      </c>
      <c r="S87" s="45" t="s">
        <v>468</v>
      </c>
      <c r="T87" s="31" t="s">
        <v>2</v>
      </c>
      <c r="U87" s="31" t="s">
        <v>820</v>
      </c>
    </row>
    <row r="88" spans="2:21">
      <c r="B88" s="155"/>
      <c r="C88" s="155">
        <v>25394</v>
      </c>
      <c r="D88" s="43">
        <v>804545</v>
      </c>
      <c r="E88" s="43">
        <v>12701</v>
      </c>
      <c r="F88" s="43" t="s">
        <v>274</v>
      </c>
      <c r="G88" s="43" t="s">
        <v>413</v>
      </c>
      <c r="H88" s="43" t="s">
        <v>413</v>
      </c>
      <c r="I88" s="43" t="s">
        <v>775</v>
      </c>
      <c r="J88" s="43" t="s">
        <v>4</v>
      </c>
      <c r="K88" s="43" t="s">
        <v>400</v>
      </c>
      <c r="L88" s="43" t="s">
        <v>89</v>
      </c>
      <c r="M88" s="44">
        <v>0.39583333333333331</v>
      </c>
      <c r="N88" s="44">
        <v>0.77083333333333337</v>
      </c>
      <c r="O88" s="44">
        <v>0.375</v>
      </c>
      <c r="P88" s="45">
        <v>41402</v>
      </c>
      <c r="Q88" s="45">
        <v>42700</v>
      </c>
      <c r="R88" s="45" t="s">
        <v>68</v>
      </c>
      <c r="S88" s="45" t="s">
        <v>603</v>
      </c>
      <c r="T88" s="31" t="s">
        <v>2</v>
      </c>
      <c r="U88" s="31" t="s">
        <v>954</v>
      </c>
    </row>
    <row r="89" spans="2:21">
      <c r="B89" s="155"/>
      <c r="C89" s="155">
        <v>14182</v>
      </c>
      <c r="D89" s="43">
        <v>712772</v>
      </c>
      <c r="E89" s="43">
        <v>12799</v>
      </c>
      <c r="F89" s="43" t="s">
        <v>276</v>
      </c>
      <c r="G89" s="43" t="s">
        <v>413</v>
      </c>
      <c r="H89" s="43" t="s">
        <v>413</v>
      </c>
      <c r="I89" s="43" t="s">
        <v>775</v>
      </c>
      <c r="J89" s="43" t="s">
        <v>4</v>
      </c>
      <c r="K89" s="43" t="s">
        <v>400</v>
      </c>
      <c r="L89" s="43" t="s">
        <v>89</v>
      </c>
      <c r="M89" s="44">
        <v>0.39583333333333331</v>
      </c>
      <c r="N89" s="44">
        <v>0.77083333333333337</v>
      </c>
      <c r="O89" s="44">
        <v>0.375</v>
      </c>
      <c r="P89" s="45">
        <v>40500</v>
      </c>
      <c r="Q89" s="45">
        <v>42637</v>
      </c>
      <c r="R89" s="45" t="s">
        <v>68</v>
      </c>
      <c r="S89" s="45" t="s">
        <v>605</v>
      </c>
      <c r="T89" s="31" t="s">
        <v>2</v>
      </c>
      <c r="U89" s="31" t="s">
        <v>956</v>
      </c>
    </row>
    <row r="90" spans="2:21">
      <c r="B90" s="155"/>
      <c r="C90" s="155">
        <v>10930</v>
      </c>
      <c r="D90" s="43">
        <v>689274</v>
      </c>
      <c r="E90" s="43">
        <v>12730</v>
      </c>
      <c r="F90" s="43" t="s">
        <v>278</v>
      </c>
      <c r="G90" s="43" t="s">
        <v>413</v>
      </c>
      <c r="H90" s="43" t="s">
        <v>413</v>
      </c>
      <c r="I90" s="43" t="s">
        <v>775</v>
      </c>
      <c r="J90" s="43" t="s">
        <v>4</v>
      </c>
      <c r="K90" s="43" t="s">
        <v>400</v>
      </c>
      <c r="L90" s="43" t="s">
        <v>89</v>
      </c>
      <c r="M90" s="44">
        <v>0.39583333333333331</v>
      </c>
      <c r="N90" s="44">
        <v>0.77083333333333337</v>
      </c>
      <c r="O90" s="44">
        <v>0.375</v>
      </c>
      <c r="P90" s="45">
        <v>39967</v>
      </c>
      <c r="Q90" s="45" t="s">
        <v>2</v>
      </c>
      <c r="R90" s="45" t="s">
        <v>68</v>
      </c>
      <c r="S90" s="45" t="s">
        <v>607</v>
      </c>
      <c r="T90" s="31" t="s">
        <v>2</v>
      </c>
      <c r="U90" s="31" t="s">
        <v>958</v>
      </c>
    </row>
    <row r="91" spans="2:21">
      <c r="B91" s="155"/>
      <c r="C91" s="155">
        <v>17901</v>
      </c>
      <c r="D91" s="43">
        <v>732385</v>
      </c>
      <c r="E91" s="43">
        <v>12737</v>
      </c>
      <c r="F91" s="43" t="s">
        <v>275</v>
      </c>
      <c r="G91" s="43" t="s">
        <v>413</v>
      </c>
      <c r="H91" s="43" t="s">
        <v>413</v>
      </c>
      <c r="I91" s="43" t="s">
        <v>775</v>
      </c>
      <c r="J91" s="43" t="s">
        <v>4</v>
      </c>
      <c r="K91" s="43" t="s">
        <v>400</v>
      </c>
      <c r="L91" s="43" t="s">
        <v>89</v>
      </c>
      <c r="M91" s="44">
        <v>0.41666666666666669</v>
      </c>
      <c r="N91" s="44">
        <v>0.79166666666666663</v>
      </c>
      <c r="O91" s="44">
        <v>0.375</v>
      </c>
      <c r="P91" s="45">
        <v>40711</v>
      </c>
      <c r="Q91" s="45" t="s">
        <v>2</v>
      </c>
      <c r="R91" s="45" t="s">
        <v>68</v>
      </c>
      <c r="S91" s="45" t="s">
        <v>604</v>
      </c>
      <c r="T91" s="31" t="s">
        <v>2</v>
      </c>
      <c r="U91" s="31" t="s">
        <v>955</v>
      </c>
    </row>
    <row r="92" spans="2:21">
      <c r="B92" s="155"/>
      <c r="C92" s="155">
        <v>11680</v>
      </c>
      <c r="D92" s="43">
        <v>689074</v>
      </c>
      <c r="E92" s="43">
        <v>12702</v>
      </c>
      <c r="F92" s="43" t="s">
        <v>277</v>
      </c>
      <c r="G92" s="43" t="s">
        <v>413</v>
      </c>
      <c r="H92" s="43" t="s">
        <v>413</v>
      </c>
      <c r="I92" s="43" t="s">
        <v>775</v>
      </c>
      <c r="J92" s="43" t="s">
        <v>4</v>
      </c>
      <c r="K92" s="43" t="s">
        <v>400</v>
      </c>
      <c r="L92" s="43" t="s">
        <v>89</v>
      </c>
      <c r="M92" s="44">
        <v>0.41666666666666669</v>
      </c>
      <c r="N92" s="44">
        <v>0.79166666666666663</v>
      </c>
      <c r="O92" s="44">
        <v>0.375</v>
      </c>
      <c r="P92" s="45">
        <v>40121</v>
      </c>
      <c r="Q92" s="45">
        <v>42541</v>
      </c>
      <c r="R92" s="45" t="s">
        <v>68</v>
      </c>
      <c r="S92" s="45" t="s">
        <v>606</v>
      </c>
      <c r="T92" s="31" t="s">
        <v>2</v>
      </c>
      <c r="U92" s="31" t="s">
        <v>957</v>
      </c>
    </row>
    <row r="93" spans="2:21">
      <c r="B93" s="155"/>
      <c r="C93" s="155">
        <v>15720</v>
      </c>
      <c r="D93" s="43">
        <v>721306</v>
      </c>
      <c r="E93" s="43">
        <v>12379</v>
      </c>
      <c r="F93" s="43" t="s">
        <v>286</v>
      </c>
      <c r="G93" s="43" t="s">
        <v>424</v>
      </c>
      <c r="H93" s="43" t="s">
        <v>413</v>
      </c>
      <c r="I93" s="43" t="s">
        <v>775</v>
      </c>
      <c r="J93" s="43" t="s">
        <v>4</v>
      </c>
      <c r="K93" s="43" t="s">
        <v>401</v>
      </c>
      <c r="L93" s="43" t="s">
        <v>89</v>
      </c>
      <c r="M93" s="44">
        <v>0.33333333333333331</v>
      </c>
      <c r="N93" s="44">
        <v>0.70833333333333337</v>
      </c>
      <c r="O93" s="44">
        <v>0.375</v>
      </c>
      <c r="P93" s="45">
        <v>40611</v>
      </c>
      <c r="Q93" s="45">
        <v>42508</v>
      </c>
      <c r="R93" s="45" t="s">
        <v>68</v>
      </c>
      <c r="S93" s="45" t="s">
        <v>615</v>
      </c>
      <c r="T93" s="31" t="s">
        <v>2</v>
      </c>
      <c r="U93" s="31" t="s">
        <v>966</v>
      </c>
    </row>
    <row r="94" spans="2:21">
      <c r="B94" s="155"/>
      <c r="C94" s="155">
        <v>27528</v>
      </c>
      <c r="D94" s="43">
        <v>831263</v>
      </c>
      <c r="E94" s="43">
        <v>12174</v>
      </c>
      <c r="F94" s="43" t="s">
        <v>288</v>
      </c>
      <c r="G94" s="43" t="s">
        <v>424</v>
      </c>
      <c r="H94" s="43" t="s">
        <v>413</v>
      </c>
      <c r="I94" s="43" t="s">
        <v>775</v>
      </c>
      <c r="J94" s="43" t="s">
        <v>4</v>
      </c>
      <c r="K94" s="43" t="s">
        <v>401</v>
      </c>
      <c r="L94" s="43" t="s">
        <v>89</v>
      </c>
      <c r="M94" s="44">
        <v>0.375</v>
      </c>
      <c r="N94" s="44">
        <v>0.75</v>
      </c>
      <c r="O94" s="44">
        <v>0.375</v>
      </c>
      <c r="P94" s="45">
        <v>41676</v>
      </c>
      <c r="Q94" s="45">
        <v>42594</v>
      </c>
      <c r="R94" s="45" t="s">
        <v>68</v>
      </c>
      <c r="S94" s="45" t="s">
        <v>617</v>
      </c>
      <c r="T94" s="31" t="s">
        <v>2</v>
      </c>
      <c r="U94" s="31" t="s">
        <v>968</v>
      </c>
    </row>
    <row r="95" spans="2:21">
      <c r="B95" s="155"/>
      <c r="C95" s="155">
        <v>13633</v>
      </c>
      <c r="D95" s="43">
        <v>706560</v>
      </c>
      <c r="E95" s="43">
        <v>12437</v>
      </c>
      <c r="F95" s="43" t="s">
        <v>291</v>
      </c>
      <c r="G95" s="43" t="s">
        <v>424</v>
      </c>
      <c r="H95" s="43" t="s">
        <v>413</v>
      </c>
      <c r="I95" s="43" t="s">
        <v>775</v>
      </c>
      <c r="J95" s="43" t="s">
        <v>4</v>
      </c>
      <c r="K95" s="43" t="s">
        <v>401</v>
      </c>
      <c r="L95" s="43" t="s">
        <v>89</v>
      </c>
      <c r="M95" s="44">
        <v>0.375</v>
      </c>
      <c r="N95" s="44">
        <v>0.75</v>
      </c>
      <c r="O95" s="44">
        <v>0.375</v>
      </c>
      <c r="P95" s="45">
        <v>40429</v>
      </c>
      <c r="Q95" s="45">
        <v>42541</v>
      </c>
      <c r="R95" s="45" t="s">
        <v>68</v>
      </c>
      <c r="S95" s="45" t="s">
        <v>619</v>
      </c>
      <c r="T95" s="31" t="s">
        <v>2</v>
      </c>
      <c r="U95" s="31" t="s">
        <v>971</v>
      </c>
    </row>
    <row r="96" spans="2:21">
      <c r="B96" s="155"/>
      <c r="C96" s="155">
        <v>27235</v>
      </c>
      <c r="D96" s="43">
        <v>827460</v>
      </c>
      <c r="E96" s="43">
        <v>12664</v>
      </c>
      <c r="F96" s="43" t="s">
        <v>293</v>
      </c>
      <c r="G96" s="43" t="s">
        <v>424</v>
      </c>
      <c r="H96" s="43" t="s">
        <v>413</v>
      </c>
      <c r="I96" s="43" t="s">
        <v>775</v>
      </c>
      <c r="J96" s="43" t="s">
        <v>4</v>
      </c>
      <c r="K96" s="43" t="s">
        <v>401</v>
      </c>
      <c r="L96" s="43" t="s">
        <v>89</v>
      </c>
      <c r="M96" s="44">
        <v>0.375</v>
      </c>
      <c r="N96" s="44">
        <v>0.75</v>
      </c>
      <c r="O96" s="44">
        <v>0.375</v>
      </c>
      <c r="P96" s="45">
        <v>41620</v>
      </c>
      <c r="Q96" s="45">
        <v>42590</v>
      </c>
      <c r="R96" s="45" t="s">
        <v>68</v>
      </c>
      <c r="S96" s="45" t="s">
        <v>621</v>
      </c>
      <c r="T96" s="31" t="s">
        <v>2</v>
      </c>
      <c r="U96" s="31" t="s">
        <v>973</v>
      </c>
    </row>
    <row r="97" spans="2:21">
      <c r="B97" s="155"/>
      <c r="C97" s="155">
        <v>17778</v>
      </c>
      <c r="D97" s="43">
        <v>732096</v>
      </c>
      <c r="E97" s="43">
        <v>12307</v>
      </c>
      <c r="F97" s="43" t="s">
        <v>287</v>
      </c>
      <c r="G97" s="43" t="s">
        <v>424</v>
      </c>
      <c r="H97" s="43" t="s">
        <v>413</v>
      </c>
      <c r="I97" s="43" t="s">
        <v>775</v>
      </c>
      <c r="J97" s="43" t="s">
        <v>4</v>
      </c>
      <c r="K97" s="43" t="s">
        <v>401</v>
      </c>
      <c r="L97" s="43" t="s">
        <v>89</v>
      </c>
      <c r="M97" s="44">
        <v>0.41666666666666669</v>
      </c>
      <c r="N97" s="44">
        <v>0.79166666666666663</v>
      </c>
      <c r="O97" s="44">
        <v>0.375</v>
      </c>
      <c r="P97" s="45">
        <v>40711</v>
      </c>
      <c r="Q97" s="45">
        <v>42508</v>
      </c>
      <c r="R97" s="45" t="s">
        <v>68</v>
      </c>
      <c r="S97" s="45" t="s">
        <v>616</v>
      </c>
      <c r="T97" s="31" t="s">
        <v>2</v>
      </c>
      <c r="U97" s="31" t="s">
        <v>967</v>
      </c>
    </row>
    <row r="98" spans="2:21">
      <c r="B98" s="155"/>
      <c r="C98" s="155">
        <v>27522</v>
      </c>
      <c r="D98" s="43">
        <v>831255</v>
      </c>
      <c r="E98" s="43">
        <v>12186</v>
      </c>
      <c r="F98" s="43" t="s">
        <v>296</v>
      </c>
      <c r="G98" s="43" t="s">
        <v>424</v>
      </c>
      <c r="H98" s="43" t="s">
        <v>413</v>
      </c>
      <c r="I98" s="43" t="s">
        <v>775</v>
      </c>
      <c r="J98" s="43" t="s">
        <v>4</v>
      </c>
      <c r="K98" s="43" t="s">
        <v>401</v>
      </c>
      <c r="L98" s="43" t="s">
        <v>89</v>
      </c>
      <c r="M98" s="44">
        <v>0.47916666666666669</v>
      </c>
      <c r="N98" s="44">
        <v>0.85416666666666663</v>
      </c>
      <c r="O98" s="44">
        <v>0.375</v>
      </c>
      <c r="P98" s="45">
        <v>41676</v>
      </c>
      <c r="Q98" s="45">
        <v>42459</v>
      </c>
      <c r="R98" s="45" t="s">
        <v>68</v>
      </c>
      <c r="S98" s="45" t="s">
        <v>624</v>
      </c>
      <c r="T98" s="31" t="s">
        <v>2</v>
      </c>
      <c r="U98" s="31" t="s">
        <v>976</v>
      </c>
    </row>
    <row r="99" spans="2:21">
      <c r="B99" s="155"/>
      <c r="C99" s="155">
        <v>14255</v>
      </c>
      <c r="D99" s="43">
        <v>712907</v>
      </c>
      <c r="E99" s="43">
        <v>12793</v>
      </c>
      <c r="F99" s="43" t="s">
        <v>289</v>
      </c>
      <c r="G99" s="43" t="s">
        <v>424</v>
      </c>
      <c r="H99" s="43" t="s">
        <v>413</v>
      </c>
      <c r="I99" s="43" t="s">
        <v>775</v>
      </c>
      <c r="J99" s="43" t="s">
        <v>4</v>
      </c>
      <c r="K99" s="43" t="s">
        <v>401</v>
      </c>
      <c r="L99" s="43" t="s">
        <v>89</v>
      </c>
      <c r="M99" s="44">
        <v>0.5</v>
      </c>
      <c r="N99" s="44">
        <v>0.875</v>
      </c>
      <c r="O99" s="44">
        <v>0.375</v>
      </c>
      <c r="P99" s="45">
        <v>40500</v>
      </c>
      <c r="Q99" s="45">
        <v>42682</v>
      </c>
      <c r="R99" s="45" t="s">
        <v>68</v>
      </c>
      <c r="S99" s="45" t="s">
        <v>618</v>
      </c>
      <c r="T99" s="31" t="s">
        <v>2</v>
      </c>
      <c r="U99" s="31" t="s">
        <v>969</v>
      </c>
    </row>
    <row r="100" spans="2:21">
      <c r="B100" s="155"/>
      <c r="C100" s="155">
        <v>30696</v>
      </c>
      <c r="D100" s="43">
        <v>882226</v>
      </c>
      <c r="E100" s="43">
        <v>12300</v>
      </c>
      <c r="F100" s="43" t="s">
        <v>351</v>
      </c>
      <c r="G100" s="43" t="s">
        <v>418</v>
      </c>
      <c r="H100" s="43" t="s">
        <v>414</v>
      </c>
      <c r="I100" s="43" t="s">
        <v>775</v>
      </c>
      <c r="J100" s="43" t="s">
        <v>4</v>
      </c>
      <c r="K100" s="43" t="s">
        <v>403</v>
      </c>
      <c r="L100" s="43" t="s">
        <v>89</v>
      </c>
      <c r="M100" s="44">
        <v>0.33333333333333331</v>
      </c>
      <c r="N100" s="44">
        <v>0.59722222222222221</v>
      </c>
      <c r="O100" s="44">
        <v>0.2638888888888889</v>
      </c>
      <c r="P100" s="45">
        <v>42131</v>
      </c>
      <c r="Q100" s="45">
        <v>42706</v>
      </c>
      <c r="R100" s="45" t="s">
        <v>68</v>
      </c>
      <c r="S100" s="45" t="s">
        <v>679</v>
      </c>
      <c r="T100" s="31">
        <v>810354</v>
      </c>
      <c r="U100" s="31" t="s">
        <v>1030</v>
      </c>
    </row>
    <row r="101" spans="2:21">
      <c r="B101" s="155"/>
      <c r="C101" s="155">
        <v>26363</v>
      </c>
      <c r="D101" s="43">
        <v>816967</v>
      </c>
      <c r="E101" s="43">
        <v>17009</v>
      </c>
      <c r="F101" s="43" t="s">
        <v>331</v>
      </c>
      <c r="G101" s="43" t="s">
        <v>418</v>
      </c>
      <c r="H101" s="43" t="s">
        <v>414</v>
      </c>
      <c r="I101" s="43" t="s">
        <v>775</v>
      </c>
      <c r="J101" s="43" t="s">
        <v>4</v>
      </c>
      <c r="K101" s="43" t="s">
        <v>403</v>
      </c>
      <c r="L101" s="43" t="s">
        <v>89</v>
      </c>
      <c r="M101" s="44">
        <v>0.33333333333333331</v>
      </c>
      <c r="N101" s="44">
        <v>0.59722222222222221</v>
      </c>
      <c r="O101" s="44">
        <v>0.2638888888888889</v>
      </c>
      <c r="P101" s="45">
        <v>41528</v>
      </c>
      <c r="Q101" s="45">
        <v>42522</v>
      </c>
      <c r="R101" s="45" t="s">
        <v>68</v>
      </c>
      <c r="S101" s="45" t="s">
        <v>658</v>
      </c>
      <c r="T101" s="31">
        <v>810048</v>
      </c>
      <c r="U101" s="31" t="s">
        <v>1009</v>
      </c>
    </row>
    <row r="102" spans="2:21">
      <c r="B102" s="155"/>
      <c r="C102" s="155">
        <v>31389</v>
      </c>
      <c r="D102" s="43">
        <v>909801</v>
      </c>
      <c r="E102" s="43">
        <v>12290</v>
      </c>
      <c r="F102" s="43" t="s">
        <v>2417</v>
      </c>
      <c r="G102" s="43" t="s">
        <v>418</v>
      </c>
      <c r="H102" s="43" t="s">
        <v>414</v>
      </c>
      <c r="I102" s="43" t="s">
        <v>775</v>
      </c>
      <c r="J102" s="43" t="s">
        <v>4</v>
      </c>
      <c r="K102" s="43" t="s">
        <v>403</v>
      </c>
      <c r="L102" s="43" t="s">
        <v>89</v>
      </c>
      <c r="M102" s="44">
        <v>0.33333333333333331</v>
      </c>
      <c r="N102" s="44">
        <v>0.59722222222222221</v>
      </c>
      <c r="O102" s="44">
        <v>0.2638888888888889</v>
      </c>
      <c r="P102" s="45">
        <v>42340</v>
      </c>
      <c r="Q102" s="45" t="s">
        <v>2</v>
      </c>
      <c r="R102" s="45" t="s">
        <v>68</v>
      </c>
      <c r="S102" s="45" t="s">
        <v>2465</v>
      </c>
      <c r="T102" s="31">
        <v>24210</v>
      </c>
      <c r="U102" s="31" t="s">
        <v>2442</v>
      </c>
    </row>
    <row r="103" spans="2:21">
      <c r="B103" s="155"/>
      <c r="C103" s="155">
        <v>31504</v>
      </c>
      <c r="D103" s="43">
        <v>915104</v>
      </c>
      <c r="E103" s="43">
        <v>17004</v>
      </c>
      <c r="F103" s="43" t="s">
        <v>2672</v>
      </c>
      <c r="G103" s="43" t="s">
        <v>418</v>
      </c>
      <c r="H103" s="43" t="s">
        <v>414</v>
      </c>
      <c r="I103" s="43" t="s">
        <v>775</v>
      </c>
      <c r="J103" s="43" t="s">
        <v>4</v>
      </c>
      <c r="K103" s="43" t="s">
        <v>403</v>
      </c>
      <c r="L103" s="43" t="s">
        <v>89</v>
      </c>
      <c r="M103" s="44">
        <v>0.33333333333333331</v>
      </c>
      <c r="N103" s="44">
        <v>0.59722222222222221</v>
      </c>
      <c r="O103" s="44">
        <v>0.2638888888888889</v>
      </c>
      <c r="P103" s="45">
        <v>42404</v>
      </c>
      <c r="Q103" s="45">
        <v>42500</v>
      </c>
      <c r="R103" s="45" t="s">
        <v>68</v>
      </c>
      <c r="S103" s="45" t="s">
        <v>2742</v>
      </c>
      <c r="T103" s="31">
        <v>810396</v>
      </c>
      <c r="U103" s="31" t="s">
        <v>2706</v>
      </c>
    </row>
    <row r="104" spans="2:21">
      <c r="B104" s="155"/>
      <c r="C104" s="155">
        <v>22515</v>
      </c>
      <c r="D104" s="43">
        <v>773793</v>
      </c>
      <c r="E104" s="43">
        <v>17196</v>
      </c>
      <c r="F104" s="43" t="s">
        <v>315</v>
      </c>
      <c r="G104" s="43" t="s">
        <v>418</v>
      </c>
      <c r="H104" s="43" t="s">
        <v>414</v>
      </c>
      <c r="I104" s="43" t="s">
        <v>775</v>
      </c>
      <c r="J104" s="43" t="s">
        <v>4</v>
      </c>
      <c r="K104" s="43" t="s">
        <v>403</v>
      </c>
      <c r="L104" s="43" t="s">
        <v>89</v>
      </c>
      <c r="M104" s="44">
        <v>0.33333333333333331</v>
      </c>
      <c r="N104" s="44">
        <v>0.67499999999999993</v>
      </c>
      <c r="O104" s="44">
        <v>0.34166666666666662</v>
      </c>
      <c r="P104" s="45">
        <v>41102</v>
      </c>
      <c r="Q104" s="45">
        <v>42528</v>
      </c>
      <c r="R104" s="45" t="s">
        <v>68</v>
      </c>
      <c r="S104" s="45" t="s">
        <v>642</v>
      </c>
      <c r="T104" s="31">
        <v>810059</v>
      </c>
      <c r="U104" s="31" t="s">
        <v>993</v>
      </c>
    </row>
    <row r="105" spans="2:21">
      <c r="B105" s="155"/>
      <c r="C105" s="155">
        <v>31058</v>
      </c>
      <c r="D105" s="43">
        <v>893773</v>
      </c>
      <c r="E105" s="43">
        <v>12304</v>
      </c>
      <c r="F105" s="43" t="s">
        <v>2257</v>
      </c>
      <c r="G105" s="43" t="s">
        <v>418</v>
      </c>
      <c r="H105" s="43" t="s">
        <v>414</v>
      </c>
      <c r="I105" s="43" t="s">
        <v>775</v>
      </c>
      <c r="J105" s="43" t="s">
        <v>4</v>
      </c>
      <c r="K105" s="43" t="s">
        <v>403</v>
      </c>
      <c r="L105" s="43" t="s">
        <v>89</v>
      </c>
      <c r="M105" s="44">
        <v>0.33333333333333331</v>
      </c>
      <c r="N105" s="44">
        <v>0.59722222222222221</v>
      </c>
      <c r="O105" s="44">
        <v>0.2638888888888889</v>
      </c>
      <c r="P105" s="45">
        <v>42227</v>
      </c>
      <c r="Q105" s="45">
        <v>42705</v>
      </c>
      <c r="R105" s="45" t="s">
        <v>68</v>
      </c>
      <c r="S105" s="45" t="s">
        <v>2305</v>
      </c>
      <c r="T105" s="31">
        <v>23485</v>
      </c>
      <c r="U105" s="31" t="s">
        <v>2278</v>
      </c>
    </row>
    <row r="106" spans="2:21">
      <c r="B106" s="155"/>
      <c r="C106" s="155">
        <v>29885</v>
      </c>
      <c r="D106" s="43">
        <v>868201</v>
      </c>
      <c r="E106" s="43">
        <v>17065</v>
      </c>
      <c r="F106" s="43" t="s">
        <v>340</v>
      </c>
      <c r="G106" s="43" t="s">
        <v>418</v>
      </c>
      <c r="H106" s="43" t="s">
        <v>414</v>
      </c>
      <c r="I106" s="43" t="s">
        <v>775</v>
      </c>
      <c r="J106" s="43" t="s">
        <v>4</v>
      </c>
      <c r="K106" s="43" t="s">
        <v>403</v>
      </c>
      <c r="L106" s="43" t="s">
        <v>89</v>
      </c>
      <c r="M106" s="44">
        <v>0.375</v>
      </c>
      <c r="N106" s="44">
        <v>0.63888888888888895</v>
      </c>
      <c r="O106" s="44">
        <v>0.2638888888888889</v>
      </c>
      <c r="P106" s="45">
        <v>41983</v>
      </c>
      <c r="Q106" s="45">
        <v>42705</v>
      </c>
      <c r="R106" s="45" t="s">
        <v>68</v>
      </c>
      <c r="S106" s="45" t="s">
        <v>667</v>
      </c>
      <c r="T106" s="31">
        <v>810261</v>
      </c>
      <c r="U106" s="31" t="s">
        <v>1018</v>
      </c>
    </row>
    <row r="107" spans="2:21">
      <c r="B107" s="155"/>
      <c r="C107" s="155">
        <v>32626</v>
      </c>
      <c r="D107" s="43">
        <v>930897</v>
      </c>
      <c r="E107" s="43">
        <v>17143</v>
      </c>
      <c r="F107" s="43" t="s">
        <v>2806</v>
      </c>
      <c r="G107" s="43" t="s">
        <v>418</v>
      </c>
      <c r="H107" s="43" t="s">
        <v>414</v>
      </c>
      <c r="I107" s="43" t="s">
        <v>775</v>
      </c>
      <c r="J107" s="43" t="s">
        <v>4</v>
      </c>
      <c r="K107" s="43" t="s">
        <v>403</v>
      </c>
      <c r="L107" s="43" t="s">
        <v>89</v>
      </c>
      <c r="M107" s="44">
        <v>0.375</v>
      </c>
      <c r="N107" s="44">
        <v>0.63888888888888895</v>
      </c>
      <c r="O107" s="44">
        <v>0.2638888888888889</v>
      </c>
      <c r="P107" s="45">
        <v>42529</v>
      </c>
      <c r="Q107" s="45">
        <v>42529</v>
      </c>
      <c r="R107" s="45" t="s">
        <v>68</v>
      </c>
      <c r="S107" s="45" t="s">
        <v>2847</v>
      </c>
      <c r="T107" s="31">
        <v>24684</v>
      </c>
      <c r="U107" s="31" t="s">
        <v>2825</v>
      </c>
    </row>
    <row r="108" spans="2:21">
      <c r="B108" s="155"/>
      <c r="C108" s="155">
        <v>31054</v>
      </c>
      <c r="D108" s="43">
        <v>893769</v>
      </c>
      <c r="E108" s="43">
        <v>17172</v>
      </c>
      <c r="F108" s="43" t="s">
        <v>2254</v>
      </c>
      <c r="G108" s="43" t="s">
        <v>418</v>
      </c>
      <c r="H108" s="43" t="s">
        <v>414</v>
      </c>
      <c r="I108" s="43" t="s">
        <v>775</v>
      </c>
      <c r="J108" s="43" t="s">
        <v>4</v>
      </c>
      <c r="K108" s="43" t="s">
        <v>403</v>
      </c>
      <c r="L108" s="43" t="s">
        <v>89</v>
      </c>
      <c r="M108" s="44">
        <v>0.375</v>
      </c>
      <c r="N108" s="44">
        <v>0.63888888888888895</v>
      </c>
      <c r="O108" s="44">
        <v>0.2638888888888889</v>
      </c>
      <c r="P108" s="45">
        <v>42227</v>
      </c>
      <c r="Q108" s="45">
        <v>42641</v>
      </c>
      <c r="R108" s="45" t="s">
        <v>68</v>
      </c>
      <c r="S108" s="45" t="s">
        <v>2303</v>
      </c>
      <c r="T108" s="31">
        <v>23484</v>
      </c>
      <c r="U108" s="31" t="s">
        <v>2274</v>
      </c>
    </row>
    <row r="109" spans="2:21">
      <c r="B109" s="155"/>
      <c r="C109" s="155">
        <v>30603</v>
      </c>
      <c r="D109" s="43">
        <v>878994</v>
      </c>
      <c r="E109" s="43">
        <v>17082</v>
      </c>
      <c r="F109" s="43" t="s">
        <v>346</v>
      </c>
      <c r="G109" s="43" t="s">
        <v>418</v>
      </c>
      <c r="H109" s="43" t="s">
        <v>414</v>
      </c>
      <c r="I109" s="43" t="s">
        <v>775</v>
      </c>
      <c r="J109" s="43" t="s">
        <v>4</v>
      </c>
      <c r="K109" s="43" t="s">
        <v>403</v>
      </c>
      <c r="L109" s="43" t="s">
        <v>89</v>
      </c>
      <c r="M109" s="44">
        <v>0.375</v>
      </c>
      <c r="N109" s="44">
        <v>0.63888888888888895</v>
      </c>
      <c r="O109" s="44">
        <v>0.2638888888888889</v>
      </c>
      <c r="P109" s="45">
        <v>42107</v>
      </c>
      <c r="Q109" s="45">
        <v>42522</v>
      </c>
      <c r="R109" s="45" t="s">
        <v>68</v>
      </c>
      <c r="S109" s="45" t="s">
        <v>673</v>
      </c>
      <c r="T109" s="31">
        <v>810345</v>
      </c>
      <c r="U109" s="31" t="s">
        <v>1024</v>
      </c>
    </row>
    <row r="110" spans="2:21">
      <c r="B110" s="155"/>
      <c r="C110" s="155">
        <v>30180</v>
      </c>
      <c r="D110" s="43">
        <v>873186</v>
      </c>
      <c r="E110" s="43">
        <v>17104</v>
      </c>
      <c r="F110" s="43" t="s">
        <v>329</v>
      </c>
      <c r="G110" s="43" t="s">
        <v>418</v>
      </c>
      <c r="H110" s="43" t="s">
        <v>414</v>
      </c>
      <c r="I110" s="43" t="s">
        <v>775</v>
      </c>
      <c r="J110" s="43" t="s">
        <v>4</v>
      </c>
      <c r="K110" s="43" t="s">
        <v>403</v>
      </c>
      <c r="L110" s="43" t="s">
        <v>89</v>
      </c>
      <c r="M110" s="44">
        <v>0.39583333333333331</v>
      </c>
      <c r="N110" s="44">
        <v>0.73749999999999993</v>
      </c>
      <c r="O110" s="44">
        <v>0.34166666666666662</v>
      </c>
      <c r="P110" s="45">
        <v>42044</v>
      </c>
      <c r="Q110" s="45">
        <v>42492</v>
      </c>
      <c r="R110" s="45" t="s">
        <v>68</v>
      </c>
      <c r="S110" s="45" t="s">
        <v>656</v>
      </c>
      <c r="T110" s="31">
        <v>810238</v>
      </c>
      <c r="U110" s="31" t="s">
        <v>1007</v>
      </c>
    </row>
    <row r="111" spans="2:21">
      <c r="B111" s="155"/>
      <c r="C111" s="155">
        <v>29865</v>
      </c>
      <c r="D111" s="43">
        <v>868181</v>
      </c>
      <c r="E111" s="43">
        <v>17087</v>
      </c>
      <c r="F111" s="43" t="s">
        <v>319</v>
      </c>
      <c r="G111" s="43" t="s">
        <v>417</v>
      </c>
      <c r="H111" s="43" t="s">
        <v>414</v>
      </c>
      <c r="I111" s="43" t="s">
        <v>775</v>
      </c>
      <c r="J111" s="43" t="s">
        <v>4</v>
      </c>
      <c r="K111" s="43" t="s">
        <v>403</v>
      </c>
      <c r="L111" s="43" t="s">
        <v>89</v>
      </c>
      <c r="M111" s="44">
        <v>0.41666666666666669</v>
      </c>
      <c r="N111" s="44">
        <v>0.7583333333333333</v>
      </c>
      <c r="O111" s="44">
        <v>0.34166666666666662</v>
      </c>
      <c r="P111" s="45">
        <v>41983</v>
      </c>
      <c r="Q111" s="45">
        <v>42664</v>
      </c>
      <c r="R111" s="45" t="s">
        <v>68</v>
      </c>
      <c r="S111" s="45" t="s">
        <v>646</v>
      </c>
      <c r="T111" s="31">
        <v>810243</v>
      </c>
      <c r="U111" s="31" t="s">
        <v>997</v>
      </c>
    </row>
    <row r="112" spans="2:21">
      <c r="B112" s="155"/>
      <c r="C112" s="155">
        <v>30456</v>
      </c>
      <c r="D112" s="43">
        <v>876661</v>
      </c>
      <c r="E112" s="43">
        <v>17134</v>
      </c>
      <c r="F112" s="43" t="s">
        <v>301</v>
      </c>
      <c r="G112" s="43" t="s">
        <v>418</v>
      </c>
      <c r="H112" s="43" t="s">
        <v>414</v>
      </c>
      <c r="I112" s="43" t="s">
        <v>775</v>
      </c>
      <c r="J112" s="43" t="s">
        <v>10</v>
      </c>
      <c r="K112" s="43" t="s">
        <v>403</v>
      </c>
      <c r="L112" s="43" t="s">
        <v>89</v>
      </c>
      <c r="M112" s="44">
        <v>0.41666666666666669</v>
      </c>
      <c r="N112" s="44">
        <v>0.7583333333333333</v>
      </c>
      <c r="O112" s="44">
        <v>0.34166666666666662</v>
      </c>
      <c r="P112" s="45">
        <v>42079</v>
      </c>
      <c r="Q112" s="45">
        <v>42705</v>
      </c>
      <c r="R112" s="45" t="s">
        <v>68</v>
      </c>
      <c r="S112" s="45" t="s">
        <v>629</v>
      </c>
      <c r="T112" s="31">
        <v>810277</v>
      </c>
      <c r="U112" s="31" t="s">
        <v>981</v>
      </c>
    </row>
    <row r="113" spans="2:21">
      <c r="B113" s="155"/>
      <c r="C113" s="155">
        <v>16379</v>
      </c>
      <c r="D113" s="43">
        <v>724445</v>
      </c>
      <c r="E113" s="43">
        <v>12878</v>
      </c>
      <c r="F113" s="43" t="s">
        <v>347</v>
      </c>
      <c r="G113" s="43" t="s">
        <v>418</v>
      </c>
      <c r="H113" s="43" t="s">
        <v>414</v>
      </c>
      <c r="I113" s="43" t="s">
        <v>775</v>
      </c>
      <c r="J113" s="43" t="s">
        <v>9</v>
      </c>
      <c r="K113" s="43" t="s">
        <v>403</v>
      </c>
      <c r="L113" s="43" t="s">
        <v>89</v>
      </c>
      <c r="M113" s="44">
        <v>0.41666666666666669</v>
      </c>
      <c r="N113" s="44">
        <v>0.7583333333333333</v>
      </c>
      <c r="O113" s="44">
        <v>0.34166666666666662</v>
      </c>
      <c r="P113" s="45">
        <v>40634</v>
      </c>
      <c r="Q113" s="45">
        <v>42710</v>
      </c>
      <c r="R113" s="45" t="s">
        <v>68</v>
      </c>
      <c r="S113" s="45" t="s">
        <v>674</v>
      </c>
      <c r="T113" s="31">
        <v>23479</v>
      </c>
      <c r="U113" s="31" t="s">
        <v>1025</v>
      </c>
    </row>
    <row r="114" spans="2:21">
      <c r="B114" s="155"/>
      <c r="C114" s="155">
        <v>26949</v>
      </c>
      <c r="D114" s="43">
        <v>823999</v>
      </c>
      <c r="E114" s="43">
        <v>17137</v>
      </c>
      <c r="F114" s="43" t="s">
        <v>317</v>
      </c>
      <c r="G114" s="43" t="s">
        <v>417</v>
      </c>
      <c r="H114" s="43" t="s">
        <v>414</v>
      </c>
      <c r="I114" s="43" t="s">
        <v>775</v>
      </c>
      <c r="J114" s="43" t="s">
        <v>4</v>
      </c>
      <c r="K114" s="43" t="s">
        <v>403</v>
      </c>
      <c r="L114" s="43" t="s">
        <v>89</v>
      </c>
      <c r="M114" s="44">
        <v>0.4916666666666667</v>
      </c>
      <c r="N114" s="44">
        <v>0.83333333333333337</v>
      </c>
      <c r="O114" s="44">
        <v>0.34166666666666662</v>
      </c>
      <c r="P114" s="45">
        <v>41584</v>
      </c>
      <c r="Q114" s="45">
        <v>42523</v>
      </c>
      <c r="R114" s="45" t="s">
        <v>68</v>
      </c>
      <c r="S114" s="45" t="s">
        <v>644</v>
      </c>
      <c r="T114" s="31">
        <v>810080</v>
      </c>
      <c r="U114" s="31" t="s">
        <v>995</v>
      </c>
    </row>
    <row r="115" spans="2:21">
      <c r="B115" s="155"/>
      <c r="C115" s="155">
        <v>29863</v>
      </c>
      <c r="D115" s="43">
        <v>868179</v>
      </c>
      <c r="E115" s="43">
        <v>17023</v>
      </c>
      <c r="F115" s="43" t="s">
        <v>326</v>
      </c>
      <c r="G115" s="43" t="s">
        <v>417</v>
      </c>
      <c r="H115" s="43" t="s">
        <v>414</v>
      </c>
      <c r="I115" s="43" t="s">
        <v>775</v>
      </c>
      <c r="J115" s="43" t="s">
        <v>9</v>
      </c>
      <c r="K115" s="43" t="s">
        <v>403</v>
      </c>
      <c r="L115" s="43" t="s">
        <v>89</v>
      </c>
      <c r="M115" s="44">
        <v>0.57500000000000007</v>
      </c>
      <c r="N115" s="44">
        <v>0.91666666666666663</v>
      </c>
      <c r="O115" s="44">
        <v>0.34166666666666662</v>
      </c>
      <c r="P115" s="45">
        <v>41983</v>
      </c>
      <c r="Q115" s="45">
        <v>42710</v>
      </c>
      <c r="R115" s="45" t="s">
        <v>68</v>
      </c>
      <c r="S115" s="45" t="s">
        <v>653</v>
      </c>
      <c r="T115" s="31">
        <v>810242</v>
      </c>
      <c r="U115" s="31" t="s">
        <v>1004</v>
      </c>
    </row>
    <row r="116" spans="2:21">
      <c r="B116" s="155"/>
      <c r="C116" s="155">
        <v>28885</v>
      </c>
      <c r="D116" s="43">
        <v>847839</v>
      </c>
      <c r="E116" s="43">
        <v>12055</v>
      </c>
      <c r="F116" s="43" t="s">
        <v>318</v>
      </c>
      <c r="G116" s="43" t="s">
        <v>417</v>
      </c>
      <c r="H116" s="43" t="s">
        <v>414</v>
      </c>
      <c r="I116" s="43" t="s">
        <v>775</v>
      </c>
      <c r="J116" s="43" t="s">
        <v>6</v>
      </c>
      <c r="K116" s="43" t="s">
        <v>403</v>
      </c>
      <c r="L116" s="43" t="s">
        <v>89</v>
      </c>
      <c r="M116" s="44">
        <v>0.57500000000000007</v>
      </c>
      <c r="N116" s="44">
        <v>0.91666666666666663</v>
      </c>
      <c r="O116" s="44">
        <v>0.34166666666666662</v>
      </c>
      <c r="P116" s="45">
        <v>41830</v>
      </c>
      <c r="Q116" s="45">
        <v>42527</v>
      </c>
      <c r="R116" s="45" t="s">
        <v>68</v>
      </c>
      <c r="S116" s="45" t="s">
        <v>645</v>
      </c>
      <c r="T116" s="31">
        <v>810084</v>
      </c>
      <c r="U116" s="31" t="s">
        <v>996</v>
      </c>
    </row>
    <row r="117" spans="2:21">
      <c r="B117" s="155"/>
      <c r="C117" s="155">
        <v>31405</v>
      </c>
      <c r="D117" s="43">
        <v>909818</v>
      </c>
      <c r="E117" s="43">
        <v>12303</v>
      </c>
      <c r="F117" s="43" t="s">
        <v>2420</v>
      </c>
      <c r="G117" s="43" t="s">
        <v>417</v>
      </c>
      <c r="H117" s="43" t="s">
        <v>414</v>
      </c>
      <c r="I117" s="43" t="s">
        <v>775</v>
      </c>
      <c r="J117" s="43" t="s">
        <v>4</v>
      </c>
      <c r="K117" s="43" t="s">
        <v>403</v>
      </c>
      <c r="L117" s="43" t="s">
        <v>89</v>
      </c>
      <c r="M117" s="44">
        <v>0.59722222222222221</v>
      </c>
      <c r="N117" s="44">
        <v>0.86111111111111116</v>
      </c>
      <c r="O117" s="44">
        <v>0.2638888888888889</v>
      </c>
      <c r="P117" s="45">
        <v>42340</v>
      </c>
      <c r="Q117" s="45">
        <v>42706</v>
      </c>
      <c r="R117" s="45" t="s">
        <v>68</v>
      </c>
      <c r="S117" s="45" t="s">
        <v>2470</v>
      </c>
      <c r="T117" s="31">
        <v>24216</v>
      </c>
      <c r="U117" s="31" t="s">
        <v>2447</v>
      </c>
    </row>
    <row r="118" spans="2:21">
      <c r="B118" s="155"/>
      <c r="C118" s="155">
        <v>31400</v>
      </c>
      <c r="D118" s="43">
        <v>909813</v>
      </c>
      <c r="E118" s="43">
        <v>12295</v>
      </c>
      <c r="F118" s="43" t="s">
        <v>2424</v>
      </c>
      <c r="G118" s="43" t="s">
        <v>417</v>
      </c>
      <c r="H118" s="43" t="s">
        <v>414</v>
      </c>
      <c r="I118" s="43" t="s">
        <v>775</v>
      </c>
      <c r="J118" s="43" t="s">
        <v>4</v>
      </c>
      <c r="K118" s="43" t="s">
        <v>403</v>
      </c>
      <c r="L118" s="43" t="s">
        <v>89</v>
      </c>
      <c r="M118" s="44">
        <v>0.59722222222222221</v>
      </c>
      <c r="N118" s="44">
        <v>0.86111111111111116</v>
      </c>
      <c r="O118" s="44">
        <v>0.2638888888888889</v>
      </c>
      <c r="P118" s="45">
        <v>42340</v>
      </c>
      <c r="Q118" s="45">
        <v>42691</v>
      </c>
      <c r="R118" s="45" t="s">
        <v>68</v>
      </c>
      <c r="S118" s="45" t="s">
        <v>2467</v>
      </c>
      <c r="T118" s="31">
        <v>24214</v>
      </c>
      <c r="U118" s="31" t="s">
        <v>2444</v>
      </c>
    </row>
    <row r="119" spans="2:21">
      <c r="B119" s="155"/>
      <c r="C119" s="155">
        <v>31518</v>
      </c>
      <c r="D119" s="43">
        <v>915118</v>
      </c>
      <c r="E119" s="43">
        <v>17048</v>
      </c>
      <c r="F119" s="43" t="s">
        <v>2684</v>
      </c>
      <c r="G119" s="43" t="s">
        <v>417</v>
      </c>
      <c r="H119" s="43" t="s">
        <v>414</v>
      </c>
      <c r="I119" s="43" t="s">
        <v>775</v>
      </c>
      <c r="J119" s="43" t="s">
        <v>4</v>
      </c>
      <c r="K119" s="43" t="s">
        <v>403</v>
      </c>
      <c r="L119" s="43" t="s">
        <v>89</v>
      </c>
      <c r="M119" s="44">
        <v>0.59722222222222221</v>
      </c>
      <c r="N119" s="44">
        <v>0.86111111111111116</v>
      </c>
      <c r="O119" s="44">
        <v>0.2638888888888889</v>
      </c>
      <c r="P119" s="45">
        <v>42404</v>
      </c>
      <c r="Q119" s="45" t="s">
        <v>2</v>
      </c>
      <c r="R119" s="45" t="s">
        <v>68</v>
      </c>
      <c r="S119" s="45" t="s">
        <v>2748</v>
      </c>
      <c r="T119" s="31">
        <v>810389</v>
      </c>
      <c r="U119" s="31" t="s">
        <v>2700</v>
      </c>
    </row>
    <row r="120" spans="2:21">
      <c r="B120" s="155"/>
      <c r="C120" s="155">
        <v>32625</v>
      </c>
      <c r="D120" s="43">
        <v>930896</v>
      </c>
      <c r="E120" s="43">
        <v>17189</v>
      </c>
      <c r="F120" s="43" t="s">
        <v>2810</v>
      </c>
      <c r="G120" s="43" t="s">
        <v>417</v>
      </c>
      <c r="H120" s="43" t="s">
        <v>414</v>
      </c>
      <c r="I120" s="43" t="s">
        <v>775</v>
      </c>
      <c r="J120" s="43" t="s">
        <v>4</v>
      </c>
      <c r="K120" s="43" t="s">
        <v>403</v>
      </c>
      <c r="L120" s="43" t="s">
        <v>89</v>
      </c>
      <c r="M120" s="44">
        <v>0.59722222222222221</v>
      </c>
      <c r="N120" s="44">
        <v>0.86111111111111116</v>
      </c>
      <c r="O120" s="44">
        <v>0.26388888888888895</v>
      </c>
      <c r="P120" s="45">
        <v>42529</v>
      </c>
      <c r="Q120" s="45">
        <v>42709</v>
      </c>
      <c r="R120" s="45" t="s">
        <v>68</v>
      </c>
      <c r="S120" s="45" t="s">
        <v>2849</v>
      </c>
      <c r="T120" s="31">
        <v>24682</v>
      </c>
      <c r="U120" s="31" t="s">
        <v>2827</v>
      </c>
    </row>
    <row r="121" spans="2:21">
      <c r="B121" s="155"/>
      <c r="C121" s="155">
        <v>21689</v>
      </c>
      <c r="D121" s="43">
        <v>767835</v>
      </c>
      <c r="E121" s="43">
        <v>12772</v>
      </c>
      <c r="F121" s="43" t="s">
        <v>227</v>
      </c>
      <c r="G121" s="43" t="s">
        <v>417</v>
      </c>
      <c r="H121" s="43" t="s">
        <v>414</v>
      </c>
      <c r="I121" s="43" t="s">
        <v>775</v>
      </c>
      <c r="J121" s="43" t="s">
        <v>6</v>
      </c>
      <c r="K121" s="43" t="s">
        <v>403</v>
      </c>
      <c r="L121" s="43" t="s">
        <v>89</v>
      </c>
      <c r="M121" s="44">
        <v>0.63888888888888895</v>
      </c>
      <c r="N121" s="44">
        <v>0.90277777777777779</v>
      </c>
      <c r="O121" s="44">
        <v>0.2638888888888889</v>
      </c>
      <c r="P121" s="45">
        <v>41032</v>
      </c>
      <c r="Q121" s="45">
        <v>42401</v>
      </c>
      <c r="R121" s="45" t="s">
        <v>68</v>
      </c>
      <c r="S121" s="45" t="s">
        <v>559</v>
      </c>
      <c r="T121" s="31">
        <v>810120</v>
      </c>
      <c r="U121" s="31" t="s">
        <v>910</v>
      </c>
    </row>
    <row r="122" spans="2:21">
      <c r="B122" s="155"/>
      <c r="C122" s="155">
        <v>22384</v>
      </c>
      <c r="D122" s="43">
        <v>772790</v>
      </c>
      <c r="E122" s="43">
        <v>17141</v>
      </c>
      <c r="F122" s="43" t="s">
        <v>311</v>
      </c>
      <c r="G122" s="43" t="s">
        <v>417</v>
      </c>
      <c r="H122" s="43" t="s">
        <v>414</v>
      </c>
      <c r="I122" s="43" t="s">
        <v>775</v>
      </c>
      <c r="J122" s="43" t="s">
        <v>4</v>
      </c>
      <c r="K122" s="43" t="s">
        <v>403</v>
      </c>
      <c r="L122" s="43" t="s">
        <v>89</v>
      </c>
      <c r="M122" s="44">
        <v>0.65277777777777779</v>
      </c>
      <c r="N122" s="44">
        <v>0.91666666666666663</v>
      </c>
      <c r="O122" s="44">
        <v>0.2638888888888889</v>
      </c>
      <c r="P122" s="45">
        <v>41092</v>
      </c>
      <c r="Q122" s="45">
        <v>42670</v>
      </c>
      <c r="R122" s="45" t="s">
        <v>68</v>
      </c>
      <c r="S122" s="45" t="s">
        <v>638</v>
      </c>
      <c r="T122" s="31">
        <v>810051</v>
      </c>
      <c r="U122" s="31" t="s">
        <v>989</v>
      </c>
    </row>
    <row r="123" spans="2:21">
      <c r="B123" s="155"/>
      <c r="C123" s="155">
        <v>32628</v>
      </c>
      <c r="D123" s="43">
        <v>930899</v>
      </c>
      <c r="E123" s="43">
        <v>17193</v>
      </c>
      <c r="F123" s="43" t="s">
        <v>2813</v>
      </c>
      <c r="G123" s="43" t="s">
        <v>417</v>
      </c>
      <c r="H123" s="43" t="s">
        <v>414</v>
      </c>
      <c r="I123" s="43" t="s">
        <v>775</v>
      </c>
      <c r="J123" s="43" t="s">
        <v>4</v>
      </c>
      <c r="K123" s="43" t="s">
        <v>403</v>
      </c>
      <c r="L123" s="43" t="s">
        <v>89</v>
      </c>
      <c r="M123" s="44">
        <v>0.65277777777777779</v>
      </c>
      <c r="N123" s="44">
        <v>0.91666666666666663</v>
      </c>
      <c r="O123" s="44">
        <v>0.2638888888888889</v>
      </c>
      <c r="P123" s="45">
        <v>42529</v>
      </c>
      <c r="Q123" s="45">
        <v>42529</v>
      </c>
      <c r="R123" s="45" t="s">
        <v>68</v>
      </c>
      <c r="S123" s="45" t="s">
        <v>2850</v>
      </c>
      <c r="T123" s="31">
        <v>24685</v>
      </c>
      <c r="U123" s="31" t="s">
        <v>2829</v>
      </c>
    </row>
    <row r="124" spans="2:21">
      <c r="B124" s="155"/>
      <c r="C124" s="155">
        <v>31436</v>
      </c>
      <c r="D124" s="43">
        <v>911887</v>
      </c>
      <c r="E124" s="43">
        <v>17102</v>
      </c>
      <c r="F124" s="43" t="s">
        <v>2642</v>
      </c>
      <c r="G124" s="43" t="s">
        <v>417</v>
      </c>
      <c r="H124" s="43" t="s">
        <v>414</v>
      </c>
      <c r="I124" s="43" t="s">
        <v>775</v>
      </c>
      <c r="J124" s="43" t="s">
        <v>4</v>
      </c>
      <c r="K124" s="43" t="s">
        <v>403</v>
      </c>
      <c r="L124" s="43" t="s">
        <v>89</v>
      </c>
      <c r="M124" s="44">
        <v>0.65277777777777779</v>
      </c>
      <c r="N124" s="44">
        <v>0.91666666666666663</v>
      </c>
      <c r="O124" s="44">
        <v>0.2638888888888889</v>
      </c>
      <c r="P124" s="45">
        <v>42373</v>
      </c>
      <c r="Q124" s="45" t="s">
        <v>2</v>
      </c>
      <c r="R124" s="45" t="s">
        <v>68</v>
      </c>
      <c r="S124" s="45" t="s">
        <v>2658</v>
      </c>
      <c r="T124" s="31">
        <v>810370</v>
      </c>
      <c r="U124" s="31" t="s">
        <v>2651</v>
      </c>
    </row>
    <row r="125" spans="2:21">
      <c r="B125" s="155"/>
      <c r="C125" s="155">
        <v>30185</v>
      </c>
      <c r="D125" s="43">
        <v>873191</v>
      </c>
      <c r="E125" s="43">
        <v>12521</v>
      </c>
      <c r="F125" s="43" t="s">
        <v>330</v>
      </c>
      <c r="G125" s="43" t="s">
        <v>417</v>
      </c>
      <c r="H125" s="43" t="s">
        <v>414</v>
      </c>
      <c r="I125" s="43" t="s">
        <v>775</v>
      </c>
      <c r="J125" s="43" t="s">
        <v>5</v>
      </c>
      <c r="K125" s="43" t="s">
        <v>403</v>
      </c>
      <c r="L125" s="43" t="s">
        <v>89</v>
      </c>
      <c r="M125" s="44">
        <v>0.65277777777777779</v>
      </c>
      <c r="N125" s="44">
        <v>0.91666666666666663</v>
      </c>
      <c r="O125" s="44">
        <v>0.2638888888888889</v>
      </c>
      <c r="P125" s="45">
        <v>42044</v>
      </c>
      <c r="Q125" s="45">
        <v>42709</v>
      </c>
      <c r="R125" s="45" t="s">
        <v>68</v>
      </c>
      <c r="S125" s="45" t="s">
        <v>657</v>
      </c>
      <c r="T125" s="31">
        <v>810239</v>
      </c>
      <c r="U125" s="31" t="s">
        <v>1008</v>
      </c>
    </row>
    <row r="126" spans="2:21">
      <c r="B126" s="155"/>
      <c r="C126" s="155">
        <v>9780</v>
      </c>
      <c r="D126" s="43">
        <v>689490</v>
      </c>
      <c r="E126" s="43">
        <v>12645</v>
      </c>
      <c r="F126" s="43" t="s">
        <v>328</v>
      </c>
      <c r="G126" s="43" t="s">
        <v>417</v>
      </c>
      <c r="H126" s="43" t="s">
        <v>414</v>
      </c>
      <c r="I126" s="43" t="s">
        <v>775</v>
      </c>
      <c r="J126" s="43" t="s">
        <v>6</v>
      </c>
      <c r="K126" s="43" t="s">
        <v>403</v>
      </c>
      <c r="L126" s="43" t="s">
        <v>89</v>
      </c>
      <c r="M126" s="44">
        <v>0.65277777777777779</v>
      </c>
      <c r="N126" s="44">
        <v>0.91666666666666663</v>
      </c>
      <c r="O126" s="44">
        <v>0.2638888888888889</v>
      </c>
      <c r="P126" s="45">
        <v>39765</v>
      </c>
      <c r="Q126" s="45" t="s">
        <v>2</v>
      </c>
      <c r="R126" s="45" t="s">
        <v>68</v>
      </c>
      <c r="S126" s="45" t="s">
        <v>655</v>
      </c>
      <c r="T126" s="31">
        <v>810076</v>
      </c>
      <c r="U126" s="31" t="s">
        <v>1006</v>
      </c>
    </row>
    <row r="127" spans="2:21">
      <c r="B127" s="155"/>
      <c r="C127" s="155">
        <v>10683</v>
      </c>
      <c r="D127" s="43">
        <v>689277</v>
      </c>
      <c r="E127" s="43" t="s">
        <v>2</v>
      </c>
      <c r="F127" s="43" t="s">
        <v>357</v>
      </c>
      <c r="G127" s="43" t="s">
        <v>414</v>
      </c>
      <c r="H127" s="43" t="s">
        <v>413</v>
      </c>
      <c r="I127" s="43" t="s">
        <v>775</v>
      </c>
      <c r="J127" s="43" t="s">
        <v>6</v>
      </c>
      <c r="K127" s="43" t="s">
        <v>404</v>
      </c>
      <c r="L127" s="43" t="s">
        <v>89</v>
      </c>
      <c r="M127" s="44">
        <v>0.33333333333333331</v>
      </c>
      <c r="N127" s="44">
        <v>0.67499999999999993</v>
      </c>
      <c r="O127" s="44">
        <v>0.34166666666666662</v>
      </c>
      <c r="P127" s="45">
        <v>39917</v>
      </c>
      <c r="Q127" s="45" t="s">
        <v>2</v>
      </c>
      <c r="R127" s="45" t="s">
        <v>68</v>
      </c>
      <c r="S127" s="45" t="s">
        <v>685</v>
      </c>
      <c r="T127" s="31" t="s">
        <v>2</v>
      </c>
      <c r="U127" s="31" t="s">
        <v>1036</v>
      </c>
    </row>
    <row r="128" spans="2:21">
      <c r="B128" s="155"/>
      <c r="C128" s="155">
        <v>19903</v>
      </c>
      <c r="D128" s="43">
        <v>754857</v>
      </c>
      <c r="E128" s="43">
        <v>12866</v>
      </c>
      <c r="F128" s="43" t="s">
        <v>119</v>
      </c>
      <c r="G128" s="43" t="s">
        <v>424</v>
      </c>
      <c r="H128" s="43" t="s">
        <v>413</v>
      </c>
      <c r="I128" s="43" t="s">
        <v>775</v>
      </c>
      <c r="J128" s="43" t="s">
        <v>4</v>
      </c>
      <c r="K128" s="43" t="s">
        <v>405</v>
      </c>
      <c r="L128" s="43" t="s">
        <v>89</v>
      </c>
      <c r="M128" s="44">
        <v>0.33333333333333331</v>
      </c>
      <c r="N128" s="44">
        <v>0.67499999999999993</v>
      </c>
      <c r="O128" s="44">
        <v>0.34166666666666662</v>
      </c>
      <c r="P128" s="45">
        <v>40882</v>
      </c>
      <c r="Q128" s="45">
        <v>42594</v>
      </c>
      <c r="R128" s="45" t="s">
        <v>68</v>
      </c>
      <c r="S128" s="45" t="s">
        <v>454</v>
      </c>
      <c r="T128" s="31">
        <v>810002</v>
      </c>
      <c r="U128" s="31" t="s">
        <v>806</v>
      </c>
    </row>
    <row r="129" spans="2:21">
      <c r="B129" s="155"/>
      <c r="C129" s="155">
        <v>17315</v>
      </c>
      <c r="D129" s="43">
        <v>730379</v>
      </c>
      <c r="E129" s="43">
        <v>12185</v>
      </c>
      <c r="F129" s="43" t="s">
        <v>103</v>
      </c>
      <c r="G129" s="43" t="s">
        <v>424</v>
      </c>
      <c r="H129" s="43" t="s">
        <v>413</v>
      </c>
      <c r="I129" s="43" t="s">
        <v>775</v>
      </c>
      <c r="J129" s="43" t="s">
        <v>4</v>
      </c>
      <c r="K129" s="43" t="s">
        <v>405</v>
      </c>
      <c r="L129" s="43" t="s">
        <v>89</v>
      </c>
      <c r="M129" s="44">
        <v>0.33333333333333331</v>
      </c>
      <c r="N129" s="44">
        <v>0.67499999999999993</v>
      </c>
      <c r="O129" s="44">
        <v>0.34166666666666662</v>
      </c>
      <c r="P129" s="45">
        <v>40695</v>
      </c>
      <c r="Q129" s="45">
        <v>42594</v>
      </c>
      <c r="R129" s="45" t="s">
        <v>68</v>
      </c>
      <c r="S129" s="45" t="s">
        <v>438</v>
      </c>
      <c r="T129" s="31">
        <v>810003</v>
      </c>
      <c r="U129" s="31" t="s">
        <v>790</v>
      </c>
    </row>
    <row r="130" spans="2:21">
      <c r="B130" s="155"/>
      <c r="C130" s="155">
        <v>18572</v>
      </c>
      <c r="D130" s="43">
        <v>739305</v>
      </c>
      <c r="E130" s="43">
        <v>12809</v>
      </c>
      <c r="F130" s="43" t="s">
        <v>109</v>
      </c>
      <c r="G130" s="43" t="s">
        <v>424</v>
      </c>
      <c r="H130" s="43" t="s">
        <v>413</v>
      </c>
      <c r="I130" s="43" t="s">
        <v>775</v>
      </c>
      <c r="J130" s="43" t="s">
        <v>4</v>
      </c>
      <c r="K130" s="43" t="s">
        <v>405</v>
      </c>
      <c r="L130" s="43" t="s">
        <v>89</v>
      </c>
      <c r="M130" s="44">
        <v>0.33333333333333331</v>
      </c>
      <c r="N130" s="44">
        <v>0.59166666666666667</v>
      </c>
      <c r="O130" s="44">
        <v>0.25833333333333336</v>
      </c>
      <c r="P130" s="45">
        <v>40787</v>
      </c>
      <c r="Q130" s="45">
        <v>42709</v>
      </c>
      <c r="R130" s="45" t="s">
        <v>68</v>
      </c>
      <c r="S130" s="45" t="s">
        <v>444</v>
      </c>
      <c r="T130" s="31">
        <v>810008</v>
      </c>
      <c r="U130" s="31" t="s">
        <v>796</v>
      </c>
    </row>
    <row r="131" spans="2:21">
      <c r="B131" s="155"/>
      <c r="C131" s="155">
        <v>16545</v>
      </c>
      <c r="D131" s="43">
        <v>725079</v>
      </c>
      <c r="E131" s="43">
        <v>12577</v>
      </c>
      <c r="F131" s="43" t="s">
        <v>101</v>
      </c>
      <c r="G131" s="43" t="s">
        <v>424</v>
      </c>
      <c r="H131" s="43" t="s">
        <v>413</v>
      </c>
      <c r="I131" s="43" t="s">
        <v>775</v>
      </c>
      <c r="J131" s="43" t="s">
        <v>4</v>
      </c>
      <c r="K131" s="43" t="s">
        <v>405</v>
      </c>
      <c r="L131" s="43" t="s">
        <v>89</v>
      </c>
      <c r="M131" s="44">
        <v>0.33333333333333331</v>
      </c>
      <c r="N131" s="44">
        <v>0.67499999999999993</v>
      </c>
      <c r="O131" s="44">
        <v>0.34166666666666662</v>
      </c>
      <c r="P131" s="45">
        <v>40642</v>
      </c>
      <c r="Q131" s="45">
        <v>42697</v>
      </c>
      <c r="R131" s="45" t="s">
        <v>68</v>
      </c>
      <c r="S131" s="45" t="s">
        <v>436</v>
      </c>
      <c r="T131" s="31">
        <v>810035</v>
      </c>
      <c r="U131" s="31" t="s">
        <v>788</v>
      </c>
    </row>
    <row r="132" spans="2:21">
      <c r="B132" s="155"/>
      <c r="C132" s="155">
        <v>1267</v>
      </c>
      <c r="D132" s="43">
        <v>689163</v>
      </c>
      <c r="E132" s="43">
        <v>12191</v>
      </c>
      <c r="F132" s="43" t="s">
        <v>365</v>
      </c>
      <c r="G132" s="43" t="s">
        <v>424</v>
      </c>
      <c r="H132" s="43" t="s">
        <v>413</v>
      </c>
      <c r="I132" s="43" t="s">
        <v>775</v>
      </c>
      <c r="J132" s="43" t="s">
        <v>6</v>
      </c>
      <c r="K132" s="43" t="s">
        <v>405</v>
      </c>
      <c r="L132" s="43" t="s">
        <v>89</v>
      </c>
      <c r="M132" s="44">
        <v>0.33333333333333331</v>
      </c>
      <c r="N132" s="44">
        <v>0.59722222222222221</v>
      </c>
      <c r="O132" s="44">
        <v>0.2638888888888889</v>
      </c>
      <c r="P132" s="45">
        <v>37316</v>
      </c>
      <c r="Q132" s="45">
        <v>42594</v>
      </c>
      <c r="R132" s="45" t="s">
        <v>68</v>
      </c>
      <c r="S132" s="45" t="s">
        <v>2</v>
      </c>
      <c r="T132" s="31" t="s">
        <v>2</v>
      </c>
      <c r="U132" s="31" t="s">
        <v>2</v>
      </c>
    </row>
    <row r="133" spans="2:21">
      <c r="B133" s="155"/>
      <c r="C133" s="155">
        <v>9644</v>
      </c>
      <c r="D133" s="43">
        <v>689938</v>
      </c>
      <c r="E133" s="43">
        <v>12579</v>
      </c>
      <c r="F133" s="43" t="s">
        <v>377</v>
      </c>
      <c r="G133" s="43" t="s">
        <v>411</v>
      </c>
      <c r="H133" s="43" t="s">
        <v>413</v>
      </c>
      <c r="I133" s="43" t="s">
        <v>775</v>
      </c>
      <c r="J133" s="43" t="s">
        <v>6</v>
      </c>
      <c r="K133" s="43" t="s">
        <v>405</v>
      </c>
      <c r="L133" s="43" t="s">
        <v>89</v>
      </c>
      <c r="M133" s="44">
        <v>0.33333333333333331</v>
      </c>
      <c r="N133" s="44">
        <v>0.70833333333333337</v>
      </c>
      <c r="O133" s="44">
        <v>0.375</v>
      </c>
      <c r="P133" s="45">
        <v>39756</v>
      </c>
      <c r="Q133" s="45">
        <v>42667</v>
      </c>
      <c r="R133" s="45" t="s">
        <v>68</v>
      </c>
      <c r="S133" s="45" t="s">
        <v>702</v>
      </c>
      <c r="T133" s="31" t="s">
        <v>2</v>
      </c>
      <c r="U133" s="31" t="s">
        <v>1051</v>
      </c>
    </row>
    <row r="134" spans="2:21">
      <c r="B134" s="155"/>
      <c r="C134" s="155">
        <v>26028</v>
      </c>
      <c r="D134" s="43">
        <v>813601</v>
      </c>
      <c r="E134" s="43">
        <v>12536</v>
      </c>
      <c r="F134" s="43" t="s">
        <v>112</v>
      </c>
      <c r="G134" s="43" t="s">
        <v>424</v>
      </c>
      <c r="H134" s="43" t="s">
        <v>413</v>
      </c>
      <c r="I134" s="43" t="s">
        <v>775</v>
      </c>
      <c r="J134" s="43" t="s">
        <v>4</v>
      </c>
      <c r="K134" s="43" t="s">
        <v>405</v>
      </c>
      <c r="L134" s="43" t="s">
        <v>89</v>
      </c>
      <c r="M134" s="44">
        <v>0.375</v>
      </c>
      <c r="N134" s="44">
        <v>0.71666666666666667</v>
      </c>
      <c r="O134" s="44">
        <v>0.34166666666666662</v>
      </c>
      <c r="P134" s="45">
        <v>41494</v>
      </c>
      <c r="Q134" s="45">
        <v>42594</v>
      </c>
      <c r="R134" s="45" t="s">
        <v>68</v>
      </c>
      <c r="S134" s="45" t="s">
        <v>447</v>
      </c>
      <c r="T134" s="31">
        <v>810014</v>
      </c>
      <c r="U134" s="31" t="s">
        <v>799</v>
      </c>
    </row>
    <row r="135" spans="2:21">
      <c r="B135" s="155"/>
      <c r="C135" s="155">
        <v>16858</v>
      </c>
      <c r="D135" s="43">
        <v>727083</v>
      </c>
      <c r="E135" s="43">
        <v>12557</v>
      </c>
      <c r="F135" s="43" t="s">
        <v>115</v>
      </c>
      <c r="G135" s="43" t="s">
        <v>424</v>
      </c>
      <c r="H135" s="43" t="s">
        <v>413</v>
      </c>
      <c r="I135" s="43" t="s">
        <v>775</v>
      </c>
      <c r="J135" s="43" t="s">
        <v>4</v>
      </c>
      <c r="K135" s="43" t="s">
        <v>405</v>
      </c>
      <c r="L135" s="43" t="s">
        <v>89</v>
      </c>
      <c r="M135" s="44">
        <v>0.375</v>
      </c>
      <c r="N135" s="44">
        <v>0.71666666666666667</v>
      </c>
      <c r="O135" s="44">
        <v>0.34166666666666662</v>
      </c>
      <c r="P135" s="45">
        <v>40665</v>
      </c>
      <c r="Q135" s="45">
        <v>42594</v>
      </c>
      <c r="R135" s="45" t="s">
        <v>68</v>
      </c>
      <c r="S135" s="45" t="s">
        <v>450</v>
      </c>
      <c r="T135" s="31">
        <v>810025</v>
      </c>
      <c r="U135" s="31" t="s">
        <v>802</v>
      </c>
    </row>
    <row r="136" spans="2:21">
      <c r="B136" s="155"/>
      <c r="C136" s="155">
        <v>16685</v>
      </c>
      <c r="D136" s="43">
        <v>725627</v>
      </c>
      <c r="E136" s="43">
        <v>12208</v>
      </c>
      <c r="F136" s="43" t="s">
        <v>371</v>
      </c>
      <c r="G136" s="43" t="s">
        <v>411</v>
      </c>
      <c r="H136" s="43" t="s">
        <v>413</v>
      </c>
      <c r="I136" s="43" t="s">
        <v>775</v>
      </c>
      <c r="J136" s="43" t="s">
        <v>4</v>
      </c>
      <c r="K136" s="43" t="s">
        <v>405</v>
      </c>
      <c r="L136" s="43" t="s">
        <v>89</v>
      </c>
      <c r="M136" s="44">
        <v>0.375</v>
      </c>
      <c r="N136" s="44">
        <v>0.75</v>
      </c>
      <c r="O136" s="44">
        <v>0.375</v>
      </c>
      <c r="P136" s="45">
        <v>40648</v>
      </c>
      <c r="Q136" s="45" t="s">
        <v>2</v>
      </c>
      <c r="R136" s="45" t="s">
        <v>68</v>
      </c>
      <c r="S136" s="45" t="s">
        <v>697</v>
      </c>
      <c r="T136" s="31" t="s">
        <v>2</v>
      </c>
      <c r="U136" s="31" t="s">
        <v>1046</v>
      </c>
    </row>
    <row r="137" spans="2:21">
      <c r="B137" s="155"/>
      <c r="C137" s="155">
        <v>14915</v>
      </c>
      <c r="D137" s="43">
        <v>716933</v>
      </c>
      <c r="E137" s="43">
        <v>12358</v>
      </c>
      <c r="F137" s="43" t="s">
        <v>374</v>
      </c>
      <c r="G137" s="43" t="s">
        <v>411</v>
      </c>
      <c r="H137" s="43" t="s">
        <v>413</v>
      </c>
      <c r="I137" s="43" t="s">
        <v>775</v>
      </c>
      <c r="J137" s="43" t="s">
        <v>4</v>
      </c>
      <c r="K137" s="43" t="s">
        <v>405</v>
      </c>
      <c r="L137" s="43" t="s">
        <v>89</v>
      </c>
      <c r="M137" s="44">
        <v>0.375</v>
      </c>
      <c r="N137" s="44">
        <v>0.71666666666666667</v>
      </c>
      <c r="O137" s="44">
        <v>0.34166666666666662</v>
      </c>
      <c r="P137" s="45">
        <v>40556</v>
      </c>
      <c r="Q137" s="45">
        <v>42709</v>
      </c>
      <c r="R137" s="45" t="s">
        <v>68</v>
      </c>
      <c r="S137" s="45" t="s">
        <v>700</v>
      </c>
      <c r="T137" s="31" t="s">
        <v>2</v>
      </c>
      <c r="U137" s="31" t="s">
        <v>1049</v>
      </c>
    </row>
    <row r="138" spans="2:21">
      <c r="B138" s="155"/>
      <c r="C138" s="155">
        <v>14417</v>
      </c>
      <c r="D138" s="43">
        <v>714269</v>
      </c>
      <c r="E138" s="43">
        <v>12161</v>
      </c>
      <c r="F138" s="43" t="s">
        <v>108</v>
      </c>
      <c r="G138" s="43" t="s">
        <v>424</v>
      </c>
      <c r="H138" s="43" t="s">
        <v>413</v>
      </c>
      <c r="I138" s="43" t="s">
        <v>775</v>
      </c>
      <c r="J138" s="43" t="s">
        <v>4</v>
      </c>
      <c r="K138" s="43" t="s">
        <v>405</v>
      </c>
      <c r="L138" s="43" t="s">
        <v>89</v>
      </c>
      <c r="M138" s="44">
        <v>0.40833333333333338</v>
      </c>
      <c r="N138" s="44">
        <v>0.75</v>
      </c>
      <c r="O138" s="44">
        <v>0.34166666666666662</v>
      </c>
      <c r="P138" s="45">
        <v>40519</v>
      </c>
      <c r="Q138" s="45">
        <v>42677</v>
      </c>
      <c r="R138" s="45" t="s">
        <v>68</v>
      </c>
      <c r="S138" s="45" t="s">
        <v>443</v>
      </c>
      <c r="T138" s="31">
        <v>810009</v>
      </c>
      <c r="U138" s="31" t="s">
        <v>795</v>
      </c>
    </row>
    <row r="139" spans="2:21">
      <c r="B139" s="155"/>
      <c r="C139" s="155">
        <v>17929</v>
      </c>
      <c r="D139" s="43">
        <v>733371</v>
      </c>
      <c r="E139" s="43">
        <v>12179</v>
      </c>
      <c r="F139" s="43" t="s">
        <v>375</v>
      </c>
      <c r="G139" s="43" t="s">
        <v>411</v>
      </c>
      <c r="H139" s="43" t="s">
        <v>413</v>
      </c>
      <c r="I139" s="43" t="s">
        <v>775</v>
      </c>
      <c r="J139" s="43" t="s">
        <v>4</v>
      </c>
      <c r="K139" s="43" t="s">
        <v>405</v>
      </c>
      <c r="L139" s="43" t="s">
        <v>89</v>
      </c>
      <c r="M139" s="44">
        <v>0.40833333333333338</v>
      </c>
      <c r="N139" s="44">
        <v>0.75</v>
      </c>
      <c r="O139" s="44">
        <v>0.34166666666666662</v>
      </c>
      <c r="P139" s="45">
        <v>40725</v>
      </c>
      <c r="Q139" s="45">
        <v>42586</v>
      </c>
      <c r="R139" s="45" t="s">
        <v>68</v>
      </c>
      <c r="S139" s="45" t="s">
        <v>701</v>
      </c>
      <c r="T139" s="31" t="s">
        <v>2</v>
      </c>
      <c r="U139" s="31" t="s">
        <v>1050</v>
      </c>
    </row>
    <row r="140" spans="2:21">
      <c r="B140" s="155"/>
      <c r="C140" s="155">
        <v>25035</v>
      </c>
      <c r="D140" s="43">
        <v>800552</v>
      </c>
      <c r="E140" s="43">
        <v>12660</v>
      </c>
      <c r="F140" s="43" t="s">
        <v>350</v>
      </c>
      <c r="G140" s="43" t="s">
        <v>424</v>
      </c>
      <c r="H140" s="43" t="s">
        <v>413</v>
      </c>
      <c r="I140" s="43" t="s">
        <v>775</v>
      </c>
      <c r="J140" s="43" t="s">
        <v>5</v>
      </c>
      <c r="K140" s="43" t="s">
        <v>405</v>
      </c>
      <c r="L140" s="43" t="s">
        <v>89</v>
      </c>
      <c r="M140" s="44">
        <v>0.41666666666666669</v>
      </c>
      <c r="N140" s="44">
        <v>0.7583333333333333</v>
      </c>
      <c r="O140" s="44">
        <v>0.34166666666666662</v>
      </c>
      <c r="P140" s="45">
        <v>41368</v>
      </c>
      <c r="Q140" s="45">
        <v>42705</v>
      </c>
      <c r="R140" s="45" t="s">
        <v>68</v>
      </c>
      <c r="S140" s="45" t="s">
        <v>678</v>
      </c>
      <c r="T140" s="31" t="s">
        <v>2</v>
      </c>
      <c r="U140" s="31" t="s">
        <v>1029</v>
      </c>
    </row>
    <row r="141" spans="2:21">
      <c r="B141" s="155"/>
      <c r="C141" s="155">
        <v>10769</v>
      </c>
      <c r="D141" s="43">
        <v>688704</v>
      </c>
      <c r="E141" s="43">
        <v>12308</v>
      </c>
      <c r="F141" s="43" t="s">
        <v>117</v>
      </c>
      <c r="G141" s="43" t="s">
        <v>424</v>
      </c>
      <c r="H141" s="43" t="s">
        <v>413</v>
      </c>
      <c r="I141" s="43" t="s">
        <v>775</v>
      </c>
      <c r="J141" s="43" t="s">
        <v>4</v>
      </c>
      <c r="K141" s="43" t="s">
        <v>405</v>
      </c>
      <c r="L141" s="43" t="s">
        <v>89</v>
      </c>
      <c r="M141" s="44">
        <v>0.41666666666666669</v>
      </c>
      <c r="N141" s="44">
        <v>0.7583333333333333</v>
      </c>
      <c r="O141" s="44">
        <v>0.34166666666666662</v>
      </c>
      <c r="P141" s="45">
        <v>39938</v>
      </c>
      <c r="Q141" s="45">
        <v>42594</v>
      </c>
      <c r="R141" s="45" t="s">
        <v>68</v>
      </c>
      <c r="S141" s="45" t="s">
        <v>452</v>
      </c>
      <c r="T141" s="31">
        <v>810019</v>
      </c>
      <c r="U141" s="31" t="s">
        <v>804</v>
      </c>
    </row>
    <row r="142" spans="2:21">
      <c r="B142" s="155"/>
      <c r="C142" s="155">
        <v>1174</v>
      </c>
      <c r="D142" s="43">
        <v>689023</v>
      </c>
      <c r="E142" s="43">
        <v>12067</v>
      </c>
      <c r="F142" s="43" t="s">
        <v>387</v>
      </c>
      <c r="G142" s="43" t="s">
        <v>388</v>
      </c>
      <c r="H142" s="43" t="s">
        <v>776</v>
      </c>
      <c r="I142" s="43" t="s">
        <v>776</v>
      </c>
      <c r="J142" s="43" t="s">
        <v>5</v>
      </c>
      <c r="K142" s="43" t="s">
        <v>406</v>
      </c>
      <c r="L142" s="43" t="s">
        <v>89</v>
      </c>
      <c r="M142" s="44">
        <v>0.3125</v>
      </c>
      <c r="N142" s="44">
        <v>0.6875</v>
      </c>
      <c r="O142" s="44">
        <v>0.375</v>
      </c>
      <c r="P142" s="45">
        <v>37172</v>
      </c>
      <c r="Q142" s="45">
        <v>42719</v>
      </c>
      <c r="R142" s="45" t="s">
        <v>68</v>
      </c>
      <c r="S142" s="45" t="s">
        <v>2880</v>
      </c>
      <c r="T142" s="31" t="s">
        <v>2</v>
      </c>
      <c r="U142" s="31" t="s">
        <v>1059</v>
      </c>
    </row>
    <row r="143" spans="2:21">
      <c r="B143" s="155"/>
      <c r="C143" s="155">
        <v>24709</v>
      </c>
      <c r="D143" s="43">
        <v>798678</v>
      </c>
      <c r="E143" s="43">
        <v>12473</v>
      </c>
      <c r="F143" s="43" t="s">
        <v>384</v>
      </c>
      <c r="G143" s="43" t="s">
        <v>388</v>
      </c>
      <c r="H143" s="43" t="s">
        <v>776</v>
      </c>
      <c r="I143" s="43" t="s">
        <v>776</v>
      </c>
      <c r="J143" s="43" t="s">
        <v>4</v>
      </c>
      <c r="K143" s="43" t="s">
        <v>406</v>
      </c>
      <c r="L143" s="43" t="s">
        <v>89</v>
      </c>
      <c r="M143" s="44">
        <v>0.375</v>
      </c>
      <c r="N143" s="44">
        <v>0.75</v>
      </c>
      <c r="O143" s="44">
        <v>0.375</v>
      </c>
      <c r="P143" s="45">
        <v>41340</v>
      </c>
      <c r="Q143" s="45">
        <v>42718</v>
      </c>
      <c r="R143" s="45" t="s">
        <v>68</v>
      </c>
      <c r="S143" s="45" t="s">
        <v>2883</v>
      </c>
      <c r="T143" s="31" t="s">
        <v>2</v>
      </c>
      <c r="U143" s="31" t="s">
        <v>1056</v>
      </c>
    </row>
    <row r="144" spans="2:21">
      <c r="B144" s="155"/>
      <c r="C144" s="155">
        <v>27553</v>
      </c>
      <c r="D144" s="43">
        <v>831344</v>
      </c>
      <c r="E144" s="43">
        <v>12680</v>
      </c>
      <c r="F144" s="43" t="s">
        <v>376</v>
      </c>
      <c r="G144" s="43" t="s">
        <v>388</v>
      </c>
      <c r="H144" s="43" t="s">
        <v>776</v>
      </c>
      <c r="I144" s="43" t="s">
        <v>776</v>
      </c>
      <c r="J144" s="43" t="s">
        <v>5</v>
      </c>
      <c r="K144" s="43" t="s">
        <v>406</v>
      </c>
      <c r="L144" s="43" t="s">
        <v>89</v>
      </c>
      <c r="M144" s="44">
        <v>0.375</v>
      </c>
      <c r="N144" s="44">
        <v>0.75</v>
      </c>
      <c r="O144" s="44">
        <v>0.375</v>
      </c>
      <c r="P144" s="45">
        <v>41676</v>
      </c>
      <c r="Q144" s="45">
        <v>42705</v>
      </c>
      <c r="R144" s="45" t="s">
        <v>68</v>
      </c>
      <c r="S144" s="45" t="s">
        <v>2885</v>
      </c>
      <c r="T144" s="31" t="s">
        <v>2</v>
      </c>
      <c r="U144" s="31" t="s">
        <v>2394</v>
      </c>
    </row>
    <row r="145" spans="2:21">
      <c r="B145" s="155"/>
      <c r="C145" s="155">
        <v>28633</v>
      </c>
      <c r="D145" s="43">
        <v>843893</v>
      </c>
      <c r="E145" s="43">
        <v>12479</v>
      </c>
      <c r="F145" s="43" t="s">
        <v>391</v>
      </c>
      <c r="G145" s="43" t="s">
        <v>388</v>
      </c>
      <c r="H145" s="43" t="s">
        <v>776</v>
      </c>
      <c r="I145" s="43" t="s">
        <v>776</v>
      </c>
      <c r="J145" s="43" t="s">
        <v>4</v>
      </c>
      <c r="K145" s="43" t="s">
        <v>406</v>
      </c>
      <c r="L145" s="43" t="s">
        <v>89</v>
      </c>
      <c r="M145" s="44">
        <v>0.375</v>
      </c>
      <c r="N145" s="44">
        <v>0.75</v>
      </c>
      <c r="O145" s="44">
        <v>0.375</v>
      </c>
      <c r="P145" s="45">
        <v>41799</v>
      </c>
      <c r="Q145" s="45" t="s">
        <v>2</v>
      </c>
      <c r="R145" s="45" t="s">
        <v>68</v>
      </c>
      <c r="S145" s="45" t="s">
        <v>2881</v>
      </c>
      <c r="T145" s="31" t="s">
        <v>2</v>
      </c>
      <c r="U145" s="31" t="s">
        <v>1063</v>
      </c>
    </row>
    <row r="146" spans="2:21">
      <c r="B146" s="155"/>
      <c r="C146" s="155">
        <v>25395</v>
      </c>
      <c r="D146" s="43">
        <v>804546</v>
      </c>
      <c r="E146" s="43">
        <v>12513</v>
      </c>
      <c r="F146" s="43" t="s">
        <v>389</v>
      </c>
      <c r="G146" s="43" t="s">
        <v>388</v>
      </c>
      <c r="H146" s="43" t="s">
        <v>776</v>
      </c>
      <c r="I146" s="43" t="s">
        <v>776</v>
      </c>
      <c r="J146" s="43" t="s">
        <v>4</v>
      </c>
      <c r="K146" s="43" t="s">
        <v>406</v>
      </c>
      <c r="L146" s="43" t="s">
        <v>89</v>
      </c>
      <c r="M146" s="44">
        <v>0.375</v>
      </c>
      <c r="N146" s="44">
        <v>0.75</v>
      </c>
      <c r="O146" s="44">
        <v>0.375</v>
      </c>
      <c r="P146" s="45">
        <v>41402</v>
      </c>
      <c r="Q146" s="45" t="s">
        <v>2</v>
      </c>
      <c r="R146" s="45" t="s">
        <v>68</v>
      </c>
      <c r="S146" s="45" t="s">
        <v>2882</v>
      </c>
      <c r="T146" s="31" t="s">
        <v>2</v>
      </c>
      <c r="U146" s="31" t="s">
        <v>1061</v>
      </c>
    </row>
    <row r="147" spans="2:21">
      <c r="B147" s="155"/>
      <c r="C147" s="155">
        <v>20674</v>
      </c>
      <c r="D147" s="43">
        <v>761433</v>
      </c>
      <c r="E147" s="43">
        <v>12566</v>
      </c>
      <c r="F147" s="43" t="s">
        <v>385</v>
      </c>
      <c r="G147" s="43" t="s">
        <v>388</v>
      </c>
      <c r="H147" s="43" t="s">
        <v>776</v>
      </c>
      <c r="I147" s="43" t="s">
        <v>776</v>
      </c>
      <c r="J147" s="43" t="s">
        <v>4</v>
      </c>
      <c r="K147" s="43" t="s">
        <v>406</v>
      </c>
      <c r="L147" s="43" t="s">
        <v>89</v>
      </c>
      <c r="M147" s="44">
        <v>0.375</v>
      </c>
      <c r="N147" s="44">
        <v>0.75</v>
      </c>
      <c r="O147" s="44">
        <v>0.375</v>
      </c>
      <c r="P147" s="45">
        <v>40952</v>
      </c>
      <c r="Q147" s="45">
        <v>42530</v>
      </c>
      <c r="R147" s="45" t="s">
        <v>68</v>
      </c>
      <c r="S147" s="45" t="s">
        <v>2884</v>
      </c>
      <c r="T147" s="31" t="s">
        <v>2</v>
      </c>
      <c r="U147" s="31" t="s">
        <v>1057</v>
      </c>
    </row>
    <row r="148" spans="2:21">
      <c r="B148" s="155"/>
      <c r="C148" s="155">
        <v>14783</v>
      </c>
      <c r="D148" s="43">
        <v>716537</v>
      </c>
      <c r="E148" s="43">
        <v>12573</v>
      </c>
      <c r="F148" s="43" t="s">
        <v>388</v>
      </c>
      <c r="G148" s="43" t="s">
        <v>776</v>
      </c>
      <c r="H148" s="43" t="s">
        <v>776</v>
      </c>
      <c r="I148" s="43" t="s">
        <v>776</v>
      </c>
      <c r="J148" s="43" t="s">
        <v>4</v>
      </c>
      <c r="K148" s="43" t="s">
        <v>406</v>
      </c>
      <c r="L148" s="43" t="s">
        <v>89</v>
      </c>
      <c r="M148" s="44">
        <v>0.375</v>
      </c>
      <c r="N148" s="44">
        <v>0.75</v>
      </c>
      <c r="O148" s="44">
        <v>0.375</v>
      </c>
      <c r="P148" s="45">
        <v>40553</v>
      </c>
      <c r="Q148" s="45">
        <v>42656</v>
      </c>
      <c r="R148" s="45" t="s">
        <v>68</v>
      </c>
      <c r="S148" s="45" t="s">
        <v>2886</v>
      </c>
      <c r="T148" s="31" t="s">
        <v>2</v>
      </c>
      <c r="U148" s="31" t="s">
        <v>1060</v>
      </c>
    </row>
    <row r="149" spans="2:21">
      <c r="B149" s="155"/>
      <c r="C149" s="155">
        <v>22510</v>
      </c>
      <c r="D149" s="43">
        <v>773788</v>
      </c>
      <c r="E149" s="43">
        <v>12538</v>
      </c>
      <c r="F149" s="43" t="s">
        <v>386</v>
      </c>
      <c r="G149" s="43" t="s">
        <v>388</v>
      </c>
      <c r="H149" s="43" t="s">
        <v>776</v>
      </c>
      <c r="I149" s="43" t="s">
        <v>776</v>
      </c>
      <c r="J149" s="43" t="s">
        <v>4</v>
      </c>
      <c r="K149" s="43" t="s">
        <v>406</v>
      </c>
      <c r="L149" s="43" t="s">
        <v>89</v>
      </c>
      <c r="M149" s="44">
        <v>0.3888888888888889</v>
      </c>
      <c r="N149" s="44">
        <v>0.76388888888888884</v>
      </c>
      <c r="O149" s="44">
        <v>0.375</v>
      </c>
      <c r="P149" s="45">
        <v>41102</v>
      </c>
      <c r="Q149" s="45">
        <v>42522</v>
      </c>
      <c r="R149" s="45" t="s">
        <v>68</v>
      </c>
      <c r="S149" s="45" t="s">
        <v>2887</v>
      </c>
      <c r="T149" s="31" t="s">
        <v>2</v>
      </c>
      <c r="U149" s="31" t="s">
        <v>1058</v>
      </c>
    </row>
    <row r="150" spans="2:21">
      <c r="B150" s="155"/>
      <c r="C150" s="155">
        <v>25602</v>
      </c>
      <c r="D150" s="43">
        <v>807815</v>
      </c>
      <c r="E150" s="43">
        <v>12766</v>
      </c>
      <c r="F150" s="43" t="s">
        <v>383</v>
      </c>
      <c r="G150" s="43" t="s">
        <v>388</v>
      </c>
      <c r="H150" s="43" t="s">
        <v>776</v>
      </c>
      <c r="I150" s="43" t="s">
        <v>776</v>
      </c>
      <c r="J150" s="43" t="s">
        <v>4</v>
      </c>
      <c r="K150" s="43" t="s">
        <v>406</v>
      </c>
      <c r="L150" s="43" t="s">
        <v>89</v>
      </c>
      <c r="M150" s="44">
        <v>0.40277777777777773</v>
      </c>
      <c r="N150" s="44">
        <v>0.77777777777777779</v>
      </c>
      <c r="O150" s="44">
        <v>0.375</v>
      </c>
      <c r="P150" s="45">
        <v>41429</v>
      </c>
      <c r="Q150" s="45">
        <v>42513</v>
      </c>
      <c r="R150" s="45" t="s">
        <v>68</v>
      </c>
      <c r="S150" s="45" t="s">
        <v>2888</v>
      </c>
      <c r="T150" s="31" t="s">
        <v>2</v>
      </c>
      <c r="U150" s="31" t="s">
        <v>1055</v>
      </c>
    </row>
    <row r="151" spans="2:21">
      <c r="B151" s="155"/>
      <c r="C151" s="155">
        <v>16081</v>
      </c>
      <c r="D151" s="43">
        <v>722857</v>
      </c>
      <c r="E151" s="43" t="s">
        <v>2</v>
      </c>
      <c r="F151" s="43" t="s">
        <v>1268</v>
      </c>
      <c r="G151" s="43" t="s">
        <v>413</v>
      </c>
      <c r="H151" s="43"/>
      <c r="I151" s="43" t="s">
        <v>775</v>
      </c>
      <c r="J151" s="43" t="s">
        <v>6</v>
      </c>
      <c r="K151" s="43" t="s">
        <v>1252</v>
      </c>
      <c r="L151" s="43" t="s">
        <v>89</v>
      </c>
      <c r="M151" s="44">
        <v>0.33333333333333331</v>
      </c>
      <c r="N151" s="44">
        <v>0.68055555555555547</v>
      </c>
      <c r="O151" s="44">
        <v>0.34722222222222227</v>
      </c>
      <c r="P151" s="45">
        <v>40619</v>
      </c>
      <c r="Q151" s="45">
        <v>42492</v>
      </c>
      <c r="R151" s="45" t="s">
        <v>1275</v>
      </c>
      <c r="S151" s="45" t="s">
        <v>1291</v>
      </c>
      <c r="T151" s="31" t="s">
        <v>2</v>
      </c>
      <c r="U151" s="31" t="s">
        <v>2</v>
      </c>
    </row>
    <row r="152" spans="2:21">
      <c r="B152" s="155"/>
      <c r="C152" s="155">
        <v>9799</v>
      </c>
      <c r="D152" s="43">
        <v>689576</v>
      </c>
      <c r="E152" s="43">
        <v>10046</v>
      </c>
      <c r="F152" s="43" t="s">
        <v>413</v>
      </c>
      <c r="G152" s="43" t="s">
        <v>775</v>
      </c>
      <c r="H152" s="43"/>
      <c r="I152" s="43" t="s">
        <v>775</v>
      </c>
      <c r="J152" s="43" t="s">
        <v>4</v>
      </c>
      <c r="K152" s="43" t="s">
        <v>1274</v>
      </c>
      <c r="L152" s="43" t="s">
        <v>89</v>
      </c>
      <c r="M152" s="44">
        <v>0.33333333333333331</v>
      </c>
      <c r="N152" s="44">
        <v>0.70833333333333337</v>
      </c>
      <c r="O152" s="44">
        <v>0.375</v>
      </c>
      <c r="P152" s="45">
        <v>39765</v>
      </c>
      <c r="Q152" s="45" t="s">
        <v>2</v>
      </c>
      <c r="R152" s="45" t="s">
        <v>1275</v>
      </c>
      <c r="S152" s="45" t="s">
        <v>2856</v>
      </c>
      <c r="T152" s="31" t="s">
        <v>2</v>
      </c>
      <c r="U152" s="31" t="s">
        <v>2798</v>
      </c>
    </row>
    <row r="153" spans="2:21">
      <c r="B153" s="155"/>
      <c r="C153" s="155">
        <v>11343</v>
      </c>
      <c r="D153" s="43">
        <v>688985</v>
      </c>
      <c r="E153" s="43">
        <v>10833</v>
      </c>
      <c r="F153" s="43" t="s">
        <v>412</v>
      </c>
      <c r="G153" s="43" t="s">
        <v>413</v>
      </c>
      <c r="H153" s="43"/>
      <c r="I153" s="43" t="s">
        <v>775</v>
      </c>
      <c r="J153" s="43" t="s">
        <v>4</v>
      </c>
      <c r="K153" s="43" t="s">
        <v>395</v>
      </c>
      <c r="L153" s="43" t="s">
        <v>89</v>
      </c>
      <c r="M153" s="44">
        <v>0.41666666666666669</v>
      </c>
      <c r="N153" s="44">
        <v>0.79166666666666663</v>
      </c>
      <c r="O153" s="44">
        <v>0.375</v>
      </c>
      <c r="P153" s="45">
        <v>40070</v>
      </c>
      <c r="Q153" s="45">
        <v>42492</v>
      </c>
      <c r="R153" s="45" t="s">
        <v>1275</v>
      </c>
      <c r="S153" s="45" t="s">
        <v>1295</v>
      </c>
      <c r="T153" s="31" t="s">
        <v>2</v>
      </c>
      <c r="U153" s="31" t="s">
        <v>1279</v>
      </c>
    </row>
    <row r="154" spans="2:21">
      <c r="B154" s="155"/>
      <c r="C154" s="155">
        <v>12737</v>
      </c>
      <c r="D154" s="43">
        <v>698251</v>
      </c>
      <c r="E154" s="43">
        <v>10019</v>
      </c>
      <c r="F154" s="43" t="s">
        <v>411</v>
      </c>
      <c r="G154" s="43" t="s">
        <v>413</v>
      </c>
      <c r="H154" s="43"/>
      <c r="I154" s="43" t="s">
        <v>775</v>
      </c>
      <c r="J154" s="43" t="s">
        <v>4</v>
      </c>
      <c r="K154" s="43" t="s">
        <v>394</v>
      </c>
      <c r="L154" s="43" t="s">
        <v>89</v>
      </c>
      <c r="M154" s="44">
        <v>0.33333333333333331</v>
      </c>
      <c r="N154" s="44">
        <v>0.70833333333333337</v>
      </c>
      <c r="O154" s="44">
        <v>0.375</v>
      </c>
      <c r="P154" s="45">
        <v>40308</v>
      </c>
      <c r="Q154" s="45">
        <v>42709</v>
      </c>
      <c r="R154" s="45" t="s">
        <v>1275</v>
      </c>
      <c r="S154" s="45" t="s">
        <v>2858</v>
      </c>
      <c r="T154" s="31" t="s">
        <v>2</v>
      </c>
      <c r="U154" s="31" t="s">
        <v>1281</v>
      </c>
    </row>
    <row r="155" spans="2:21">
      <c r="B155" s="155"/>
      <c r="C155" s="155">
        <v>16673</v>
      </c>
      <c r="D155" s="43">
        <v>725599</v>
      </c>
      <c r="E155" s="43">
        <v>10826</v>
      </c>
      <c r="F155" s="43" t="s">
        <v>424</v>
      </c>
      <c r="G155" s="43" t="s">
        <v>413</v>
      </c>
      <c r="H155" s="43"/>
      <c r="I155" s="43" t="s">
        <v>775</v>
      </c>
      <c r="J155" s="43" t="s">
        <v>5</v>
      </c>
      <c r="K155" s="43" t="s">
        <v>401</v>
      </c>
      <c r="L155" s="43" t="s">
        <v>89</v>
      </c>
      <c r="M155" s="44">
        <v>0.375</v>
      </c>
      <c r="N155" s="44">
        <v>0.75</v>
      </c>
      <c r="O155" s="44">
        <v>0.375</v>
      </c>
      <c r="P155" s="45">
        <v>40648</v>
      </c>
      <c r="Q155" s="45">
        <v>42712</v>
      </c>
      <c r="R155" s="45" t="s">
        <v>1275</v>
      </c>
      <c r="S155" s="45" t="s">
        <v>2859</v>
      </c>
      <c r="T155" s="31" t="s">
        <v>2</v>
      </c>
      <c r="U155" s="31" t="s">
        <v>2799</v>
      </c>
    </row>
    <row r="156" spans="2:21">
      <c r="B156" s="155"/>
      <c r="C156" s="155">
        <v>11883</v>
      </c>
      <c r="D156" s="43">
        <v>688880</v>
      </c>
      <c r="E156" s="43">
        <v>10066</v>
      </c>
      <c r="F156" s="43" t="s">
        <v>416</v>
      </c>
      <c r="G156" s="43" t="s">
        <v>414</v>
      </c>
      <c r="H156" s="43"/>
      <c r="I156" s="43" t="s">
        <v>775</v>
      </c>
      <c r="J156" s="43" t="s">
        <v>4</v>
      </c>
      <c r="K156" s="43" t="s">
        <v>398</v>
      </c>
      <c r="L156" s="43" t="s">
        <v>89</v>
      </c>
      <c r="M156" s="44">
        <v>0.32291666666666669</v>
      </c>
      <c r="N156" s="44">
        <v>0.69791666666666663</v>
      </c>
      <c r="O156" s="44">
        <v>0.375</v>
      </c>
      <c r="P156" s="45">
        <v>40164</v>
      </c>
      <c r="Q156" s="45">
        <v>42492</v>
      </c>
      <c r="R156" s="45" t="s">
        <v>1275</v>
      </c>
      <c r="S156" s="45" t="s">
        <v>2861</v>
      </c>
      <c r="T156" s="31" t="s">
        <v>2</v>
      </c>
      <c r="U156" s="31" t="s">
        <v>1285</v>
      </c>
    </row>
    <row r="157" spans="2:21">
      <c r="B157" s="155"/>
      <c r="C157" s="155">
        <v>10107</v>
      </c>
      <c r="D157" s="43">
        <v>689498</v>
      </c>
      <c r="E157" s="43">
        <v>10137</v>
      </c>
      <c r="F157" s="43" t="s">
        <v>420</v>
      </c>
      <c r="G157" s="43" t="s">
        <v>414</v>
      </c>
      <c r="H157" s="43"/>
      <c r="I157" s="43" t="s">
        <v>775</v>
      </c>
      <c r="J157" s="43" t="s">
        <v>4</v>
      </c>
      <c r="K157" s="43" t="s">
        <v>398</v>
      </c>
      <c r="L157" s="43" t="s">
        <v>89</v>
      </c>
      <c r="M157" s="44">
        <v>0.54166666666666663</v>
      </c>
      <c r="N157" s="44">
        <v>0.91666666666666663</v>
      </c>
      <c r="O157" s="44">
        <v>0.375</v>
      </c>
      <c r="P157" s="45">
        <v>39773</v>
      </c>
      <c r="Q157" s="45">
        <v>42677</v>
      </c>
      <c r="R157" s="45" t="s">
        <v>1275</v>
      </c>
      <c r="S157" s="45" t="s">
        <v>1299</v>
      </c>
      <c r="T157" s="31" t="s">
        <v>2</v>
      </c>
      <c r="U157" s="31" t="s">
        <v>2797</v>
      </c>
    </row>
    <row r="158" spans="2:21">
      <c r="B158" s="155"/>
      <c r="C158" s="155">
        <v>9724</v>
      </c>
      <c r="D158" s="43">
        <v>689304</v>
      </c>
      <c r="E158" s="43">
        <v>10054</v>
      </c>
      <c r="F158" s="43" t="s">
        <v>414</v>
      </c>
      <c r="G158" s="43" t="s">
        <v>775</v>
      </c>
      <c r="H158" s="43"/>
      <c r="I158" s="43" t="s">
        <v>775</v>
      </c>
      <c r="J158" s="43" t="s">
        <v>4</v>
      </c>
      <c r="K158" s="43" t="s">
        <v>403</v>
      </c>
      <c r="L158" s="43" t="s">
        <v>89</v>
      </c>
      <c r="M158" s="44">
        <v>0.375</v>
      </c>
      <c r="N158" s="44">
        <v>0.75</v>
      </c>
      <c r="O158" s="44">
        <v>0.375</v>
      </c>
      <c r="P158" s="45">
        <v>39765</v>
      </c>
      <c r="Q158" s="45" t="s">
        <v>2</v>
      </c>
      <c r="R158" s="45" t="s">
        <v>1275</v>
      </c>
      <c r="S158" s="45" t="s">
        <v>2862</v>
      </c>
      <c r="T158" s="31" t="s">
        <v>2</v>
      </c>
      <c r="U158" s="31" t="s">
        <v>1286</v>
      </c>
    </row>
    <row r="159" spans="2:21">
      <c r="B159" s="155"/>
      <c r="C159" s="155">
        <v>9819</v>
      </c>
      <c r="D159" s="43">
        <v>689877</v>
      </c>
      <c r="E159" s="43">
        <v>10032</v>
      </c>
      <c r="F159" s="43" t="s">
        <v>418</v>
      </c>
      <c r="G159" s="43" t="s">
        <v>414</v>
      </c>
      <c r="H159" s="43"/>
      <c r="I159" s="43" t="s">
        <v>775</v>
      </c>
      <c r="J159" s="43" t="s">
        <v>4</v>
      </c>
      <c r="K159" s="43" t="s">
        <v>403</v>
      </c>
      <c r="L159" s="43" t="s">
        <v>89</v>
      </c>
      <c r="M159" s="44">
        <v>0.375</v>
      </c>
      <c r="N159" s="44">
        <v>0.75</v>
      </c>
      <c r="O159" s="44">
        <v>0.375</v>
      </c>
      <c r="P159" s="45">
        <v>39765</v>
      </c>
      <c r="Q159" s="45">
        <v>42591</v>
      </c>
      <c r="R159" s="45" t="s">
        <v>1275</v>
      </c>
      <c r="S159" s="45" t="s">
        <v>1300</v>
      </c>
      <c r="T159" s="31" t="s">
        <v>2</v>
      </c>
      <c r="U159" s="31" t="s">
        <v>1287</v>
      </c>
    </row>
    <row r="160" spans="2:21">
      <c r="B160" s="155"/>
      <c r="C160" s="155">
        <v>20613</v>
      </c>
      <c r="D160" s="43">
        <v>760701</v>
      </c>
      <c r="E160" s="43">
        <v>12203</v>
      </c>
      <c r="F160" s="43" t="s">
        <v>1272</v>
      </c>
      <c r="G160" s="43" t="s">
        <v>776</v>
      </c>
      <c r="H160" s="43"/>
      <c r="I160" s="43" t="s">
        <v>776</v>
      </c>
      <c r="J160" s="43" t="s">
        <v>4</v>
      </c>
      <c r="K160" s="43" t="s">
        <v>1274</v>
      </c>
      <c r="L160" s="43" t="s">
        <v>89</v>
      </c>
      <c r="M160" s="44">
        <v>0.33333333333333331</v>
      </c>
      <c r="N160" s="44">
        <v>0.70833333333333326</v>
      </c>
      <c r="O160" s="44">
        <v>0.375</v>
      </c>
      <c r="P160" s="45">
        <v>40945</v>
      </c>
      <c r="Q160" s="45">
        <v>42492</v>
      </c>
      <c r="R160" s="45" t="s">
        <v>1275</v>
      </c>
      <c r="S160" s="45" t="s">
        <v>2863</v>
      </c>
      <c r="T160" s="31" t="s">
        <v>2</v>
      </c>
      <c r="U160" s="31" t="s">
        <v>1290</v>
      </c>
    </row>
    <row r="161" spans="2:21">
      <c r="B161" s="155"/>
      <c r="C161" s="155">
        <v>10567</v>
      </c>
      <c r="D161" s="43">
        <v>689825</v>
      </c>
      <c r="E161" s="43">
        <v>10035</v>
      </c>
      <c r="F161" s="43" t="s">
        <v>417</v>
      </c>
      <c r="G161" s="43" t="s">
        <v>414</v>
      </c>
      <c r="H161" s="43"/>
      <c r="I161" s="43" t="s">
        <v>775</v>
      </c>
      <c r="J161" s="43" t="s">
        <v>4</v>
      </c>
      <c r="K161" s="43" t="s">
        <v>403</v>
      </c>
      <c r="L161" s="43" t="s">
        <v>89</v>
      </c>
      <c r="M161" s="44">
        <v>0.5</v>
      </c>
      <c r="N161" s="44">
        <v>0.875</v>
      </c>
      <c r="O161" s="44">
        <v>0.375</v>
      </c>
      <c r="P161" s="45">
        <v>39874</v>
      </c>
      <c r="Q161" s="45">
        <v>42710</v>
      </c>
      <c r="R161" s="45" t="s">
        <v>1275</v>
      </c>
      <c r="S161" s="45" t="s">
        <v>2864</v>
      </c>
      <c r="T161" s="31" t="s">
        <v>2</v>
      </c>
      <c r="U161" s="31" t="s">
        <v>1289</v>
      </c>
    </row>
    <row r="162" spans="2:21">
      <c r="B162" s="155"/>
      <c r="C162" s="155">
        <v>9822</v>
      </c>
      <c r="D162" s="43">
        <v>689855</v>
      </c>
      <c r="E162" s="43">
        <v>10185</v>
      </c>
      <c r="F162" s="43" t="s">
        <v>776</v>
      </c>
      <c r="G162" s="43" t="s">
        <v>1333</v>
      </c>
      <c r="H162" s="43"/>
      <c r="I162" s="43" t="s">
        <v>1333</v>
      </c>
      <c r="J162" s="43" t="s">
        <v>4</v>
      </c>
      <c r="K162" s="43" t="s">
        <v>1358</v>
      </c>
      <c r="L162" s="43" t="s">
        <v>89</v>
      </c>
      <c r="M162" s="44">
        <v>0.33333333333333331</v>
      </c>
      <c r="N162" s="44">
        <v>0.70833333333333337</v>
      </c>
      <c r="O162" s="44">
        <v>0.375</v>
      </c>
      <c r="P162" s="45">
        <v>39765</v>
      </c>
      <c r="Q162" s="45" t="s">
        <v>2</v>
      </c>
      <c r="R162" s="45" t="s">
        <v>69</v>
      </c>
      <c r="S162" s="45" t="s">
        <v>1367</v>
      </c>
      <c r="T162" s="31" t="s">
        <v>2</v>
      </c>
      <c r="U162" s="31" t="s">
        <v>2852</v>
      </c>
    </row>
    <row r="163" spans="2:21">
      <c r="B163" s="155"/>
      <c r="C163" s="155">
        <v>9618</v>
      </c>
      <c r="D163" s="43">
        <v>688692</v>
      </c>
      <c r="E163" s="43" t="s">
        <v>2</v>
      </c>
      <c r="F163" s="43" t="s">
        <v>775</v>
      </c>
      <c r="G163" s="43" t="s">
        <v>1333</v>
      </c>
      <c r="H163" s="43"/>
      <c r="I163" s="43" t="s">
        <v>1333</v>
      </c>
      <c r="J163" s="43" t="s">
        <v>4</v>
      </c>
      <c r="K163" s="43" t="s">
        <v>1358</v>
      </c>
      <c r="L163" s="43" t="s">
        <v>89</v>
      </c>
      <c r="M163" s="44">
        <v>0.33333333333333331</v>
      </c>
      <c r="N163" s="44">
        <v>0.70833333333333337</v>
      </c>
      <c r="O163" s="44">
        <v>0.375</v>
      </c>
      <c r="P163" s="45">
        <v>39755</v>
      </c>
      <c r="Q163" s="45">
        <v>42618</v>
      </c>
      <c r="R163" s="45" t="s">
        <v>69</v>
      </c>
      <c r="S163" s="45" t="s">
        <v>1368</v>
      </c>
      <c r="T163" s="31" t="s">
        <v>2</v>
      </c>
      <c r="U163" s="31" t="s">
        <v>1391</v>
      </c>
    </row>
    <row r="164" spans="2:21">
      <c r="B164" s="155"/>
      <c r="C164" s="155">
        <v>15263</v>
      </c>
      <c r="D164" s="43">
        <v>719378</v>
      </c>
      <c r="E164" s="43">
        <v>12116</v>
      </c>
      <c r="F164" s="43" t="s">
        <v>1334</v>
      </c>
      <c r="G164" s="43" t="s">
        <v>776</v>
      </c>
      <c r="H164" s="43"/>
      <c r="I164" s="43" t="s">
        <v>776</v>
      </c>
      <c r="J164" s="43" t="s">
        <v>4</v>
      </c>
      <c r="K164" s="43" t="s">
        <v>1359</v>
      </c>
      <c r="L164" s="43" t="s">
        <v>89</v>
      </c>
      <c r="M164" s="44">
        <v>0.33333333333333331</v>
      </c>
      <c r="N164" s="44">
        <v>0.70833333333333337</v>
      </c>
      <c r="O164" s="44">
        <v>0.375</v>
      </c>
      <c r="P164" s="45">
        <v>40588</v>
      </c>
      <c r="Q164" s="45" t="s">
        <v>2</v>
      </c>
      <c r="R164" s="45" t="s">
        <v>69</v>
      </c>
      <c r="S164" s="45" t="s">
        <v>1369</v>
      </c>
      <c r="T164" s="31" t="s">
        <v>2</v>
      </c>
      <c r="U164" s="31" t="s">
        <v>1393</v>
      </c>
    </row>
    <row r="165" spans="2:21">
      <c r="B165" s="155"/>
      <c r="C165" s="155">
        <v>15027</v>
      </c>
      <c r="D165" s="43">
        <v>717328</v>
      </c>
      <c r="E165" s="43">
        <v>12299</v>
      </c>
      <c r="F165" s="43" t="s">
        <v>1335</v>
      </c>
      <c r="G165" s="43" t="s">
        <v>776</v>
      </c>
      <c r="H165" s="43"/>
      <c r="I165" s="43" t="s">
        <v>776</v>
      </c>
      <c r="J165" s="43" t="s">
        <v>4</v>
      </c>
      <c r="K165" s="43" t="s">
        <v>1359</v>
      </c>
      <c r="L165" s="43" t="s">
        <v>89</v>
      </c>
      <c r="M165" s="44">
        <v>0.33333333333333331</v>
      </c>
      <c r="N165" s="44">
        <v>0.70833333333333337</v>
      </c>
      <c r="O165" s="44">
        <v>0.375</v>
      </c>
      <c r="P165" s="45">
        <v>40561</v>
      </c>
      <c r="Q165" s="45" t="s">
        <v>2</v>
      </c>
      <c r="R165" s="45" t="s">
        <v>69</v>
      </c>
      <c r="S165" s="45" t="s">
        <v>1370</v>
      </c>
      <c r="T165" s="31" t="s">
        <v>2</v>
      </c>
      <c r="U165" s="31" t="s">
        <v>2795</v>
      </c>
    </row>
    <row r="166" spans="2:21">
      <c r="B166" s="155"/>
      <c r="C166" s="155">
        <v>24705</v>
      </c>
      <c r="D166" s="43">
        <v>798674</v>
      </c>
      <c r="E166" s="43">
        <v>12578</v>
      </c>
      <c r="F166" s="43" t="s">
        <v>1336</v>
      </c>
      <c r="G166" s="43" t="s">
        <v>776</v>
      </c>
      <c r="H166" s="43"/>
      <c r="I166" s="43" t="s">
        <v>776</v>
      </c>
      <c r="J166" s="43" t="s">
        <v>4</v>
      </c>
      <c r="K166" s="43" t="s">
        <v>1359</v>
      </c>
      <c r="L166" s="43" t="s">
        <v>89</v>
      </c>
      <c r="M166" s="44">
        <v>0.33333333333333331</v>
      </c>
      <c r="N166" s="44">
        <v>0.70833333333333337</v>
      </c>
      <c r="O166" s="44">
        <v>0.375</v>
      </c>
      <c r="P166" s="45">
        <v>41340</v>
      </c>
      <c r="Q166" s="45">
        <v>41953</v>
      </c>
      <c r="R166" s="45" t="s">
        <v>69</v>
      </c>
      <c r="S166" s="45" t="s">
        <v>2342</v>
      </c>
      <c r="T166" s="31" t="s">
        <v>2</v>
      </c>
      <c r="U166" s="31" t="s">
        <v>1394</v>
      </c>
    </row>
    <row r="167" spans="2:21">
      <c r="B167" s="155"/>
      <c r="C167" s="155">
        <v>24144</v>
      </c>
      <c r="D167" s="43">
        <v>795058</v>
      </c>
      <c r="E167" s="43">
        <v>12385</v>
      </c>
      <c r="F167" s="43" t="s">
        <v>1338</v>
      </c>
      <c r="G167" s="43" t="s">
        <v>776</v>
      </c>
      <c r="H167" s="43"/>
      <c r="I167" s="43" t="s">
        <v>776</v>
      </c>
      <c r="J167" s="43" t="s">
        <v>4</v>
      </c>
      <c r="K167" s="43" t="s">
        <v>1359</v>
      </c>
      <c r="L167" s="43" t="s">
        <v>89</v>
      </c>
      <c r="M167" s="44">
        <v>0.375</v>
      </c>
      <c r="N167" s="44">
        <v>0.75</v>
      </c>
      <c r="O167" s="44">
        <v>0.375</v>
      </c>
      <c r="P167" s="45">
        <v>41306</v>
      </c>
      <c r="Q167" s="45">
        <v>42589</v>
      </c>
      <c r="R167" s="45" t="s">
        <v>69</v>
      </c>
      <c r="S167" s="45" t="s">
        <v>2816</v>
      </c>
      <c r="T167" s="31" t="s">
        <v>2</v>
      </c>
      <c r="U167" s="31" t="s">
        <v>1396</v>
      </c>
    </row>
    <row r="168" spans="2:21">
      <c r="B168" s="155"/>
      <c r="C168" s="155">
        <v>9725</v>
      </c>
      <c r="D168" s="43">
        <v>688772</v>
      </c>
      <c r="E168" s="43">
        <v>12440</v>
      </c>
      <c r="F168" s="43" t="s">
        <v>1339</v>
      </c>
      <c r="G168" s="43" t="s">
        <v>776</v>
      </c>
      <c r="H168" s="43"/>
      <c r="I168" s="43" t="s">
        <v>776</v>
      </c>
      <c r="J168" s="43" t="s">
        <v>4</v>
      </c>
      <c r="K168" s="43" t="s">
        <v>1359</v>
      </c>
      <c r="L168" s="43" t="s">
        <v>89</v>
      </c>
      <c r="M168" s="44">
        <v>0.33333333333333331</v>
      </c>
      <c r="N168" s="44">
        <v>0.70833333333333337</v>
      </c>
      <c r="O168" s="44">
        <v>0.375</v>
      </c>
      <c r="P168" s="45">
        <v>39765</v>
      </c>
      <c r="Q168" s="45" t="s">
        <v>2</v>
      </c>
      <c r="R168" s="45" t="s">
        <v>69</v>
      </c>
      <c r="S168" s="45" t="s">
        <v>1372</v>
      </c>
      <c r="T168" s="31" t="s">
        <v>2</v>
      </c>
      <c r="U168" s="31" t="s">
        <v>1397</v>
      </c>
    </row>
    <row r="169" spans="2:21">
      <c r="B169" s="155"/>
      <c r="C169" s="155">
        <v>18559</v>
      </c>
      <c r="D169" s="43">
        <v>739291</v>
      </c>
      <c r="E169" s="43">
        <v>12462</v>
      </c>
      <c r="F169" s="43" t="s">
        <v>1340</v>
      </c>
      <c r="G169" s="43" t="s">
        <v>776</v>
      </c>
      <c r="H169" s="43"/>
      <c r="I169" s="43" t="s">
        <v>776</v>
      </c>
      <c r="J169" s="43" t="s">
        <v>4</v>
      </c>
      <c r="K169" s="43" t="s">
        <v>1359</v>
      </c>
      <c r="L169" s="43" t="s">
        <v>89</v>
      </c>
      <c r="M169" s="44">
        <v>0.41666666666666669</v>
      </c>
      <c r="N169" s="44">
        <v>0.79166666666666663</v>
      </c>
      <c r="O169" s="44">
        <v>0.375</v>
      </c>
      <c r="P169" s="45">
        <v>40787</v>
      </c>
      <c r="Q169" s="45">
        <v>42675</v>
      </c>
      <c r="R169" s="45" t="s">
        <v>69</v>
      </c>
      <c r="S169" s="45" t="s">
        <v>1373</v>
      </c>
      <c r="T169" s="31" t="s">
        <v>2</v>
      </c>
      <c r="U169" s="31" t="s">
        <v>1398</v>
      </c>
    </row>
    <row r="170" spans="2:21">
      <c r="B170" s="155"/>
      <c r="C170" s="155">
        <v>19950</v>
      </c>
      <c r="D170" s="43">
        <v>755764</v>
      </c>
      <c r="E170" s="43">
        <v>12608</v>
      </c>
      <c r="F170" s="43" t="s">
        <v>1341</v>
      </c>
      <c r="G170" s="43" t="s">
        <v>776</v>
      </c>
      <c r="H170" s="43"/>
      <c r="I170" s="43" t="s">
        <v>776</v>
      </c>
      <c r="J170" s="43" t="s">
        <v>5</v>
      </c>
      <c r="K170" s="43" t="s">
        <v>1359</v>
      </c>
      <c r="L170" s="43" t="s">
        <v>89</v>
      </c>
      <c r="M170" s="44">
        <v>0.375</v>
      </c>
      <c r="N170" s="44">
        <v>0.75</v>
      </c>
      <c r="O170" s="44">
        <v>0.375</v>
      </c>
      <c r="P170" s="45">
        <v>40889</v>
      </c>
      <c r="Q170" s="45">
        <v>42646</v>
      </c>
      <c r="R170" s="45" t="s">
        <v>69</v>
      </c>
      <c r="S170" s="45" t="s">
        <v>1374</v>
      </c>
      <c r="T170" s="31" t="s">
        <v>2</v>
      </c>
      <c r="U170" s="31" t="s">
        <v>1399</v>
      </c>
    </row>
    <row r="171" spans="2:21">
      <c r="B171" s="155"/>
      <c r="C171" s="155">
        <v>10081</v>
      </c>
      <c r="D171" s="43">
        <v>688666</v>
      </c>
      <c r="E171" s="43">
        <v>10831</v>
      </c>
      <c r="F171" s="43" t="s">
        <v>267</v>
      </c>
      <c r="G171" s="43" t="s">
        <v>776</v>
      </c>
      <c r="H171" s="43"/>
      <c r="I171" s="43" t="s">
        <v>776</v>
      </c>
      <c r="J171" s="43" t="s">
        <v>4</v>
      </c>
      <c r="K171" s="43" t="s">
        <v>1359</v>
      </c>
      <c r="L171" s="43" t="s">
        <v>89</v>
      </c>
      <c r="M171" s="44">
        <v>2.375</v>
      </c>
      <c r="N171" s="44">
        <v>0.75</v>
      </c>
      <c r="O171" s="44">
        <v>0.375</v>
      </c>
      <c r="P171" s="45">
        <v>39773</v>
      </c>
      <c r="Q171" s="45">
        <v>42675</v>
      </c>
      <c r="R171" s="45" t="s">
        <v>69</v>
      </c>
      <c r="S171" s="45" t="s">
        <v>2879</v>
      </c>
      <c r="T171" s="31" t="s">
        <v>2</v>
      </c>
      <c r="U171" s="31" t="s">
        <v>949</v>
      </c>
    </row>
    <row r="172" spans="2:21">
      <c r="B172" s="155"/>
      <c r="C172" s="155">
        <v>19980</v>
      </c>
      <c r="D172" s="43">
        <v>755849</v>
      </c>
      <c r="E172" s="43">
        <v>12108</v>
      </c>
      <c r="F172" s="43" t="s">
        <v>1342</v>
      </c>
      <c r="G172" s="43" t="s">
        <v>413</v>
      </c>
      <c r="H172" s="43"/>
      <c r="I172" s="43" t="s">
        <v>776</v>
      </c>
      <c r="J172" s="43" t="s">
        <v>4</v>
      </c>
      <c r="K172" s="43" t="s">
        <v>1274</v>
      </c>
      <c r="L172" s="43" t="s">
        <v>89</v>
      </c>
      <c r="M172" s="44">
        <v>0.29166666666666669</v>
      </c>
      <c r="N172" s="44">
        <v>0.66666666666666674</v>
      </c>
      <c r="O172" s="44">
        <v>0.375</v>
      </c>
      <c r="P172" s="45">
        <v>40889</v>
      </c>
      <c r="Q172" s="45">
        <v>42585</v>
      </c>
      <c r="R172" s="45" t="s">
        <v>69</v>
      </c>
      <c r="S172" s="45" t="s">
        <v>1376</v>
      </c>
      <c r="T172" s="31" t="s">
        <v>2</v>
      </c>
      <c r="U172" s="31" t="s">
        <v>1401</v>
      </c>
    </row>
    <row r="173" spans="2:21">
      <c r="B173" s="155"/>
      <c r="C173" s="155">
        <v>19982</v>
      </c>
      <c r="D173" s="43">
        <v>755809</v>
      </c>
      <c r="E173" s="43">
        <v>12118</v>
      </c>
      <c r="F173" s="43" t="s">
        <v>1344</v>
      </c>
      <c r="G173" s="43" t="s">
        <v>413</v>
      </c>
      <c r="H173" s="43"/>
      <c r="I173" s="43" t="s">
        <v>776</v>
      </c>
      <c r="J173" s="43" t="s">
        <v>4</v>
      </c>
      <c r="K173" s="43" t="s">
        <v>1274</v>
      </c>
      <c r="L173" s="43" t="s">
        <v>89</v>
      </c>
      <c r="M173" s="44">
        <v>0.33333333333333331</v>
      </c>
      <c r="N173" s="44">
        <v>0.70833333333333337</v>
      </c>
      <c r="O173" s="44">
        <v>0.375</v>
      </c>
      <c r="P173" s="45">
        <v>40889</v>
      </c>
      <c r="Q173" s="45">
        <v>42677</v>
      </c>
      <c r="R173" s="45" t="s">
        <v>69</v>
      </c>
      <c r="S173" s="45" t="s">
        <v>1378</v>
      </c>
      <c r="T173" s="31" t="s">
        <v>2</v>
      </c>
      <c r="U173" s="31" t="s">
        <v>1403</v>
      </c>
    </row>
    <row r="174" spans="2:21">
      <c r="B174" s="155"/>
      <c r="C174" s="155">
        <v>10374</v>
      </c>
      <c r="D174" s="43">
        <v>688628</v>
      </c>
      <c r="E174" s="43">
        <v>12112</v>
      </c>
      <c r="F174" s="43" t="s">
        <v>1345</v>
      </c>
      <c r="G174" s="43" t="s">
        <v>776</v>
      </c>
      <c r="H174" s="43"/>
      <c r="I174" s="43" t="s">
        <v>776</v>
      </c>
      <c r="J174" s="43" t="s">
        <v>5</v>
      </c>
      <c r="K174" s="43" t="s">
        <v>1359</v>
      </c>
      <c r="L174" s="43" t="s">
        <v>89</v>
      </c>
      <c r="M174" s="44">
        <v>0.3125</v>
      </c>
      <c r="N174" s="44">
        <v>0.6875</v>
      </c>
      <c r="O174" s="44">
        <v>0.375</v>
      </c>
      <c r="P174" s="45">
        <v>39834</v>
      </c>
      <c r="Q174" s="45">
        <v>42695</v>
      </c>
      <c r="R174" s="45" t="s">
        <v>69</v>
      </c>
      <c r="S174" s="45" t="s">
        <v>1379</v>
      </c>
      <c r="T174" s="31" t="s">
        <v>2</v>
      </c>
      <c r="U174" s="31" t="s">
        <v>1404</v>
      </c>
    </row>
    <row r="175" spans="2:21">
      <c r="B175" s="155"/>
      <c r="C175" s="155">
        <v>17257</v>
      </c>
      <c r="D175" s="43">
        <v>730570</v>
      </c>
      <c r="E175" s="43">
        <v>12139</v>
      </c>
      <c r="F175" s="43" t="s">
        <v>1346</v>
      </c>
      <c r="G175" s="43" t="s">
        <v>413</v>
      </c>
      <c r="H175" s="43"/>
      <c r="I175" s="43" t="s">
        <v>776</v>
      </c>
      <c r="J175" s="43" t="s">
        <v>6</v>
      </c>
      <c r="K175" s="43" t="s">
        <v>1274</v>
      </c>
      <c r="L175" s="43" t="s">
        <v>89</v>
      </c>
      <c r="M175" s="44">
        <v>0.29166666666666669</v>
      </c>
      <c r="N175" s="44">
        <v>0.66666666666666674</v>
      </c>
      <c r="O175" s="44">
        <v>0.375</v>
      </c>
      <c r="P175" s="45">
        <v>40695</v>
      </c>
      <c r="Q175" s="45">
        <v>42410</v>
      </c>
      <c r="R175" s="45" t="s">
        <v>69</v>
      </c>
      <c r="S175" s="45" t="s">
        <v>1380</v>
      </c>
      <c r="T175" s="31" t="s">
        <v>2</v>
      </c>
      <c r="U175" s="31" t="s">
        <v>2</v>
      </c>
    </row>
    <row r="176" spans="2:21">
      <c r="B176" s="155"/>
      <c r="C176" s="155">
        <v>26050</v>
      </c>
      <c r="D176" s="43">
        <v>813623</v>
      </c>
      <c r="E176" s="43">
        <v>12048</v>
      </c>
      <c r="F176" s="43" t="s">
        <v>1348</v>
      </c>
      <c r="G176" s="43" t="s">
        <v>413</v>
      </c>
      <c r="H176" s="43"/>
      <c r="I176" s="43" t="s">
        <v>776</v>
      </c>
      <c r="J176" s="43" t="s">
        <v>4</v>
      </c>
      <c r="K176" s="43" t="s">
        <v>1274</v>
      </c>
      <c r="L176" s="43" t="s">
        <v>89</v>
      </c>
      <c r="M176" s="44">
        <v>0.59722222222222221</v>
      </c>
      <c r="N176" s="44">
        <v>0.86111111111111116</v>
      </c>
      <c r="O176" s="44">
        <v>0.2638888888888889</v>
      </c>
      <c r="P176" s="45">
        <v>41494</v>
      </c>
      <c r="Q176" s="45">
        <v>42612</v>
      </c>
      <c r="R176" s="45" t="s">
        <v>69</v>
      </c>
      <c r="S176" s="45" t="s">
        <v>1382</v>
      </c>
      <c r="T176" s="31" t="s">
        <v>2</v>
      </c>
      <c r="U176" s="31" t="s">
        <v>1406</v>
      </c>
    </row>
    <row r="177" spans="2:21">
      <c r="B177" s="155"/>
      <c r="C177" s="155">
        <v>19652</v>
      </c>
      <c r="D177" s="43">
        <v>751796</v>
      </c>
      <c r="E177" s="43">
        <v>17158</v>
      </c>
      <c r="F177" s="43" t="s">
        <v>1349</v>
      </c>
      <c r="G177" s="43" t="s">
        <v>413</v>
      </c>
      <c r="H177" s="43"/>
      <c r="I177" s="43" t="s">
        <v>776</v>
      </c>
      <c r="J177" s="43" t="s">
        <v>4</v>
      </c>
      <c r="K177" s="43" t="s">
        <v>1274</v>
      </c>
      <c r="L177" s="43" t="s">
        <v>89</v>
      </c>
      <c r="M177" s="44">
        <v>0.45833333333333331</v>
      </c>
      <c r="N177" s="44">
        <v>0.72222222222222221</v>
      </c>
      <c r="O177" s="44">
        <v>0.2638888888888889</v>
      </c>
      <c r="P177" s="45">
        <v>40864</v>
      </c>
      <c r="Q177" s="45">
        <v>42424</v>
      </c>
      <c r="R177" s="45" t="s">
        <v>69</v>
      </c>
      <c r="S177" s="45" t="s">
        <v>1383</v>
      </c>
      <c r="T177" s="31" t="s">
        <v>2</v>
      </c>
      <c r="U177" s="31" t="s">
        <v>1407</v>
      </c>
    </row>
    <row r="178" spans="2:21">
      <c r="B178" s="155"/>
      <c r="C178" s="155">
        <v>22364</v>
      </c>
      <c r="D178" s="43">
        <v>772770</v>
      </c>
      <c r="E178" s="43">
        <v>12905</v>
      </c>
      <c r="F178" s="43" t="s">
        <v>1353</v>
      </c>
      <c r="G178" s="43" t="s">
        <v>2801</v>
      </c>
      <c r="H178" s="43"/>
      <c r="I178" s="43" t="s">
        <v>2801</v>
      </c>
      <c r="J178" s="43" t="s">
        <v>5</v>
      </c>
      <c r="K178" s="43" t="s">
        <v>7</v>
      </c>
      <c r="L178" s="43" t="s">
        <v>89</v>
      </c>
      <c r="M178" s="44">
        <v>0.33333333333333331</v>
      </c>
      <c r="N178" s="44">
        <v>0.68055555555555547</v>
      </c>
      <c r="O178" s="44">
        <v>0.34722222222222227</v>
      </c>
      <c r="P178" s="45" t="s">
        <v>1362</v>
      </c>
      <c r="Q178" s="45">
        <v>42705</v>
      </c>
      <c r="R178" s="45" t="s">
        <v>69</v>
      </c>
      <c r="S178" s="45" t="s">
        <v>1387</v>
      </c>
      <c r="T178" s="31" t="s">
        <v>2</v>
      </c>
      <c r="U178" s="31" t="s">
        <v>1411</v>
      </c>
    </row>
    <row r="179" spans="2:21">
      <c r="B179" s="155"/>
      <c r="C179" s="155">
        <v>11223</v>
      </c>
      <c r="D179" s="43">
        <v>689241</v>
      </c>
      <c r="E179" s="43">
        <v>12217</v>
      </c>
      <c r="F179" s="43" t="s">
        <v>1354</v>
      </c>
      <c r="G179" s="43" t="s">
        <v>2801</v>
      </c>
      <c r="H179" s="43"/>
      <c r="I179" s="43" t="s">
        <v>2801</v>
      </c>
      <c r="J179" s="43" t="s">
        <v>4</v>
      </c>
      <c r="K179" s="43" t="s">
        <v>7</v>
      </c>
      <c r="L179" s="43" t="s">
        <v>89</v>
      </c>
      <c r="M179" s="44">
        <v>0.375</v>
      </c>
      <c r="N179" s="44">
        <v>0.72222222222222221</v>
      </c>
      <c r="O179" s="44">
        <v>0.34722222222222227</v>
      </c>
      <c r="P179" s="45">
        <v>40042</v>
      </c>
      <c r="Q179" s="45" t="s">
        <v>2</v>
      </c>
      <c r="R179" s="45" t="s">
        <v>69</v>
      </c>
      <c r="S179" s="45" t="s">
        <v>1388</v>
      </c>
      <c r="T179" s="31" t="s">
        <v>2</v>
      </c>
      <c r="U179" s="31" t="s">
        <v>1412</v>
      </c>
    </row>
    <row r="180" spans="2:21">
      <c r="B180" s="155"/>
      <c r="C180" s="155">
        <v>29311</v>
      </c>
      <c r="D180" s="43">
        <v>858689</v>
      </c>
      <c r="E180" s="43">
        <v>10117</v>
      </c>
      <c r="F180" s="43" t="s">
        <v>148</v>
      </c>
      <c r="G180" s="43" t="s">
        <v>1357</v>
      </c>
      <c r="H180" s="43"/>
      <c r="I180" s="43" t="s">
        <v>2288</v>
      </c>
      <c r="J180" s="43" t="s">
        <v>4</v>
      </c>
      <c r="K180" s="43" t="s">
        <v>1361</v>
      </c>
      <c r="L180" s="43" t="s">
        <v>89</v>
      </c>
      <c r="M180" s="44">
        <v>0.375</v>
      </c>
      <c r="N180" s="44">
        <v>0.75</v>
      </c>
      <c r="O180" s="44">
        <v>0.375</v>
      </c>
      <c r="P180" s="45">
        <v>41918</v>
      </c>
      <c r="Q180" s="45">
        <v>42626</v>
      </c>
      <c r="R180" s="45" t="s">
        <v>69</v>
      </c>
      <c r="S180" s="45" t="s">
        <v>2818</v>
      </c>
      <c r="T180" s="31" t="s">
        <v>3060</v>
      </c>
      <c r="U180" s="31" t="s">
        <v>835</v>
      </c>
    </row>
    <row r="181" spans="2:21">
      <c r="B181" s="155"/>
      <c r="C181" s="155">
        <v>10201</v>
      </c>
      <c r="D181" s="43">
        <v>689316</v>
      </c>
      <c r="E181" s="43">
        <v>10013</v>
      </c>
      <c r="F181" s="43" t="s">
        <v>2292</v>
      </c>
      <c r="G181" s="43" t="s">
        <v>1357</v>
      </c>
      <c r="H181" s="43"/>
      <c r="I181" s="43" t="s">
        <v>2288</v>
      </c>
      <c r="J181" s="43" t="s">
        <v>4</v>
      </c>
      <c r="K181" s="43" t="s">
        <v>1361</v>
      </c>
      <c r="L181" s="43" t="s">
        <v>89</v>
      </c>
      <c r="M181" s="44">
        <v>0.33333333333333331</v>
      </c>
      <c r="N181" s="44">
        <v>0.70833333333333337</v>
      </c>
      <c r="O181" s="44">
        <v>0.375</v>
      </c>
      <c r="P181" s="45">
        <v>39790</v>
      </c>
      <c r="Q181" s="45" t="s">
        <v>2</v>
      </c>
      <c r="R181" s="45" t="s">
        <v>69</v>
      </c>
      <c r="S181" s="45" t="s">
        <v>2291</v>
      </c>
      <c r="T181" s="31" t="s">
        <v>2755</v>
      </c>
      <c r="U181" s="31" t="s">
        <v>2289</v>
      </c>
    </row>
    <row r="182" spans="2:21">
      <c r="B182" s="155"/>
      <c r="C182" s="155"/>
      <c r="D182" s="43"/>
      <c r="E182" s="43"/>
      <c r="F182" s="43"/>
      <c r="G182" s="43"/>
      <c r="H182" s="43"/>
      <c r="I182" s="43"/>
      <c r="J182" s="43"/>
      <c r="K182" s="43"/>
      <c r="L182" s="43"/>
      <c r="M182" s="44"/>
      <c r="N182" s="44"/>
      <c r="O182" s="44"/>
      <c r="P182" s="45"/>
      <c r="Q182" s="45"/>
      <c r="R182" s="45"/>
      <c r="S182" s="45"/>
    </row>
    <row r="183" spans="2:21">
      <c r="B183" s="155"/>
      <c r="C183" s="155"/>
      <c r="D183" s="43"/>
      <c r="E183" s="43"/>
      <c r="F183" s="43"/>
      <c r="G183" s="43"/>
      <c r="H183" s="43"/>
      <c r="I183" s="43"/>
      <c r="J183" s="43"/>
      <c r="K183" s="43"/>
      <c r="L183" s="43"/>
      <c r="M183" s="44"/>
      <c r="N183" s="44"/>
      <c r="O183" s="44"/>
      <c r="P183" s="45"/>
      <c r="Q183" s="45"/>
      <c r="R183" s="45"/>
      <c r="S183" s="45"/>
    </row>
    <row r="184" spans="2:21">
      <c r="B184" s="155"/>
      <c r="C184" s="155"/>
      <c r="D184" s="43"/>
      <c r="E184" s="43"/>
      <c r="F184" s="43"/>
      <c r="G184" s="43"/>
      <c r="H184" s="43"/>
      <c r="I184" s="43"/>
      <c r="J184" s="43"/>
      <c r="K184" s="43"/>
      <c r="L184" s="43"/>
      <c r="M184" s="44"/>
      <c r="N184" s="44"/>
      <c r="O184" s="44"/>
      <c r="P184" s="45"/>
      <c r="Q184" s="45"/>
      <c r="R184" s="45"/>
      <c r="S184" s="45"/>
    </row>
    <row r="185" spans="2:21">
      <c r="B185" s="155"/>
      <c r="C185" s="155"/>
      <c r="D185" s="43"/>
      <c r="E185" s="43"/>
      <c r="F185" s="43"/>
      <c r="G185" s="43"/>
      <c r="H185" s="43"/>
      <c r="I185" s="43"/>
      <c r="J185" s="43"/>
      <c r="K185" s="43"/>
      <c r="L185" s="43"/>
      <c r="M185" s="44"/>
      <c r="N185" s="44"/>
      <c r="O185" s="44"/>
      <c r="P185" s="45"/>
      <c r="Q185" s="45"/>
      <c r="R185" s="45"/>
      <c r="S185" s="45"/>
    </row>
    <row r="186" spans="2:21">
      <c r="B186" s="155"/>
      <c r="C186" s="155"/>
      <c r="D186" s="43"/>
      <c r="E186" s="43"/>
      <c r="F186" s="43"/>
      <c r="G186" s="43"/>
      <c r="H186" s="43"/>
      <c r="I186" s="43"/>
      <c r="J186" s="43"/>
      <c r="K186" s="43"/>
      <c r="L186" s="43"/>
      <c r="M186" s="44"/>
      <c r="N186" s="44"/>
      <c r="O186" s="44"/>
      <c r="P186" s="45"/>
      <c r="Q186" s="45"/>
      <c r="R186" s="45"/>
      <c r="S186" s="45"/>
    </row>
    <row r="187" spans="2:21">
      <c r="B187" s="155"/>
      <c r="C187" s="155"/>
      <c r="D187" s="43"/>
      <c r="E187" s="43"/>
      <c r="F187" s="43"/>
      <c r="G187" s="43"/>
      <c r="H187" s="43"/>
      <c r="I187" s="43"/>
      <c r="J187" s="43"/>
      <c r="K187" s="43"/>
      <c r="L187" s="43"/>
      <c r="M187" s="44"/>
      <c r="N187" s="44"/>
      <c r="O187" s="44"/>
      <c r="P187" s="45"/>
      <c r="Q187" s="45"/>
      <c r="R187" s="45"/>
      <c r="S187" s="45"/>
    </row>
    <row r="188" spans="2:21">
      <c r="B188" s="155"/>
      <c r="C188" s="155"/>
      <c r="D188" s="43"/>
      <c r="E188" s="43"/>
      <c r="F188" s="43"/>
      <c r="G188" s="43"/>
      <c r="H188" s="43"/>
      <c r="I188" s="43"/>
      <c r="J188" s="43"/>
      <c r="K188" s="43"/>
      <c r="L188" s="43"/>
      <c r="M188" s="44"/>
      <c r="N188" s="44"/>
      <c r="O188" s="44"/>
      <c r="P188" s="45"/>
      <c r="Q188" s="45"/>
      <c r="R188" s="45"/>
      <c r="S188" s="45"/>
    </row>
    <row r="189" spans="2:21">
      <c r="B189" s="155"/>
      <c r="C189" s="155"/>
      <c r="D189" s="43"/>
      <c r="E189" s="43"/>
      <c r="F189" s="43"/>
      <c r="G189" s="43"/>
      <c r="H189" s="43"/>
      <c r="I189" s="43"/>
      <c r="J189" s="43"/>
      <c r="K189" s="43"/>
      <c r="L189" s="43"/>
      <c r="M189" s="44"/>
      <c r="N189" s="44"/>
      <c r="O189" s="44"/>
      <c r="P189" s="45"/>
      <c r="Q189" s="45"/>
      <c r="R189" s="45"/>
      <c r="S189" s="45"/>
    </row>
    <row r="190" spans="2:21">
      <c r="B190" s="155"/>
      <c r="C190" s="155"/>
      <c r="D190" s="43"/>
      <c r="E190" s="43"/>
      <c r="F190" s="43"/>
      <c r="G190" s="43"/>
      <c r="H190" s="43"/>
      <c r="I190" s="43"/>
      <c r="J190" s="43"/>
      <c r="K190" s="43"/>
      <c r="L190" s="43"/>
      <c r="M190" s="44"/>
      <c r="N190" s="44"/>
      <c r="O190" s="44"/>
      <c r="P190" s="45"/>
      <c r="Q190" s="45"/>
      <c r="R190" s="45"/>
      <c r="S190" s="45"/>
    </row>
    <row r="191" spans="2:21">
      <c r="B191" s="155"/>
      <c r="C191" s="155"/>
      <c r="D191" s="43"/>
      <c r="E191" s="43"/>
      <c r="F191" s="43"/>
      <c r="G191" s="43"/>
      <c r="H191" s="43"/>
      <c r="I191" s="43"/>
      <c r="J191" s="43"/>
      <c r="K191" s="43"/>
      <c r="L191" s="43"/>
      <c r="M191" s="44"/>
      <c r="N191" s="44"/>
      <c r="O191" s="44"/>
      <c r="P191" s="45"/>
      <c r="Q191" s="45"/>
      <c r="R191" s="45"/>
      <c r="S191" s="45"/>
    </row>
    <row r="192" spans="2:21">
      <c r="B192" s="155"/>
      <c r="C192" s="155"/>
      <c r="D192" s="43"/>
      <c r="E192" s="43"/>
      <c r="F192" s="43"/>
      <c r="G192" s="43"/>
      <c r="H192" s="43"/>
      <c r="I192" s="43"/>
      <c r="J192" s="43"/>
      <c r="K192" s="43"/>
      <c r="L192" s="43"/>
      <c r="M192" s="44"/>
      <c r="N192" s="44"/>
      <c r="O192" s="44"/>
      <c r="P192" s="45"/>
      <c r="Q192" s="45"/>
      <c r="R192" s="45"/>
      <c r="S192" s="45"/>
    </row>
    <row r="193" spans="2:19">
      <c r="B193" s="155"/>
      <c r="C193" s="155"/>
      <c r="D193" s="43"/>
      <c r="E193" s="43"/>
      <c r="F193" s="43"/>
      <c r="G193" s="43"/>
      <c r="H193" s="43"/>
      <c r="I193" s="43"/>
      <c r="J193" s="43"/>
      <c r="K193" s="43"/>
      <c r="L193" s="43"/>
      <c r="M193" s="44"/>
      <c r="N193" s="44"/>
      <c r="O193" s="44"/>
      <c r="P193" s="45"/>
      <c r="Q193" s="45"/>
      <c r="R193" s="45"/>
      <c r="S193" s="45"/>
    </row>
    <row r="194" spans="2:19">
      <c r="B194" s="155"/>
      <c r="C194" s="155"/>
      <c r="D194" s="43"/>
      <c r="E194" s="43"/>
      <c r="F194" s="43"/>
      <c r="G194" s="43"/>
      <c r="H194" s="43"/>
      <c r="I194" s="43"/>
      <c r="J194" s="43"/>
      <c r="K194" s="43"/>
      <c r="L194" s="43"/>
      <c r="M194" s="44"/>
      <c r="N194" s="44"/>
      <c r="O194" s="44"/>
      <c r="P194" s="45"/>
      <c r="Q194" s="45"/>
      <c r="R194" s="45"/>
      <c r="S194" s="45"/>
    </row>
    <row r="195" spans="2:19">
      <c r="B195" s="155"/>
      <c r="C195" s="155"/>
      <c r="D195" s="43"/>
      <c r="E195" s="43"/>
      <c r="F195" s="43"/>
      <c r="G195" s="43"/>
      <c r="H195" s="43"/>
      <c r="I195" s="43"/>
      <c r="J195" s="43"/>
      <c r="K195" s="43"/>
      <c r="L195" s="43"/>
      <c r="M195" s="44"/>
      <c r="N195" s="44"/>
      <c r="O195" s="44"/>
      <c r="P195" s="45"/>
      <c r="Q195" s="45"/>
      <c r="R195" s="45"/>
      <c r="S195" s="45"/>
    </row>
    <row r="196" spans="2:19">
      <c r="B196" s="155"/>
      <c r="C196" s="155"/>
      <c r="D196" s="43"/>
      <c r="E196" s="43"/>
      <c r="F196" s="43"/>
      <c r="G196" s="43"/>
      <c r="H196" s="43"/>
      <c r="I196" s="43"/>
      <c r="J196" s="43"/>
      <c r="K196" s="43"/>
      <c r="L196" s="43"/>
      <c r="M196" s="44"/>
      <c r="N196" s="44"/>
      <c r="O196" s="44"/>
      <c r="P196" s="45"/>
      <c r="Q196" s="45"/>
      <c r="R196" s="45"/>
      <c r="S196" s="45"/>
    </row>
    <row r="197" spans="2:19">
      <c r="B197" s="155"/>
      <c r="C197" s="155"/>
      <c r="D197" s="43"/>
      <c r="E197" s="43"/>
      <c r="F197" s="43"/>
      <c r="G197" s="43"/>
      <c r="H197" s="43"/>
      <c r="I197" s="43"/>
      <c r="J197" s="43"/>
      <c r="K197" s="43"/>
      <c r="L197" s="43"/>
      <c r="M197" s="44"/>
      <c r="N197" s="44"/>
      <c r="O197" s="44"/>
      <c r="P197" s="45"/>
      <c r="Q197" s="45"/>
      <c r="R197" s="45"/>
      <c r="S197" s="45"/>
    </row>
    <row r="198" spans="2:19">
      <c r="B198" s="155"/>
      <c r="C198" s="155"/>
      <c r="D198" s="43"/>
      <c r="E198" s="43"/>
      <c r="F198" s="43"/>
      <c r="G198" s="43"/>
      <c r="H198" s="43"/>
      <c r="I198" s="43"/>
      <c r="J198" s="43"/>
      <c r="K198" s="43"/>
      <c r="L198" s="43"/>
      <c r="M198" s="44"/>
      <c r="N198" s="44"/>
      <c r="O198" s="44"/>
      <c r="P198" s="45"/>
      <c r="Q198" s="45"/>
      <c r="R198" s="45"/>
      <c r="S198" s="45"/>
    </row>
    <row r="199" spans="2:19">
      <c r="B199" s="155"/>
      <c r="C199" s="155"/>
      <c r="D199" s="43"/>
      <c r="E199" s="43"/>
      <c r="F199" s="43"/>
      <c r="G199" s="43"/>
      <c r="H199" s="43"/>
      <c r="I199" s="43"/>
      <c r="J199" s="43"/>
      <c r="K199" s="43"/>
      <c r="L199" s="43"/>
      <c r="M199" s="44"/>
      <c r="N199" s="44"/>
      <c r="O199" s="44"/>
      <c r="P199" s="45"/>
      <c r="Q199" s="45"/>
      <c r="R199" s="45"/>
      <c r="S199" s="45"/>
    </row>
    <row r="200" spans="2:19">
      <c r="B200" s="155"/>
      <c r="C200" s="155"/>
      <c r="D200" s="43"/>
      <c r="E200" s="43"/>
      <c r="F200" s="43"/>
      <c r="G200" s="43"/>
      <c r="H200" s="43"/>
      <c r="I200" s="43"/>
      <c r="J200" s="43"/>
      <c r="K200" s="43"/>
      <c r="L200" s="43"/>
      <c r="M200" s="44"/>
      <c r="N200" s="44"/>
      <c r="O200" s="44"/>
      <c r="P200" s="45"/>
      <c r="Q200" s="45"/>
      <c r="R200" s="45"/>
      <c r="S200" s="45"/>
    </row>
    <row r="201" spans="2:19">
      <c r="B201" s="155"/>
      <c r="C201" s="155"/>
      <c r="D201" s="43"/>
      <c r="E201" s="43"/>
      <c r="F201" s="43"/>
      <c r="G201" s="43"/>
      <c r="H201" s="43"/>
      <c r="I201" s="43"/>
      <c r="J201" s="43"/>
      <c r="K201" s="43"/>
      <c r="L201" s="43"/>
      <c r="M201" s="44"/>
      <c r="N201" s="44"/>
      <c r="O201" s="44"/>
      <c r="P201" s="45"/>
      <c r="Q201" s="45"/>
      <c r="R201" s="45"/>
      <c r="S201" s="45"/>
    </row>
    <row r="202" spans="2:19">
      <c r="B202" s="155"/>
      <c r="C202" s="155"/>
      <c r="D202" s="43"/>
      <c r="E202" s="43"/>
      <c r="F202" s="43"/>
      <c r="G202" s="43"/>
      <c r="H202" s="43"/>
      <c r="I202" s="43"/>
      <c r="J202" s="43"/>
      <c r="K202" s="43"/>
      <c r="L202" s="43"/>
      <c r="M202" s="44"/>
      <c r="N202" s="44"/>
      <c r="O202" s="44"/>
      <c r="P202" s="45"/>
      <c r="Q202" s="45"/>
      <c r="R202" s="45"/>
      <c r="S202" s="45"/>
    </row>
    <row r="203" spans="2:19">
      <c r="B203" s="155"/>
      <c r="C203" s="155"/>
      <c r="D203" s="43"/>
      <c r="E203" s="43"/>
      <c r="F203" s="43"/>
      <c r="G203" s="43"/>
      <c r="H203" s="43"/>
      <c r="I203" s="43"/>
      <c r="J203" s="43"/>
      <c r="K203" s="43"/>
      <c r="L203" s="43"/>
      <c r="M203" s="44"/>
      <c r="N203" s="44"/>
      <c r="O203" s="44"/>
      <c r="P203" s="45"/>
      <c r="Q203" s="45"/>
      <c r="R203" s="45"/>
      <c r="S203" s="45"/>
    </row>
    <row r="204" spans="2:19">
      <c r="B204" s="155"/>
      <c r="C204" s="155"/>
      <c r="D204" s="43"/>
      <c r="E204" s="43"/>
      <c r="F204" s="43"/>
      <c r="G204" s="43"/>
      <c r="H204" s="43"/>
      <c r="I204" s="43"/>
      <c r="J204" s="43"/>
      <c r="K204" s="43"/>
      <c r="L204" s="43"/>
      <c r="M204" s="44"/>
      <c r="N204" s="44"/>
      <c r="O204" s="44"/>
      <c r="P204" s="45"/>
      <c r="Q204" s="45"/>
      <c r="R204" s="45"/>
      <c r="S204" s="45"/>
    </row>
    <row r="205" spans="2:19">
      <c r="B205" s="155"/>
      <c r="C205" s="155"/>
      <c r="D205" s="43"/>
      <c r="E205" s="43"/>
      <c r="F205" s="43"/>
      <c r="G205" s="43"/>
      <c r="H205" s="43"/>
      <c r="I205" s="43"/>
      <c r="J205" s="43"/>
      <c r="K205" s="43"/>
      <c r="L205" s="43"/>
      <c r="M205" s="44"/>
      <c r="N205" s="44"/>
      <c r="O205" s="44"/>
      <c r="P205" s="45"/>
      <c r="Q205" s="45"/>
      <c r="R205" s="45"/>
      <c r="S205" s="45"/>
    </row>
    <row r="206" spans="2:19">
      <c r="B206" s="155"/>
      <c r="C206" s="155"/>
      <c r="D206" s="43"/>
      <c r="E206" s="43"/>
      <c r="F206" s="43"/>
      <c r="G206" s="43"/>
      <c r="H206" s="43"/>
      <c r="I206" s="43"/>
      <c r="J206" s="43"/>
      <c r="K206" s="43"/>
      <c r="L206" s="43"/>
      <c r="M206" s="44"/>
      <c r="N206" s="44"/>
      <c r="O206" s="44"/>
      <c r="P206" s="45"/>
      <c r="Q206" s="45"/>
      <c r="R206" s="45"/>
      <c r="S206" s="45"/>
    </row>
    <row r="207" spans="2:19">
      <c r="B207" s="155"/>
      <c r="C207" s="155"/>
      <c r="D207" s="43"/>
      <c r="E207" s="43"/>
      <c r="F207" s="43"/>
      <c r="G207" s="43"/>
      <c r="H207" s="43"/>
      <c r="I207" s="43"/>
      <c r="J207" s="43"/>
      <c r="K207" s="43"/>
      <c r="L207" s="43"/>
      <c r="M207" s="44"/>
      <c r="N207" s="44"/>
      <c r="O207" s="44"/>
      <c r="P207" s="45"/>
      <c r="Q207" s="45"/>
      <c r="R207" s="45"/>
      <c r="S207" s="45"/>
    </row>
    <row r="208" spans="2:19">
      <c r="B208" s="155"/>
      <c r="C208" s="155"/>
      <c r="D208" s="43"/>
      <c r="E208" s="43"/>
      <c r="F208" s="43"/>
      <c r="G208" s="43"/>
      <c r="H208" s="43"/>
      <c r="I208" s="43"/>
      <c r="J208" s="43"/>
      <c r="K208" s="43"/>
      <c r="L208" s="43"/>
      <c r="M208" s="44"/>
      <c r="N208" s="44"/>
      <c r="O208" s="44"/>
      <c r="P208" s="45"/>
      <c r="Q208" s="45"/>
      <c r="R208" s="45"/>
      <c r="S208" s="45"/>
    </row>
    <row r="209" spans="2:19">
      <c r="B209" s="155"/>
      <c r="C209" s="155"/>
      <c r="D209" s="43"/>
      <c r="E209" s="43"/>
      <c r="F209" s="43"/>
      <c r="G209" s="43"/>
      <c r="H209" s="43"/>
      <c r="I209" s="43"/>
      <c r="J209" s="43"/>
      <c r="K209" s="43"/>
      <c r="L209" s="43"/>
      <c r="M209" s="44"/>
      <c r="N209" s="44"/>
      <c r="O209" s="44"/>
      <c r="P209" s="45"/>
      <c r="Q209" s="45"/>
      <c r="R209" s="45"/>
      <c r="S209" s="45"/>
    </row>
    <row r="210" spans="2:19">
      <c r="B210" s="155"/>
      <c r="C210" s="155"/>
      <c r="D210" s="43"/>
      <c r="E210" s="43"/>
      <c r="F210" s="43"/>
      <c r="G210" s="43"/>
      <c r="H210" s="43"/>
      <c r="I210" s="43"/>
      <c r="J210" s="43"/>
      <c r="K210" s="43"/>
      <c r="L210" s="43"/>
      <c r="M210" s="44"/>
      <c r="N210" s="44"/>
      <c r="O210" s="44"/>
      <c r="P210" s="45"/>
      <c r="Q210" s="45"/>
      <c r="R210" s="45"/>
      <c r="S210" s="45"/>
    </row>
    <row r="211" spans="2:19">
      <c r="B211" s="155"/>
      <c r="C211" s="155"/>
      <c r="D211" s="43"/>
      <c r="E211" s="43"/>
      <c r="F211" s="43"/>
      <c r="G211" s="43"/>
      <c r="H211" s="43"/>
      <c r="I211" s="43"/>
      <c r="J211" s="43"/>
      <c r="K211" s="43"/>
      <c r="L211" s="43"/>
      <c r="M211" s="44"/>
      <c r="N211" s="44"/>
      <c r="O211" s="44"/>
      <c r="P211" s="45"/>
      <c r="Q211" s="45"/>
      <c r="R211" s="45"/>
      <c r="S211" s="45"/>
    </row>
    <row r="212" spans="2:19">
      <c r="B212" s="155"/>
      <c r="C212" s="155"/>
      <c r="D212" s="43"/>
      <c r="E212" s="43"/>
      <c r="F212" s="43"/>
      <c r="G212" s="43"/>
      <c r="H212" s="43"/>
      <c r="I212" s="43"/>
      <c r="J212" s="43"/>
      <c r="K212" s="43"/>
      <c r="L212" s="43"/>
      <c r="M212" s="44"/>
      <c r="N212" s="44"/>
      <c r="O212" s="44"/>
      <c r="P212" s="45"/>
      <c r="Q212" s="45"/>
      <c r="R212" s="45"/>
      <c r="S212" s="45"/>
    </row>
    <row r="213" spans="2:19">
      <c r="B213" s="155"/>
      <c r="C213" s="155"/>
      <c r="D213" s="43"/>
      <c r="E213" s="43"/>
      <c r="F213" s="43"/>
      <c r="G213" s="43"/>
      <c r="H213" s="43"/>
      <c r="I213" s="43"/>
      <c r="J213" s="43"/>
      <c r="K213" s="43"/>
      <c r="L213" s="43"/>
      <c r="M213" s="44"/>
      <c r="N213" s="44"/>
      <c r="O213" s="44"/>
      <c r="P213" s="45"/>
      <c r="Q213" s="45"/>
      <c r="R213" s="45"/>
      <c r="S213" s="45"/>
    </row>
    <row r="214" spans="2:19">
      <c r="B214" s="155"/>
      <c r="C214" s="155"/>
      <c r="D214" s="43"/>
      <c r="E214" s="43"/>
      <c r="F214" s="43"/>
      <c r="G214" s="43"/>
      <c r="H214" s="43"/>
      <c r="I214" s="43"/>
      <c r="J214" s="43"/>
      <c r="K214" s="43"/>
      <c r="L214" s="43"/>
      <c r="M214" s="44"/>
      <c r="N214" s="44"/>
      <c r="O214" s="44"/>
      <c r="P214" s="45"/>
      <c r="Q214" s="45"/>
      <c r="R214" s="45"/>
      <c r="S214" s="45"/>
    </row>
    <row r="215" spans="2:19">
      <c r="B215" s="155"/>
      <c r="C215" s="155"/>
      <c r="D215" s="43"/>
      <c r="E215" s="43"/>
      <c r="F215" s="43"/>
      <c r="G215" s="43"/>
      <c r="H215" s="43"/>
      <c r="I215" s="43"/>
      <c r="J215" s="43"/>
      <c r="K215" s="43"/>
      <c r="L215" s="43"/>
      <c r="M215" s="44"/>
      <c r="N215" s="44"/>
      <c r="O215" s="44"/>
      <c r="P215" s="45"/>
      <c r="Q215" s="45"/>
      <c r="R215" s="45"/>
      <c r="S215" s="45"/>
    </row>
    <row r="216" spans="2:19">
      <c r="B216" s="155"/>
      <c r="C216" s="155"/>
      <c r="D216" s="43"/>
      <c r="E216" s="43"/>
      <c r="F216" s="43"/>
      <c r="G216" s="43"/>
      <c r="H216" s="43"/>
      <c r="I216" s="43"/>
      <c r="J216" s="43"/>
      <c r="K216" s="43"/>
      <c r="L216" s="43"/>
      <c r="M216" s="44"/>
      <c r="N216" s="44"/>
      <c r="O216" s="44"/>
      <c r="P216" s="45"/>
      <c r="Q216" s="45"/>
      <c r="R216" s="45"/>
      <c r="S216" s="45"/>
    </row>
    <row r="217" spans="2:19">
      <c r="B217" s="155"/>
      <c r="C217" s="155"/>
      <c r="D217" s="43"/>
      <c r="E217" s="43"/>
      <c r="F217" s="43"/>
      <c r="G217" s="43"/>
      <c r="H217" s="43"/>
      <c r="I217" s="43"/>
      <c r="J217" s="43"/>
      <c r="K217" s="43"/>
      <c r="L217" s="43"/>
      <c r="M217" s="44"/>
      <c r="N217" s="44"/>
      <c r="O217" s="44"/>
      <c r="P217" s="45"/>
      <c r="Q217" s="45"/>
      <c r="R217" s="45"/>
      <c r="S217" s="45"/>
    </row>
    <row r="218" spans="2:19">
      <c r="B218" s="155"/>
      <c r="C218" s="155"/>
      <c r="D218" s="43"/>
      <c r="E218" s="43"/>
      <c r="F218" s="43"/>
      <c r="G218" s="43"/>
      <c r="H218" s="43"/>
      <c r="I218" s="43"/>
      <c r="J218" s="43"/>
      <c r="K218" s="43"/>
      <c r="L218" s="43"/>
      <c r="M218" s="44"/>
      <c r="N218" s="44"/>
      <c r="O218" s="44"/>
      <c r="P218" s="45"/>
      <c r="Q218" s="45"/>
      <c r="R218" s="45"/>
      <c r="S218" s="45"/>
    </row>
    <row r="219" spans="2:19">
      <c r="B219" s="155"/>
      <c r="C219" s="155"/>
      <c r="D219" s="43"/>
      <c r="E219" s="43"/>
      <c r="F219" s="43"/>
      <c r="G219" s="43"/>
      <c r="H219" s="43"/>
      <c r="I219" s="43"/>
      <c r="J219" s="43"/>
      <c r="K219" s="43"/>
      <c r="L219" s="43"/>
      <c r="M219" s="44"/>
      <c r="N219" s="44"/>
      <c r="O219" s="44"/>
      <c r="P219" s="45"/>
      <c r="Q219" s="45"/>
      <c r="R219" s="45"/>
      <c r="S219" s="45"/>
    </row>
    <row r="220" spans="2:19">
      <c r="B220" s="155"/>
      <c r="C220" s="155"/>
      <c r="D220" s="43"/>
      <c r="E220" s="43"/>
      <c r="F220" s="43"/>
      <c r="G220" s="43"/>
      <c r="H220" s="43"/>
      <c r="I220" s="43"/>
      <c r="J220" s="43"/>
      <c r="K220" s="43"/>
      <c r="L220" s="43"/>
      <c r="M220" s="44"/>
      <c r="N220" s="44"/>
      <c r="O220" s="44"/>
      <c r="P220" s="45"/>
      <c r="Q220" s="45"/>
      <c r="R220" s="45"/>
      <c r="S220" s="45"/>
    </row>
    <row r="221" spans="2:19">
      <c r="B221" s="155"/>
      <c r="C221" s="155"/>
      <c r="D221" s="43"/>
      <c r="E221" s="43"/>
      <c r="F221" s="43"/>
      <c r="G221" s="43"/>
      <c r="H221" s="43"/>
      <c r="I221" s="43"/>
      <c r="J221" s="43"/>
      <c r="K221" s="43"/>
      <c r="L221" s="43"/>
      <c r="M221" s="44"/>
      <c r="N221" s="44"/>
      <c r="O221" s="44"/>
      <c r="P221" s="45"/>
      <c r="Q221" s="45"/>
      <c r="R221" s="45"/>
      <c r="S221" s="45"/>
    </row>
    <row r="222" spans="2:19">
      <c r="B222" s="155"/>
      <c r="C222" s="155"/>
      <c r="D222" s="43"/>
      <c r="E222" s="43"/>
      <c r="F222" s="43"/>
      <c r="G222" s="43"/>
      <c r="H222" s="43"/>
      <c r="I222" s="43"/>
      <c r="J222" s="43"/>
      <c r="K222" s="43"/>
      <c r="L222" s="43"/>
      <c r="M222" s="44"/>
      <c r="N222" s="44"/>
      <c r="O222" s="44"/>
      <c r="P222" s="45"/>
      <c r="Q222" s="45"/>
      <c r="R222" s="45"/>
      <c r="S222" s="45"/>
    </row>
    <row r="223" spans="2:19">
      <c r="B223" s="155"/>
      <c r="C223" s="155"/>
      <c r="D223" s="43"/>
      <c r="E223" s="43"/>
      <c r="F223" s="43"/>
      <c r="G223" s="43"/>
      <c r="H223" s="43"/>
      <c r="I223" s="43"/>
      <c r="J223" s="43"/>
      <c r="K223" s="43"/>
      <c r="L223" s="43"/>
      <c r="M223" s="44"/>
      <c r="N223" s="44"/>
      <c r="O223" s="44"/>
      <c r="P223" s="45"/>
      <c r="Q223" s="45"/>
      <c r="R223" s="45"/>
      <c r="S223" s="45"/>
    </row>
    <row r="224" spans="2:19">
      <c r="B224" s="155"/>
      <c r="C224" s="155"/>
      <c r="D224" s="43"/>
      <c r="E224" s="43"/>
      <c r="F224" s="43"/>
      <c r="G224" s="43"/>
      <c r="H224" s="43"/>
      <c r="I224" s="43"/>
      <c r="J224" s="43"/>
      <c r="K224" s="43"/>
      <c r="L224" s="43"/>
      <c r="M224" s="44"/>
      <c r="N224" s="44"/>
      <c r="O224" s="44"/>
      <c r="P224" s="45"/>
      <c r="Q224" s="45"/>
      <c r="R224" s="45"/>
      <c r="S224" s="45"/>
    </row>
    <row r="225" spans="2:19">
      <c r="B225" s="155"/>
      <c r="C225" s="155"/>
      <c r="D225" s="43"/>
      <c r="E225" s="43"/>
      <c r="F225" s="43"/>
      <c r="G225" s="43"/>
      <c r="H225" s="43"/>
      <c r="I225" s="43"/>
      <c r="J225" s="43"/>
      <c r="K225" s="43"/>
      <c r="L225" s="43"/>
      <c r="M225" s="44"/>
      <c r="N225" s="44"/>
      <c r="O225" s="44"/>
      <c r="P225" s="45"/>
      <c r="Q225" s="45"/>
      <c r="R225" s="45"/>
      <c r="S225" s="45"/>
    </row>
    <row r="226" spans="2:19">
      <c r="B226" s="155"/>
      <c r="C226" s="155"/>
      <c r="D226" s="43"/>
      <c r="E226" s="43"/>
      <c r="F226" s="43"/>
      <c r="G226" s="43"/>
      <c r="H226" s="43"/>
      <c r="I226" s="43"/>
      <c r="J226" s="43"/>
      <c r="K226" s="43"/>
      <c r="L226" s="43"/>
      <c r="M226" s="44"/>
      <c r="N226" s="44"/>
      <c r="O226" s="44"/>
      <c r="P226" s="45"/>
      <c r="Q226" s="45"/>
      <c r="R226" s="45"/>
      <c r="S226" s="45"/>
    </row>
    <row r="227" spans="2:19">
      <c r="B227" s="155"/>
      <c r="C227" s="155"/>
      <c r="D227" s="43"/>
      <c r="E227" s="43"/>
      <c r="F227" s="43"/>
      <c r="G227" s="43"/>
      <c r="H227" s="43"/>
      <c r="I227" s="43"/>
      <c r="J227" s="43"/>
      <c r="K227" s="43"/>
      <c r="L227" s="43"/>
      <c r="M227" s="44"/>
      <c r="N227" s="44"/>
      <c r="O227" s="44"/>
      <c r="P227" s="45"/>
      <c r="Q227" s="45"/>
      <c r="R227" s="45"/>
      <c r="S227" s="45"/>
    </row>
    <row r="228" spans="2:19">
      <c r="B228" s="155"/>
      <c r="C228" s="155"/>
      <c r="D228" s="43"/>
      <c r="E228" s="43"/>
      <c r="F228" s="43"/>
      <c r="G228" s="43"/>
      <c r="H228" s="43"/>
      <c r="I228" s="43"/>
      <c r="J228" s="43"/>
      <c r="K228" s="43"/>
      <c r="L228" s="43"/>
      <c r="M228" s="44"/>
      <c r="N228" s="44"/>
      <c r="O228" s="44"/>
      <c r="P228" s="45"/>
      <c r="Q228" s="45"/>
      <c r="R228" s="45"/>
      <c r="S228" s="45"/>
    </row>
    <row r="229" spans="2:19">
      <c r="B229" s="155"/>
      <c r="C229" s="155"/>
      <c r="D229" s="43"/>
      <c r="E229" s="43"/>
      <c r="F229" s="43"/>
      <c r="G229" s="43"/>
      <c r="H229" s="43"/>
      <c r="I229" s="43"/>
      <c r="J229" s="43"/>
      <c r="K229" s="43"/>
      <c r="L229" s="43"/>
      <c r="M229" s="44"/>
      <c r="N229" s="44"/>
      <c r="O229" s="44"/>
      <c r="P229" s="45"/>
      <c r="Q229" s="45"/>
      <c r="R229" s="45"/>
      <c r="S229" s="45"/>
    </row>
    <row r="230" spans="2:19">
      <c r="B230" s="155"/>
      <c r="C230" s="155"/>
      <c r="D230" s="43"/>
      <c r="E230" s="43"/>
      <c r="F230" s="43"/>
      <c r="G230" s="43"/>
      <c r="H230" s="43"/>
      <c r="I230" s="43"/>
      <c r="J230" s="43"/>
      <c r="K230" s="43"/>
      <c r="L230" s="43"/>
      <c r="M230" s="44"/>
      <c r="N230" s="44"/>
      <c r="O230" s="44"/>
      <c r="P230" s="45"/>
      <c r="Q230" s="45"/>
      <c r="R230" s="45"/>
      <c r="S230" s="45"/>
    </row>
    <row r="231" spans="2:19">
      <c r="B231" s="155"/>
      <c r="C231" s="155"/>
      <c r="D231" s="43"/>
      <c r="E231" s="43"/>
      <c r="F231" s="43"/>
      <c r="G231" s="43"/>
      <c r="H231" s="43"/>
      <c r="I231" s="43"/>
      <c r="J231" s="43"/>
      <c r="K231" s="43"/>
      <c r="L231" s="43"/>
      <c r="M231" s="44"/>
      <c r="N231" s="44"/>
      <c r="O231" s="44"/>
      <c r="P231" s="45"/>
      <c r="Q231" s="45"/>
      <c r="R231" s="45"/>
      <c r="S231" s="45"/>
    </row>
    <row r="232" spans="2:19">
      <c r="B232" s="155"/>
      <c r="C232" s="155"/>
      <c r="D232" s="43"/>
      <c r="E232" s="43"/>
      <c r="F232" s="43"/>
      <c r="G232" s="43"/>
      <c r="H232" s="43"/>
      <c r="I232" s="43"/>
      <c r="J232" s="43"/>
      <c r="K232" s="43"/>
      <c r="L232" s="43"/>
      <c r="M232" s="44"/>
      <c r="N232" s="44"/>
      <c r="O232" s="44"/>
      <c r="P232" s="45"/>
      <c r="Q232" s="45"/>
      <c r="R232" s="45"/>
      <c r="S232" s="45"/>
    </row>
    <row r="233" spans="2:19">
      <c r="B233" s="155"/>
      <c r="C233" s="155"/>
      <c r="D233" s="43"/>
      <c r="E233" s="43"/>
      <c r="F233" s="43"/>
      <c r="G233" s="43"/>
      <c r="H233" s="43"/>
      <c r="I233" s="43"/>
      <c r="J233" s="43"/>
      <c r="K233" s="43"/>
      <c r="L233" s="43"/>
      <c r="M233" s="44"/>
      <c r="N233" s="44"/>
      <c r="O233" s="44"/>
      <c r="P233" s="45"/>
      <c r="Q233" s="45"/>
      <c r="R233" s="45"/>
      <c r="S233" s="45"/>
    </row>
    <row r="234" spans="2:19">
      <c r="B234" s="155"/>
      <c r="C234" s="155"/>
      <c r="D234" s="43"/>
      <c r="E234" s="43"/>
      <c r="F234" s="43"/>
      <c r="G234" s="43"/>
      <c r="H234" s="43"/>
      <c r="I234" s="43"/>
      <c r="J234" s="43"/>
      <c r="K234" s="43"/>
      <c r="L234" s="43"/>
      <c r="M234" s="44"/>
      <c r="N234" s="44"/>
      <c r="O234" s="44"/>
      <c r="P234" s="45"/>
      <c r="Q234" s="45"/>
      <c r="R234" s="45"/>
      <c r="S234" s="45"/>
    </row>
    <row r="235" spans="2:19">
      <c r="B235" s="155"/>
      <c r="C235" s="155"/>
      <c r="D235" s="43"/>
      <c r="E235" s="43"/>
      <c r="F235" s="43"/>
      <c r="G235" s="43"/>
      <c r="H235" s="43"/>
      <c r="I235" s="43"/>
      <c r="J235" s="43"/>
      <c r="K235" s="43"/>
      <c r="L235" s="43"/>
      <c r="M235" s="44"/>
      <c r="N235" s="44"/>
      <c r="O235" s="44"/>
      <c r="P235" s="45"/>
      <c r="Q235" s="45"/>
      <c r="R235" s="45"/>
      <c r="S235" s="45"/>
    </row>
    <row r="236" spans="2:19">
      <c r="B236" s="155"/>
      <c r="C236" s="155"/>
      <c r="D236" s="43"/>
      <c r="E236" s="43"/>
      <c r="F236" s="43"/>
      <c r="G236" s="43"/>
      <c r="H236" s="43"/>
      <c r="I236" s="43"/>
      <c r="J236" s="43"/>
      <c r="K236" s="43"/>
      <c r="L236" s="43"/>
      <c r="M236" s="44"/>
      <c r="N236" s="44"/>
      <c r="O236" s="44"/>
      <c r="P236" s="45"/>
      <c r="Q236" s="45"/>
      <c r="R236" s="45"/>
      <c r="S236" s="45"/>
    </row>
    <row r="237" spans="2:19">
      <c r="B237" s="155"/>
      <c r="C237" s="155"/>
      <c r="D237" s="43"/>
      <c r="E237" s="43"/>
      <c r="F237" s="43"/>
      <c r="G237" s="43"/>
      <c r="H237" s="43"/>
      <c r="I237" s="43"/>
      <c r="J237" s="43"/>
      <c r="K237" s="43"/>
      <c r="L237" s="43"/>
      <c r="M237" s="44"/>
      <c r="N237" s="44"/>
      <c r="O237" s="44"/>
      <c r="P237" s="45"/>
      <c r="Q237" s="45"/>
      <c r="R237" s="45"/>
      <c r="S237" s="45"/>
    </row>
    <row r="238" spans="2:19">
      <c r="B238" s="155"/>
      <c r="C238" s="155"/>
      <c r="D238" s="43"/>
      <c r="E238" s="43"/>
      <c r="F238" s="43"/>
      <c r="G238" s="43"/>
      <c r="H238" s="43"/>
      <c r="I238" s="43"/>
      <c r="J238" s="43"/>
      <c r="K238" s="43"/>
      <c r="L238" s="43"/>
      <c r="M238" s="44"/>
      <c r="N238" s="44"/>
      <c r="O238" s="44"/>
      <c r="P238" s="45"/>
      <c r="Q238" s="45"/>
      <c r="R238" s="45"/>
      <c r="S238" s="45"/>
    </row>
    <row r="239" spans="2:19">
      <c r="B239" s="155"/>
      <c r="C239" s="155"/>
      <c r="D239" s="43"/>
      <c r="E239" s="43"/>
      <c r="F239" s="43"/>
      <c r="G239" s="43"/>
      <c r="H239" s="43"/>
      <c r="I239" s="43"/>
      <c r="J239" s="43"/>
      <c r="K239" s="43"/>
      <c r="L239" s="43"/>
      <c r="M239" s="44"/>
      <c r="N239" s="44"/>
      <c r="O239" s="44"/>
      <c r="P239" s="45"/>
      <c r="Q239" s="45"/>
      <c r="R239" s="45"/>
      <c r="S239" s="45"/>
    </row>
    <row r="240" spans="2:19">
      <c r="B240" s="155"/>
      <c r="C240" s="155"/>
      <c r="D240" s="43"/>
      <c r="E240" s="43"/>
      <c r="F240" s="43"/>
      <c r="G240" s="43"/>
      <c r="H240" s="43"/>
      <c r="I240" s="43"/>
      <c r="J240" s="43"/>
      <c r="K240" s="43"/>
      <c r="L240" s="43"/>
      <c r="M240" s="44"/>
      <c r="N240" s="44"/>
      <c r="O240" s="44"/>
      <c r="P240" s="45"/>
      <c r="Q240" s="45"/>
      <c r="R240" s="45"/>
      <c r="S240" s="45"/>
    </row>
    <row r="241" spans="2:19">
      <c r="B241" s="155"/>
      <c r="C241" s="155"/>
      <c r="D241" s="43"/>
      <c r="E241" s="43"/>
      <c r="F241" s="43"/>
      <c r="G241" s="43"/>
      <c r="H241" s="43"/>
      <c r="I241" s="43"/>
      <c r="J241" s="43"/>
      <c r="K241" s="43"/>
      <c r="L241" s="43"/>
      <c r="M241" s="44"/>
      <c r="N241" s="44"/>
      <c r="O241" s="44"/>
      <c r="P241" s="45"/>
      <c r="Q241" s="45"/>
      <c r="R241" s="45"/>
      <c r="S241" s="45"/>
    </row>
    <row r="242" spans="2:19">
      <c r="B242" s="155"/>
      <c r="C242" s="155"/>
      <c r="D242" s="43"/>
      <c r="E242" s="43"/>
      <c r="F242" s="43"/>
      <c r="G242" s="43"/>
      <c r="H242" s="43"/>
      <c r="I242" s="43"/>
      <c r="J242" s="43"/>
      <c r="K242" s="43"/>
      <c r="L242" s="43"/>
      <c r="M242" s="44"/>
      <c r="N242" s="44"/>
      <c r="O242" s="44"/>
      <c r="P242" s="45"/>
      <c r="Q242" s="45"/>
      <c r="R242" s="45"/>
      <c r="S242" s="45"/>
    </row>
    <row r="243" spans="2:19">
      <c r="B243" s="155"/>
      <c r="C243" s="155"/>
      <c r="D243" s="43"/>
      <c r="E243" s="43"/>
      <c r="F243" s="43"/>
      <c r="G243" s="43"/>
      <c r="H243" s="43"/>
      <c r="I243" s="43"/>
      <c r="J243" s="43"/>
      <c r="K243" s="43"/>
      <c r="L243" s="43"/>
      <c r="M243" s="44"/>
      <c r="N243" s="44"/>
      <c r="O243" s="44"/>
      <c r="P243" s="45"/>
      <c r="Q243" s="45"/>
      <c r="R243" s="45"/>
      <c r="S243" s="45"/>
    </row>
    <row r="244" spans="2:19">
      <c r="B244" s="155"/>
      <c r="C244" s="155"/>
      <c r="D244" s="43"/>
      <c r="E244" s="43"/>
      <c r="F244" s="43"/>
      <c r="G244" s="43"/>
      <c r="H244" s="43"/>
      <c r="I244" s="43"/>
      <c r="J244" s="43"/>
      <c r="K244" s="43"/>
      <c r="L244" s="43"/>
      <c r="M244" s="44"/>
      <c r="N244" s="44"/>
      <c r="O244" s="44"/>
      <c r="P244" s="45"/>
      <c r="Q244" s="45"/>
      <c r="R244" s="45"/>
      <c r="S244" s="45"/>
    </row>
    <row r="245" spans="2:19">
      <c r="B245" s="155"/>
      <c r="C245" s="155"/>
      <c r="D245" s="43"/>
      <c r="E245" s="43"/>
      <c r="F245" s="43"/>
      <c r="G245" s="43"/>
      <c r="H245" s="43"/>
      <c r="I245" s="43"/>
      <c r="J245" s="43"/>
      <c r="K245" s="43"/>
      <c r="L245" s="43"/>
      <c r="M245" s="44"/>
      <c r="N245" s="44"/>
      <c r="O245" s="44"/>
      <c r="P245" s="45"/>
      <c r="Q245" s="45"/>
      <c r="R245" s="45"/>
      <c r="S245" s="45"/>
    </row>
    <row r="246" spans="2:19">
      <c r="B246" s="155"/>
      <c r="C246" s="155"/>
      <c r="D246" s="43"/>
      <c r="E246" s="43"/>
      <c r="F246" s="43"/>
      <c r="G246" s="43"/>
      <c r="H246" s="43"/>
      <c r="I246" s="43"/>
      <c r="J246" s="43"/>
      <c r="K246" s="43"/>
      <c r="L246" s="43"/>
      <c r="M246" s="44"/>
      <c r="N246" s="44"/>
      <c r="O246" s="44"/>
      <c r="P246" s="45"/>
      <c r="Q246" s="45"/>
      <c r="R246" s="45"/>
      <c r="S246" s="45"/>
    </row>
    <row r="247" spans="2:19">
      <c r="B247" s="155"/>
      <c r="C247" s="155"/>
      <c r="D247" s="43"/>
      <c r="E247" s="43"/>
      <c r="F247" s="43"/>
      <c r="G247" s="43"/>
      <c r="H247" s="43"/>
      <c r="I247" s="43"/>
      <c r="J247" s="43"/>
      <c r="K247" s="43"/>
      <c r="L247" s="43"/>
      <c r="M247" s="44"/>
      <c r="N247" s="44"/>
      <c r="O247" s="44"/>
      <c r="P247" s="45"/>
      <c r="Q247" s="45"/>
      <c r="R247" s="45"/>
      <c r="S247" s="45"/>
    </row>
    <row r="248" spans="2:19">
      <c r="B248" s="155"/>
      <c r="C248" s="155"/>
      <c r="D248" s="43"/>
      <c r="E248" s="43"/>
      <c r="F248" s="43"/>
      <c r="G248" s="43"/>
      <c r="H248" s="43"/>
      <c r="I248" s="43"/>
      <c r="J248" s="43"/>
      <c r="K248" s="43"/>
      <c r="L248" s="43"/>
      <c r="M248" s="44"/>
      <c r="N248" s="44"/>
      <c r="O248" s="44"/>
      <c r="P248" s="45"/>
      <c r="Q248" s="45"/>
      <c r="R248" s="45"/>
      <c r="S248" s="45"/>
    </row>
    <row r="249" spans="2:19">
      <c r="B249" s="155"/>
      <c r="C249" s="155"/>
      <c r="D249" s="43"/>
      <c r="E249" s="43"/>
      <c r="F249" s="43"/>
      <c r="G249" s="43"/>
      <c r="H249" s="43"/>
      <c r="I249" s="43"/>
      <c r="J249" s="43"/>
      <c r="K249" s="43"/>
      <c r="L249" s="43"/>
      <c r="M249" s="44"/>
      <c r="N249" s="44"/>
      <c r="O249" s="44"/>
      <c r="P249" s="45"/>
      <c r="Q249" s="45"/>
      <c r="R249" s="45"/>
      <c r="S249" s="45"/>
    </row>
    <row r="250" spans="2:19">
      <c r="B250" s="155"/>
      <c r="C250" s="155"/>
      <c r="D250" s="43"/>
      <c r="E250" s="43"/>
      <c r="F250" s="43"/>
      <c r="G250" s="43"/>
      <c r="H250" s="43"/>
      <c r="I250" s="43"/>
      <c r="J250" s="43"/>
      <c r="K250" s="43"/>
      <c r="L250" s="43"/>
      <c r="M250" s="44"/>
      <c r="N250" s="44"/>
      <c r="O250" s="44"/>
      <c r="P250" s="45"/>
      <c r="Q250" s="45"/>
      <c r="R250" s="45"/>
      <c r="S250" s="45"/>
    </row>
    <row r="251" spans="2:19">
      <c r="B251" s="155"/>
      <c r="C251" s="155"/>
      <c r="D251" s="43"/>
      <c r="E251" s="43"/>
      <c r="F251" s="43"/>
      <c r="G251" s="43"/>
      <c r="H251" s="43"/>
      <c r="I251" s="43"/>
      <c r="J251" s="43"/>
      <c r="K251" s="43"/>
      <c r="L251" s="43"/>
      <c r="M251" s="44"/>
      <c r="N251" s="44"/>
      <c r="O251" s="44"/>
      <c r="P251" s="45"/>
      <c r="Q251" s="45"/>
      <c r="R251" s="45"/>
      <c r="S251" s="45"/>
    </row>
    <row r="252" spans="2:19">
      <c r="B252" s="155"/>
      <c r="C252" s="155"/>
      <c r="D252" s="43"/>
      <c r="E252" s="43"/>
      <c r="F252" s="43"/>
      <c r="G252" s="43"/>
      <c r="H252" s="43"/>
      <c r="I252" s="43"/>
      <c r="J252" s="43"/>
      <c r="K252" s="43"/>
      <c r="L252" s="43"/>
      <c r="M252" s="44"/>
      <c r="N252" s="44"/>
      <c r="O252" s="44"/>
      <c r="P252" s="45"/>
      <c r="Q252" s="45"/>
      <c r="R252" s="45"/>
      <c r="S252" s="45"/>
    </row>
    <row r="253" spans="2:19">
      <c r="B253" s="155"/>
      <c r="C253" s="155"/>
      <c r="D253" s="43"/>
      <c r="E253" s="43"/>
      <c r="F253" s="43"/>
      <c r="G253" s="43"/>
      <c r="H253" s="43"/>
      <c r="I253" s="43"/>
      <c r="J253" s="43"/>
      <c r="K253" s="43"/>
      <c r="L253" s="43"/>
      <c r="M253" s="44"/>
      <c r="N253" s="44"/>
      <c r="O253" s="44"/>
      <c r="P253" s="45"/>
      <c r="Q253" s="45"/>
      <c r="R253" s="45"/>
      <c r="S253" s="45"/>
    </row>
    <row r="254" spans="2:19">
      <c r="B254" s="155"/>
      <c r="C254" s="155"/>
      <c r="D254" s="43"/>
      <c r="E254" s="43"/>
      <c r="F254" s="43"/>
      <c r="G254" s="43"/>
      <c r="H254" s="43"/>
      <c r="I254" s="43"/>
      <c r="J254" s="43"/>
      <c r="K254" s="43"/>
      <c r="L254" s="43"/>
      <c r="M254" s="44"/>
      <c r="N254" s="44"/>
      <c r="O254" s="44"/>
      <c r="P254" s="45"/>
      <c r="Q254" s="45"/>
      <c r="R254" s="45"/>
      <c r="S254" s="45"/>
    </row>
    <row r="255" spans="2:19">
      <c r="B255" s="155"/>
      <c r="C255" s="155"/>
      <c r="D255" s="43"/>
      <c r="E255" s="43"/>
      <c r="F255" s="43"/>
      <c r="G255" s="43"/>
      <c r="H255" s="43"/>
      <c r="I255" s="43"/>
      <c r="J255" s="43"/>
      <c r="K255" s="43"/>
      <c r="L255" s="43"/>
      <c r="M255" s="44"/>
      <c r="N255" s="44"/>
      <c r="O255" s="44"/>
      <c r="P255" s="45"/>
      <c r="Q255" s="45"/>
      <c r="R255" s="45"/>
      <c r="S255" s="45"/>
    </row>
    <row r="256" spans="2:19">
      <c r="B256" s="155"/>
      <c r="C256" s="155"/>
      <c r="D256" s="43"/>
      <c r="E256" s="43"/>
      <c r="F256" s="43"/>
      <c r="G256" s="43"/>
      <c r="H256" s="43"/>
      <c r="I256" s="43"/>
      <c r="J256" s="43"/>
      <c r="K256" s="43"/>
      <c r="L256" s="43"/>
      <c r="M256" s="44"/>
      <c r="N256" s="44"/>
      <c r="O256" s="44"/>
      <c r="P256" s="45"/>
      <c r="Q256" s="45"/>
      <c r="R256" s="45"/>
      <c r="S256" s="45"/>
    </row>
    <row r="257" spans="2:19">
      <c r="B257" s="155"/>
      <c r="C257" s="155"/>
      <c r="D257" s="43"/>
      <c r="E257" s="43"/>
      <c r="F257" s="43"/>
      <c r="G257" s="43"/>
      <c r="H257" s="43"/>
      <c r="I257" s="43"/>
      <c r="J257" s="43"/>
      <c r="K257" s="43"/>
      <c r="L257" s="43"/>
      <c r="M257" s="44"/>
      <c r="N257" s="44"/>
      <c r="O257" s="44"/>
      <c r="P257" s="45"/>
      <c r="Q257" s="45"/>
      <c r="R257" s="45"/>
      <c r="S257" s="45"/>
    </row>
    <row r="258" spans="2:19">
      <c r="B258" s="155"/>
      <c r="C258" s="155"/>
      <c r="D258" s="43"/>
      <c r="E258" s="43"/>
      <c r="F258" s="43"/>
      <c r="G258" s="43"/>
      <c r="H258" s="43"/>
      <c r="I258" s="43"/>
      <c r="J258" s="43"/>
      <c r="K258" s="43"/>
      <c r="L258" s="43"/>
      <c r="M258" s="44"/>
      <c r="N258" s="44"/>
      <c r="O258" s="44"/>
      <c r="P258" s="45"/>
      <c r="Q258" s="45"/>
      <c r="R258" s="45"/>
      <c r="S258" s="45"/>
    </row>
    <row r="259" spans="2:19">
      <c r="B259" s="155"/>
      <c r="C259" s="155"/>
      <c r="D259" s="43"/>
      <c r="E259" s="43"/>
      <c r="F259" s="43"/>
      <c r="G259" s="43"/>
      <c r="H259" s="43"/>
      <c r="I259" s="43"/>
      <c r="J259" s="43"/>
      <c r="K259" s="43"/>
      <c r="L259" s="43"/>
      <c r="M259" s="44"/>
      <c r="N259" s="44"/>
      <c r="O259" s="44"/>
      <c r="P259" s="45"/>
      <c r="Q259" s="45"/>
      <c r="R259" s="45"/>
      <c r="S259" s="45"/>
    </row>
    <row r="260" spans="2:19">
      <c r="B260" s="155"/>
      <c r="C260" s="155"/>
      <c r="D260" s="43"/>
      <c r="E260" s="43"/>
      <c r="F260" s="43"/>
      <c r="G260" s="43"/>
      <c r="H260" s="43"/>
      <c r="I260" s="43"/>
      <c r="J260" s="43"/>
      <c r="K260" s="43"/>
      <c r="L260" s="43"/>
      <c r="M260" s="44"/>
      <c r="N260" s="44"/>
      <c r="O260" s="44"/>
      <c r="P260" s="45"/>
      <c r="Q260" s="45"/>
      <c r="R260" s="45"/>
      <c r="S260" s="45"/>
    </row>
    <row r="261" spans="2:19">
      <c r="B261" s="155"/>
      <c r="C261" s="155"/>
      <c r="D261" s="43"/>
      <c r="E261" s="43"/>
      <c r="F261" s="43"/>
      <c r="G261" s="43"/>
      <c r="H261" s="43"/>
      <c r="I261" s="43"/>
      <c r="J261" s="43"/>
      <c r="K261" s="43"/>
      <c r="L261" s="43"/>
      <c r="M261" s="44"/>
      <c r="N261" s="44"/>
      <c r="O261" s="44"/>
      <c r="P261" s="45"/>
      <c r="Q261" s="45"/>
      <c r="R261" s="45"/>
      <c r="S261" s="45"/>
    </row>
    <row r="262" spans="2:19">
      <c r="B262" s="155"/>
      <c r="C262" s="155"/>
      <c r="D262" s="43"/>
      <c r="E262" s="43"/>
      <c r="F262" s="43"/>
      <c r="G262" s="43"/>
      <c r="H262" s="43"/>
      <c r="I262" s="43"/>
      <c r="J262" s="43"/>
      <c r="K262" s="43"/>
      <c r="L262" s="43"/>
      <c r="M262" s="44"/>
      <c r="N262" s="44"/>
      <c r="O262" s="44"/>
      <c r="P262" s="45"/>
      <c r="Q262" s="45"/>
      <c r="R262" s="45"/>
      <c r="S262" s="45"/>
    </row>
    <row r="263" spans="2:19">
      <c r="B263" s="155"/>
      <c r="C263" s="155"/>
      <c r="D263" s="43"/>
      <c r="E263" s="43"/>
      <c r="F263" s="43"/>
      <c r="G263" s="43"/>
      <c r="H263" s="43"/>
      <c r="I263" s="43"/>
      <c r="J263" s="43"/>
      <c r="K263" s="43"/>
      <c r="L263" s="43"/>
      <c r="M263" s="44"/>
      <c r="N263" s="44"/>
      <c r="O263" s="44"/>
      <c r="P263" s="45"/>
      <c r="Q263" s="45"/>
      <c r="R263" s="45"/>
      <c r="S263" s="45"/>
    </row>
    <row r="264" spans="2:19">
      <c r="B264" s="155"/>
      <c r="C264" s="155"/>
      <c r="D264" s="43"/>
      <c r="E264" s="43"/>
      <c r="F264" s="43"/>
      <c r="G264" s="43"/>
      <c r="H264" s="43"/>
      <c r="I264" s="43"/>
      <c r="J264" s="43"/>
      <c r="K264" s="43"/>
      <c r="L264" s="43"/>
      <c r="M264" s="44"/>
      <c r="N264" s="44"/>
      <c r="O264" s="44"/>
      <c r="P264" s="45"/>
      <c r="Q264" s="45"/>
      <c r="R264" s="45"/>
      <c r="S264" s="45"/>
    </row>
    <row r="265" spans="2:19">
      <c r="B265" s="155"/>
      <c r="C265" s="155"/>
      <c r="D265" s="43"/>
      <c r="E265" s="43"/>
      <c r="F265" s="43"/>
      <c r="G265" s="43"/>
      <c r="H265" s="43"/>
      <c r="I265" s="43"/>
      <c r="J265" s="43"/>
      <c r="K265" s="43"/>
      <c r="L265" s="43"/>
      <c r="M265" s="44"/>
      <c r="N265" s="44"/>
      <c r="O265" s="44"/>
      <c r="P265" s="45"/>
      <c r="Q265" s="45"/>
      <c r="R265" s="45"/>
      <c r="S265" s="45"/>
    </row>
    <row r="266" spans="2:19">
      <c r="B266" s="155"/>
      <c r="C266" s="155"/>
      <c r="D266" s="43"/>
      <c r="E266" s="43"/>
      <c r="F266" s="43"/>
      <c r="G266" s="43"/>
      <c r="H266" s="43"/>
      <c r="I266" s="43"/>
      <c r="J266" s="43"/>
      <c r="K266" s="43"/>
      <c r="L266" s="43"/>
      <c r="M266" s="44"/>
      <c r="N266" s="44"/>
      <c r="O266" s="44"/>
      <c r="P266" s="45"/>
      <c r="Q266" s="45"/>
      <c r="R266" s="45"/>
      <c r="S266" s="45"/>
    </row>
    <row r="267" spans="2:19">
      <c r="B267" s="155"/>
      <c r="C267" s="155"/>
      <c r="D267" s="43"/>
      <c r="E267" s="43"/>
      <c r="F267" s="43"/>
      <c r="G267" s="43"/>
      <c r="H267" s="43"/>
      <c r="I267" s="43"/>
      <c r="J267" s="43"/>
      <c r="K267" s="43"/>
      <c r="L267" s="43"/>
      <c r="M267" s="44"/>
      <c r="N267" s="44"/>
      <c r="O267" s="44"/>
      <c r="P267" s="45"/>
      <c r="Q267" s="45"/>
      <c r="R267" s="45"/>
      <c r="S267" s="45"/>
    </row>
    <row r="268" spans="2:19">
      <c r="B268" s="155"/>
      <c r="C268" s="155"/>
      <c r="D268" s="43"/>
      <c r="E268" s="43"/>
      <c r="F268" s="43"/>
      <c r="G268" s="43"/>
      <c r="H268" s="43"/>
      <c r="I268" s="43"/>
      <c r="J268" s="43"/>
      <c r="K268" s="43"/>
      <c r="L268" s="43"/>
      <c r="M268" s="44"/>
      <c r="N268" s="44"/>
      <c r="O268" s="44"/>
      <c r="P268" s="45"/>
      <c r="Q268" s="45"/>
      <c r="R268" s="45"/>
      <c r="S268" s="45"/>
    </row>
    <row r="269" spans="2:19">
      <c r="B269" s="155"/>
      <c r="C269" s="155"/>
      <c r="D269" s="43"/>
      <c r="E269" s="43"/>
      <c r="F269" s="43"/>
      <c r="G269" s="43"/>
      <c r="H269" s="43"/>
      <c r="I269" s="43"/>
      <c r="J269" s="43"/>
      <c r="K269" s="43"/>
      <c r="L269" s="43"/>
      <c r="M269" s="44"/>
      <c r="N269" s="44"/>
      <c r="O269" s="44"/>
      <c r="P269" s="45"/>
      <c r="Q269" s="45"/>
      <c r="R269" s="45"/>
      <c r="S269" s="45"/>
    </row>
    <row r="270" spans="2:19">
      <c r="B270" s="155"/>
      <c r="C270" s="155"/>
      <c r="D270" s="43"/>
      <c r="E270" s="43"/>
      <c r="F270" s="43"/>
      <c r="G270" s="43"/>
      <c r="H270" s="43"/>
      <c r="I270" s="43"/>
      <c r="J270" s="43"/>
      <c r="K270" s="43"/>
      <c r="L270" s="43"/>
      <c r="M270" s="44"/>
      <c r="N270" s="44"/>
      <c r="O270" s="44"/>
      <c r="P270" s="45"/>
      <c r="Q270" s="45"/>
      <c r="R270" s="45"/>
      <c r="S270" s="45"/>
    </row>
    <row r="271" spans="2:19">
      <c r="B271" s="155"/>
      <c r="C271" s="155"/>
      <c r="D271" s="43"/>
      <c r="E271" s="43"/>
      <c r="F271" s="43"/>
      <c r="G271" s="43"/>
      <c r="H271" s="43"/>
      <c r="I271" s="43"/>
      <c r="J271" s="43"/>
      <c r="K271" s="43"/>
      <c r="L271" s="43"/>
      <c r="M271" s="44"/>
      <c r="N271" s="44"/>
      <c r="O271" s="44"/>
      <c r="P271" s="45"/>
      <c r="Q271" s="45"/>
      <c r="R271" s="45"/>
      <c r="S271" s="45"/>
    </row>
    <row r="272" spans="2:19">
      <c r="B272" s="155"/>
      <c r="C272" s="155"/>
      <c r="D272" s="43"/>
      <c r="E272" s="43"/>
      <c r="F272" s="43"/>
      <c r="G272" s="43"/>
      <c r="H272" s="43"/>
      <c r="I272" s="43"/>
      <c r="J272" s="43"/>
      <c r="K272" s="43"/>
      <c r="L272" s="43"/>
      <c r="M272" s="44"/>
      <c r="N272" s="44"/>
      <c r="O272" s="44"/>
      <c r="P272" s="45"/>
      <c r="Q272" s="45"/>
      <c r="R272" s="45"/>
      <c r="S272" s="45"/>
    </row>
    <row r="273" spans="2:19">
      <c r="B273" s="155"/>
      <c r="C273" s="155"/>
      <c r="D273" s="43"/>
      <c r="E273" s="43"/>
      <c r="F273" s="43"/>
      <c r="G273" s="43"/>
      <c r="H273" s="43"/>
      <c r="I273" s="43"/>
      <c r="J273" s="43"/>
      <c r="K273" s="43"/>
      <c r="L273" s="43"/>
      <c r="M273" s="44"/>
      <c r="N273" s="44"/>
      <c r="O273" s="44"/>
      <c r="P273" s="45"/>
      <c r="Q273" s="45"/>
      <c r="R273" s="45"/>
      <c r="S273" s="45"/>
    </row>
    <row r="274" spans="2:19">
      <c r="B274" s="155"/>
      <c r="C274" s="155"/>
      <c r="D274" s="43"/>
      <c r="E274" s="43"/>
      <c r="F274" s="43"/>
      <c r="G274" s="43"/>
      <c r="H274" s="43"/>
      <c r="I274" s="43"/>
      <c r="J274" s="43"/>
      <c r="K274" s="43"/>
      <c r="L274" s="43"/>
      <c r="M274" s="44"/>
      <c r="N274" s="44"/>
      <c r="O274" s="44"/>
      <c r="P274" s="45"/>
      <c r="Q274" s="45"/>
      <c r="R274" s="45"/>
      <c r="S274" s="45"/>
    </row>
    <row r="275" spans="2:19">
      <c r="B275" s="155"/>
      <c r="C275" s="155"/>
      <c r="D275" s="43"/>
      <c r="E275" s="43"/>
      <c r="F275" s="43"/>
      <c r="G275" s="43"/>
      <c r="H275" s="43"/>
      <c r="I275" s="43"/>
      <c r="J275" s="43"/>
      <c r="K275" s="43"/>
      <c r="L275" s="43"/>
      <c r="M275" s="44"/>
      <c r="N275" s="44"/>
      <c r="O275" s="44"/>
      <c r="P275" s="45"/>
      <c r="Q275" s="45"/>
      <c r="R275" s="45"/>
      <c r="S275" s="45"/>
    </row>
    <row r="276" spans="2:19">
      <c r="B276" s="155"/>
      <c r="C276" s="155"/>
      <c r="D276" s="43"/>
      <c r="E276" s="43"/>
      <c r="F276" s="43"/>
      <c r="G276" s="43"/>
      <c r="H276" s="43"/>
      <c r="I276" s="43"/>
      <c r="J276" s="43"/>
      <c r="K276" s="43"/>
      <c r="L276" s="43"/>
      <c r="M276" s="44"/>
      <c r="N276" s="44"/>
      <c r="O276" s="44"/>
      <c r="P276" s="45"/>
      <c r="Q276" s="45"/>
      <c r="R276" s="45"/>
      <c r="S276" s="45"/>
    </row>
    <row r="277" spans="2:19">
      <c r="B277" s="155"/>
      <c r="C277" s="155"/>
      <c r="D277" s="43"/>
      <c r="E277" s="43"/>
      <c r="F277" s="43"/>
      <c r="G277" s="43"/>
      <c r="H277" s="43"/>
      <c r="I277" s="43"/>
      <c r="J277" s="43"/>
      <c r="K277" s="43"/>
      <c r="L277" s="43"/>
      <c r="M277" s="44"/>
      <c r="N277" s="44"/>
      <c r="O277" s="44"/>
      <c r="P277" s="45"/>
      <c r="Q277" s="45"/>
      <c r="R277" s="45"/>
      <c r="S277" s="45"/>
    </row>
    <row r="278" spans="2:19">
      <c r="B278" s="155"/>
      <c r="C278" s="155"/>
      <c r="D278" s="43"/>
      <c r="E278" s="43"/>
      <c r="F278" s="43"/>
      <c r="G278" s="43"/>
      <c r="H278" s="43"/>
      <c r="I278" s="43"/>
      <c r="J278" s="43"/>
      <c r="K278" s="43"/>
      <c r="L278" s="43"/>
      <c r="M278" s="44"/>
      <c r="N278" s="44"/>
      <c r="O278" s="44"/>
      <c r="P278" s="45"/>
      <c r="Q278" s="45"/>
      <c r="R278" s="45"/>
      <c r="S278" s="45"/>
    </row>
    <row r="279" spans="2:19">
      <c r="B279" s="155"/>
      <c r="C279" s="155"/>
      <c r="D279" s="43"/>
      <c r="E279" s="43"/>
      <c r="F279" s="43"/>
      <c r="G279" s="43"/>
      <c r="H279" s="43"/>
      <c r="I279" s="43"/>
      <c r="J279" s="43"/>
      <c r="K279" s="43"/>
      <c r="L279" s="43"/>
      <c r="M279" s="44"/>
      <c r="N279" s="44"/>
      <c r="O279" s="44"/>
      <c r="P279" s="45"/>
      <c r="Q279" s="45"/>
      <c r="R279" s="45"/>
      <c r="S279" s="45"/>
    </row>
    <row r="280" spans="2:19">
      <c r="B280" s="155"/>
      <c r="C280" s="155"/>
      <c r="D280" s="43"/>
      <c r="E280" s="43"/>
      <c r="F280" s="43"/>
      <c r="G280" s="43"/>
      <c r="H280" s="43"/>
      <c r="I280" s="43"/>
      <c r="J280" s="43"/>
      <c r="K280" s="43"/>
      <c r="L280" s="43"/>
      <c r="M280" s="44"/>
      <c r="N280" s="44"/>
      <c r="O280" s="44"/>
      <c r="P280" s="45"/>
      <c r="Q280" s="45"/>
      <c r="R280" s="45"/>
      <c r="S280" s="45"/>
    </row>
    <row r="281" spans="2:19">
      <c r="B281" s="155"/>
      <c r="C281" s="155"/>
      <c r="D281" s="43"/>
      <c r="E281" s="43"/>
      <c r="F281" s="43"/>
      <c r="G281" s="43"/>
      <c r="H281" s="43"/>
      <c r="I281" s="43"/>
      <c r="J281" s="43"/>
      <c r="K281" s="43"/>
      <c r="L281" s="43"/>
      <c r="M281" s="44"/>
      <c r="N281" s="44"/>
      <c r="O281" s="44"/>
      <c r="P281" s="45"/>
      <c r="Q281" s="45"/>
      <c r="R281" s="45"/>
      <c r="S281" s="45"/>
    </row>
    <row r="282" spans="2:19">
      <c r="B282" s="155"/>
      <c r="C282" s="155"/>
      <c r="D282" s="43"/>
      <c r="E282" s="43"/>
      <c r="F282" s="43"/>
      <c r="G282" s="43"/>
      <c r="H282" s="43"/>
      <c r="I282" s="43"/>
      <c r="J282" s="43"/>
      <c r="K282" s="43"/>
      <c r="L282" s="43"/>
      <c r="M282" s="44"/>
      <c r="N282" s="44"/>
      <c r="O282" s="44"/>
      <c r="P282" s="45"/>
      <c r="Q282" s="45"/>
      <c r="R282" s="45"/>
      <c r="S282" s="45"/>
    </row>
    <row r="283" spans="2:19">
      <c r="B283" s="155"/>
      <c r="C283" s="155"/>
      <c r="D283" s="43"/>
      <c r="E283" s="43"/>
      <c r="F283" s="43"/>
      <c r="G283" s="43"/>
      <c r="H283" s="43"/>
      <c r="I283" s="43"/>
      <c r="J283" s="43"/>
      <c r="K283" s="43"/>
      <c r="L283" s="43"/>
      <c r="M283" s="44"/>
      <c r="N283" s="44"/>
      <c r="O283" s="44"/>
      <c r="P283" s="45"/>
      <c r="Q283" s="45"/>
      <c r="R283" s="45"/>
      <c r="S283" s="45"/>
    </row>
    <row r="284" spans="2:19">
      <c r="B284" s="155"/>
      <c r="C284" s="155"/>
      <c r="D284" s="43"/>
      <c r="E284" s="43"/>
      <c r="F284" s="43"/>
      <c r="G284" s="43"/>
      <c r="H284" s="43"/>
      <c r="I284" s="43"/>
      <c r="J284" s="43"/>
      <c r="K284" s="43"/>
      <c r="L284" s="43"/>
      <c r="M284" s="44"/>
      <c r="N284" s="44"/>
      <c r="O284" s="44"/>
      <c r="P284" s="45"/>
      <c r="Q284" s="45"/>
      <c r="R284" s="45"/>
      <c r="S284" s="45"/>
    </row>
    <row r="285" spans="2:19">
      <c r="B285" s="155"/>
      <c r="C285" s="155"/>
      <c r="D285" s="43"/>
      <c r="E285" s="43"/>
      <c r="F285" s="43"/>
      <c r="G285" s="43"/>
      <c r="H285" s="43"/>
      <c r="I285" s="43"/>
      <c r="J285" s="43"/>
      <c r="K285" s="43"/>
      <c r="L285" s="43"/>
      <c r="M285" s="44"/>
      <c r="N285" s="44"/>
      <c r="O285" s="44"/>
      <c r="P285" s="45"/>
      <c r="Q285" s="45"/>
      <c r="R285" s="45"/>
      <c r="S285" s="45"/>
    </row>
    <row r="286" spans="2:19">
      <c r="B286" s="155"/>
      <c r="C286" s="155"/>
      <c r="D286" s="43"/>
      <c r="E286" s="43"/>
      <c r="F286" s="43"/>
      <c r="G286" s="43"/>
      <c r="H286" s="43"/>
      <c r="I286" s="43"/>
      <c r="J286" s="43"/>
      <c r="K286" s="43"/>
      <c r="L286" s="43"/>
      <c r="M286" s="44"/>
      <c r="N286" s="44"/>
      <c r="O286" s="44"/>
      <c r="P286" s="45"/>
      <c r="Q286" s="45"/>
      <c r="R286" s="45"/>
      <c r="S286" s="45"/>
    </row>
    <row r="287" spans="2:19">
      <c r="B287" s="155"/>
      <c r="C287" s="155"/>
      <c r="D287" s="43"/>
      <c r="E287" s="43"/>
      <c r="F287" s="43"/>
      <c r="G287" s="43"/>
      <c r="H287" s="43"/>
      <c r="I287" s="43"/>
      <c r="J287" s="43"/>
      <c r="K287" s="43"/>
      <c r="L287" s="43"/>
      <c r="M287" s="44"/>
      <c r="N287" s="44"/>
      <c r="O287" s="44"/>
      <c r="P287" s="45"/>
      <c r="Q287" s="45"/>
      <c r="R287" s="45"/>
      <c r="S287" s="45"/>
    </row>
    <row r="288" spans="2:19">
      <c r="B288" s="155"/>
      <c r="C288" s="155"/>
      <c r="D288" s="43"/>
      <c r="E288" s="43"/>
      <c r="F288" s="43"/>
      <c r="G288" s="43"/>
      <c r="H288" s="43"/>
      <c r="I288" s="43"/>
      <c r="J288" s="43"/>
      <c r="K288" s="43"/>
      <c r="L288" s="43"/>
      <c r="M288" s="44"/>
      <c r="N288" s="44"/>
      <c r="O288" s="44"/>
      <c r="P288" s="45"/>
      <c r="Q288" s="45"/>
      <c r="R288" s="45"/>
      <c r="S288" s="45"/>
    </row>
    <row r="289" spans="2:19">
      <c r="B289" s="155"/>
      <c r="C289" s="155"/>
      <c r="D289" s="43"/>
      <c r="E289" s="43"/>
      <c r="F289" s="43"/>
      <c r="G289" s="43"/>
      <c r="H289" s="43"/>
      <c r="I289" s="43"/>
      <c r="J289" s="43"/>
      <c r="K289" s="43"/>
      <c r="L289" s="43"/>
      <c r="M289" s="44"/>
      <c r="N289" s="44"/>
      <c r="O289" s="44"/>
      <c r="P289" s="45"/>
      <c r="Q289" s="45"/>
      <c r="R289" s="45"/>
      <c r="S289" s="45"/>
    </row>
    <row r="290" spans="2:19">
      <c r="B290" s="155"/>
      <c r="C290" s="155"/>
      <c r="D290" s="43"/>
      <c r="E290" s="43"/>
      <c r="F290" s="43"/>
      <c r="G290" s="43"/>
      <c r="H290" s="43"/>
      <c r="I290" s="43"/>
      <c r="J290" s="43"/>
      <c r="K290" s="43"/>
      <c r="L290" s="43"/>
      <c r="M290" s="44"/>
      <c r="N290" s="44"/>
      <c r="O290" s="44"/>
      <c r="P290" s="45"/>
      <c r="Q290" s="45"/>
      <c r="R290" s="45"/>
      <c r="S290" s="45"/>
    </row>
    <row r="291" spans="2:19">
      <c r="B291" s="155"/>
      <c r="C291" s="155"/>
      <c r="D291" s="43"/>
      <c r="E291" s="43"/>
      <c r="F291" s="43"/>
      <c r="G291" s="43"/>
      <c r="H291" s="43"/>
      <c r="I291" s="43"/>
      <c r="J291" s="43"/>
      <c r="K291" s="43"/>
      <c r="L291" s="43"/>
      <c r="M291" s="44"/>
      <c r="N291" s="44"/>
      <c r="O291" s="44"/>
      <c r="P291" s="45"/>
      <c r="Q291" s="45"/>
      <c r="R291" s="45"/>
      <c r="S291" s="45"/>
    </row>
    <row r="292" spans="2:19">
      <c r="B292" s="155"/>
      <c r="C292" s="155"/>
      <c r="D292" s="43"/>
      <c r="E292" s="43"/>
      <c r="F292" s="43"/>
      <c r="G292" s="43"/>
      <c r="H292" s="43"/>
      <c r="I292" s="43"/>
      <c r="J292" s="43"/>
      <c r="K292" s="43"/>
      <c r="L292" s="43"/>
      <c r="M292" s="44"/>
      <c r="N292" s="44"/>
      <c r="O292" s="44"/>
      <c r="P292" s="45"/>
      <c r="Q292" s="45"/>
      <c r="R292" s="45"/>
      <c r="S292" s="45"/>
    </row>
    <row r="293" spans="2:19">
      <c r="B293" s="155"/>
      <c r="C293" s="155"/>
      <c r="D293" s="43"/>
      <c r="E293" s="43"/>
      <c r="F293" s="43"/>
      <c r="G293" s="43"/>
      <c r="H293" s="43"/>
      <c r="I293" s="43"/>
      <c r="J293" s="43"/>
      <c r="K293" s="43"/>
      <c r="L293" s="43"/>
      <c r="M293" s="44"/>
      <c r="N293" s="44"/>
      <c r="O293" s="44"/>
      <c r="P293" s="45"/>
      <c r="Q293" s="45"/>
      <c r="R293" s="45"/>
      <c r="S293" s="45"/>
    </row>
    <row r="294" spans="2:19">
      <c r="B294" s="155"/>
      <c r="C294" s="155"/>
      <c r="D294" s="43"/>
      <c r="E294" s="43"/>
      <c r="F294" s="43"/>
      <c r="G294" s="43"/>
      <c r="H294" s="43"/>
      <c r="I294" s="43"/>
      <c r="J294" s="43"/>
      <c r="K294" s="43"/>
      <c r="L294" s="43"/>
      <c r="M294" s="44"/>
      <c r="N294" s="44"/>
      <c r="O294" s="44"/>
      <c r="P294" s="45"/>
      <c r="Q294" s="45"/>
      <c r="R294" s="45"/>
      <c r="S294" s="45"/>
    </row>
    <row r="295" spans="2:19">
      <c r="B295" s="155"/>
      <c r="C295" s="155"/>
      <c r="D295" s="43"/>
      <c r="E295" s="43"/>
      <c r="F295" s="43"/>
      <c r="G295" s="43"/>
      <c r="H295" s="43"/>
      <c r="I295" s="43"/>
      <c r="J295" s="43"/>
      <c r="K295" s="43"/>
      <c r="L295" s="43"/>
      <c r="M295" s="44"/>
      <c r="N295" s="44"/>
      <c r="O295" s="44"/>
      <c r="P295" s="45"/>
      <c r="Q295" s="45"/>
      <c r="R295" s="45"/>
      <c r="S295" s="45"/>
    </row>
    <row r="296" spans="2:19">
      <c r="B296" s="155"/>
      <c r="C296" s="155"/>
      <c r="D296" s="43"/>
      <c r="E296" s="43"/>
      <c r="F296" s="43"/>
      <c r="G296" s="43"/>
      <c r="H296" s="43"/>
      <c r="I296" s="43"/>
      <c r="J296" s="43"/>
      <c r="K296" s="43"/>
      <c r="L296" s="43"/>
      <c r="M296" s="44"/>
      <c r="N296" s="44"/>
      <c r="O296" s="44"/>
      <c r="P296" s="45"/>
      <c r="Q296" s="45"/>
      <c r="R296" s="45"/>
      <c r="S296" s="45"/>
    </row>
    <row r="297" spans="2:19">
      <c r="B297" s="155"/>
      <c r="C297" s="155"/>
      <c r="D297" s="43"/>
      <c r="E297" s="43"/>
      <c r="F297" s="43"/>
      <c r="G297" s="43"/>
      <c r="H297" s="43"/>
      <c r="I297" s="43"/>
      <c r="J297" s="43"/>
      <c r="K297" s="43"/>
      <c r="L297" s="43"/>
      <c r="M297" s="44"/>
      <c r="N297" s="44"/>
      <c r="O297" s="44"/>
      <c r="P297" s="45"/>
      <c r="Q297" s="45"/>
      <c r="R297" s="45"/>
      <c r="S297" s="45"/>
    </row>
    <row r="298" spans="2:19">
      <c r="B298" s="155"/>
      <c r="C298" s="155"/>
      <c r="D298" s="43"/>
      <c r="E298" s="43"/>
      <c r="F298" s="43"/>
      <c r="G298" s="43"/>
      <c r="H298" s="43"/>
      <c r="I298" s="43"/>
      <c r="J298" s="43"/>
      <c r="K298" s="43"/>
      <c r="L298" s="43"/>
      <c r="M298" s="44"/>
      <c r="N298" s="44"/>
      <c r="O298" s="44"/>
      <c r="P298" s="45"/>
      <c r="Q298" s="45"/>
      <c r="R298" s="45"/>
      <c r="S298" s="45"/>
    </row>
    <row r="299" spans="2:19">
      <c r="B299" s="155"/>
      <c r="C299" s="155"/>
      <c r="D299" s="43"/>
      <c r="E299" s="43"/>
      <c r="F299" s="43"/>
      <c r="G299" s="43"/>
      <c r="H299" s="43"/>
      <c r="I299" s="43"/>
      <c r="J299" s="43"/>
      <c r="K299" s="43"/>
      <c r="L299" s="43"/>
      <c r="M299" s="44"/>
      <c r="N299" s="44"/>
      <c r="O299" s="44"/>
      <c r="P299" s="45"/>
      <c r="Q299" s="45"/>
      <c r="R299" s="45"/>
      <c r="S299" s="45"/>
    </row>
    <row r="300" spans="2:19">
      <c r="B300" s="155"/>
      <c r="C300" s="155"/>
      <c r="D300" s="43"/>
      <c r="E300" s="43"/>
      <c r="F300" s="43"/>
      <c r="G300" s="43"/>
      <c r="H300" s="43"/>
      <c r="I300" s="43"/>
      <c r="J300" s="43"/>
      <c r="K300" s="43"/>
      <c r="L300" s="43"/>
      <c r="M300" s="44"/>
      <c r="N300" s="44"/>
      <c r="O300" s="44"/>
      <c r="P300" s="45"/>
      <c r="Q300" s="45"/>
      <c r="R300" s="45"/>
      <c r="S300" s="45"/>
    </row>
    <row r="301" spans="2:19">
      <c r="B301" s="155"/>
      <c r="C301" s="155"/>
      <c r="D301" s="43"/>
      <c r="E301" s="43"/>
      <c r="F301" s="43"/>
      <c r="G301" s="43"/>
      <c r="H301" s="43"/>
      <c r="I301" s="43"/>
      <c r="J301" s="43"/>
      <c r="K301" s="43"/>
      <c r="L301" s="43"/>
      <c r="M301" s="44"/>
      <c r="N301" s="44"/>
      <c r="O301" s="44"/>
      <c r="P301" s="45"/>
      <c r="Q301" s="45"/>
      <c r="R301" s="45"/>
      <c r="S301" s="45"/>
    </row>
    <row r="302" spans="2:19">
      <c r="B302" s="155"/>
      <c r="C302" s="155"/>
      <c r="D302" s="43"/>
      <c r="E302" s="43"/>
      <c r="F302" s="43"/>
      <c r="G302" s="43"/>
      <c r="H302" s="43"/>
      <c r="I302" s="43"/>
      <c r="J302" s="43"/>
      <c r="K302" s="43"/>
      <c r="L302" s="43"/>
      <c r="M302" s="44"/>
      <c r="N302" s="44"/>
      <c r="O302" s="44"/>
      <c r="P302" s="45"/>
      <c r="Q302" s="45"/>
      <c r="R302" s="45"/>
      <c r="S302" s="45"/>
    </row>
    <row r="303" spans="2:19">
      <c r="B303" s="155"/>
      <c r="C303" s="155"/>
      <c r="D303" s="43"/>
      <c r="E303" s="43"/>
      <c r="F303" s="43"/>
      <c r="G303" s="43"/>
      <c r="H303" s="43"/>
      <c r="I303" s="43"/>
      <c r="J303" s="43"/>
      <c r="K303" s="43"/>
      <c r="L303" s="43"/>
      <c r="M303" s="44"/>
      <c r="N303" s="44"/>
      <c r="O303" s="44"/>
      <c r="P303" s="45"/>
      <c r="Q303" s="45"/>
      <c r="R303" s="45"/>
      <c r="S303" s="45"/>
    </row>
    <row r="304" spans="2:19">
      <c r="B304" s="155"/>
      <c r="C304" s="155"/>
      <c r="D304" s="43"/>
      <c r="E304" s="43"/>
      <c r="F304" s="43"/>
      <c r="G304" s="43"/>
      <c r="H304" s="43"/>
      <c r="I304" s="43"/>
      <c r="J304" s="43"/>
      <c r="K304" s="43"/>
      <c r="L304" s="43"/>
      <c r="M304" s="44"/>
      <c r="N304" s="44"/>
      <c r="O304" s="44"/>
      <c r="P304" s="45"/>
      <c r="Q304" s="45"/>
      <c r="R304" s="45"/>
      <c r="S304" s="45"/>
    </row>
    <row r="305" spans="2:19">
      <c r="B305" s="155"/>
      <c r="C305" s="155"/>
      <c r="D305" s="43"/>
      <c r="E305" s="43"/>
      <c r="F305" s="43"/>
      <c r="G305" s="43"/>
      <c r="H305" s="43"/>
      <c r="I305" s="43"/>
      <c r="J305" s="43"/>
      <c r="K305" s="43"/>
      <c r="L305" s="43"/>
      <c r="M305" s="44"/>
      <c r="N305" s="44"/>
      <c r="O305" s="44"/>
      <c r="P305" s="45"/>
      <c r="Q305" s="45"/>
      <c r="R305" s="45"/>
      <c r="S305" s="45"/>
    </row>
    <row r="306" spans="2:19">
      <c r="B306" s="155"/>
      <c r="C306" s="155"/>
      <c r="D306" s="43"/>
      <c r="E306" s="43"/>
      <c r="F306" s="43"/>
      <c r="G306" s="43"/>
      <c r="H306" s="43"/>
      <c r="I306" s="43"/>
      <c r="J306" s="43"/>
      <c r="K306" s="43"/>
      <c r="L306" s="43"/>
      <c r="M306" s="44"/>
      <c r="N306" s="44"/>
      <c r="O306" s="44"/>
      <c r="P306" s="45"/>
      <c r="Q306" s="45"/>
      <c r="R306" s="45"/>
      <c r="S306" s="45"/>
    </row>
    <row r="307" spans="2:19">
      <c r="B307" s="155"/>
      <c r="C307" s="155"/>
      <c r="D307" s="43"/>
      <c r="E307" s="43"/>
      <c r="F307" s="43"/>
      <c r="G307" s="43"/>
      <c r="H307" s="43"/>
      <c r="I307" s="43"/>
      <c r="J307" s="43"/>
      <c r="K307" s="43"/>
      <c r="L307" s="43"/>
      <c r="M307" s="44"/>
      <c r="N307" s="44"/>
      <c r="O307" s="44"/>
      <c r="P307" s="45"/>
      <c r="Q307" s="45"/>
      <c r="R307" s="45"/>
      <c r="S307" s="45"/>
    </row>
    <row r="308" spans="2:19">
      <c r="B308" s="155"/>
      <c r="C308" s="155"/>
      <c r="D308" s="43"/>
      <c r="E308" s="43"/>
      <c r="F308" s="43"/>
      <c r="G308" s="43"/>
      <c r="H308" s="43"/>
      <c r="I308" s="43"/>
      <c r="J308" s="43"/>
      <c r="K308" s="43"/>
      <c r="L308" s="43"/>
      <c r="M308" s="44"/>
      <c r="N308" s="44"/>
      <c r="O308" s="44"/>
      <c r="P308" s="45"/>
      <c r="Q308" s="45"/>
      <c r="R308" s="45"/>
      <c r="S308" s="45"/>
    </row>
    <row r="309" spans="2:19">
      <c r="B309" s="155"/>
      <c r="C309" s="155"/>
      <c r="D309" s="43"/>
      <c r="E309" s="43"/>
      <c r="F309" s="43"/>
      <c r="G309" s="43"/>
      <c r="H309" s="43"/>
      <c r="I309" s="43"/>
      <c r="J309" s="43"/>
      <c r="K309" s="43"/>
      <c r="L309" s="43"/>
      <c r="M309" s="44"/>
      <c r="N309" s="44"/>
      <c r="O309" s="44"/>
      <c r="P309" s="45"/>
      <c r="Q309" s="45"/>
      <c r="R309" s="45"/>
      <c r="S309" s="45"/>
    </row>
    <row r="310" spans="2:19">
      <c r="B310" s="155"/>
      <c r="C310" s="155"/>
      <c r="D310" s="43"/>
      <c r="E310" s="43"/>
      <c r="F310" s="43"/>
      <c r="G310" s="43"/>
      <c r="H310" s="43"/>
      <c r="I310" s="43"/>
      <c r="J310" s="43"/>
      <c r="K310" s="43"/>
      <c r="L310" s="43"/>
      <c r="M310" s="44"/>
      <c r="N310" s="44"/>
      <c r="O310" s="44"/>
      <c r="P310" s="45"/>
      <c r="Q310" s="45"/>
      <c r="R310" s="45"/>
      <c r="S310" s="45"/>
    </row>
    <row r="311" spans="2:19">
      <c r="B311" s="155"/>
      <c r="C311" s="155"/>
      <c r="D311" s="43"/>
      <c r="E311" s="43"/>
      <c r="F311" s="43"/>
      <c r="G311" s="43"/>
      <c r="H311" s="43"/>
      <c r="I311" s="43"/>
      <c r="J311" s="43"/>
      <c r="K311" s="43"/>
      <c r="L311" s="43"/>
      <c r="M311" s="44"/>
      <c r="N311" s="44"/>
      <c r="O311" s="44"/>
      <c r="P311" s="45"/>
      <c r="Q311" s="45"/>
      <c r="R311" s="45"/>
      <c r="S311" s="45"/>
    </row>
    <row r="312" spans="2:19">
      <c r="B312" s="155"/>
      <c r="C312" s="155"/>
      <c r="D312" s="43"/>
      <c r="E312" s="43"/>
      <c r="F312" s="43"/>
      <c r="G312" s="43"/>
      <c r="H312" s="43"/>
      <c r="I312" s="43"/>
      <c r="J312" s="43"/>
      <c r="K312" s="43"/>
      <c r="L312" s="43"/>
      <c r="M312" s="44"/>
      <c r="N312" s="44"/>
      <c r="O312" s="44"/>
      <c r="P312" s="45"/>
      <c r="Q312" s="45"/>
      <c r="R312" s="45"/>
      <c r="S312" s="45"/>
    </row>
    <row r="313" spans="2:19">
      <c r="B313" s="155"/>
      <c r="C313" s="155"/>
      <c r="D313" s="43"/>
      <c r="E313" s="43"/>
      <c r="F313" s="43"/>
      <c r="G313" s="43"/>
      <c r="H313" s="43"/>
      <c r="I313" s="43"/>
      <c r="J313" s="43"/>
      <c r="K313" s="43"/>
      <c r="L313" s="43"/>
      <c r="M313" s="44"/>
      <c r="N313" s="44"/>
      <c r="O313" s="44"/>
      <c r="P313" s="45"/>
      <c r="Q313" s="45"/>
      <c r="R313" s="45"/>
      <c r="S313" s="45"/>
    </row>
    <row r="314" spans="2:19">
      <c r="B314" s="155"/>
      <c r="C314" s="155"/>
      <c r="D314" s="43"/>
      <c r="E314" s="43"/>
      <c r="F314" s="43"/>
      <c r="G314" s="43"/>
      <c r="H314" s="43"/>
      <c r="I314" s="43"/>
      <c r="J314" s="43"/>
      <c r="K314" s="43"/>
      <c r="L314" s="43"/>
      <c r="M314" s="44"/>
      <c r="N314" s="44"/>
      <c r="O314" s="44"/>
      <c r="P314" s="45"/>
      <c r="Q314" s="45"/>
      <c r="R314" s="45"/>
      <c r="S314" s="45"/>
    </row>
    <row r="315" spans="2:19">
      <c r="M315" s="31"/>
      <c r="N315" s="31"/>
      <c r="O315" s="31"/>
      <c r="P315" s="31"/>
    </row>
    <row r="316" spans="2:19">
      <c r="M316" s="31"/>
      <c r="N316" s="31"/>
      <c r="O316" s="31"/>
      <c r="P316" s="31"/>
    </row>
    <row r="317" spans="2:19">
      <c r="M317" s="31"/>
      <c r="N317" s="31"/>
      <c r="O317" s="31"/>
      <c r="P317" s="31"/>
    </row>
    <row r="318" spans="2:19">
      <c r="M318" s="31"/>
      <c r="N318" s="31"/>
      <c r="O318" s="31"/>
      <c r="P318" s="31"/>
    </row>
    <row r="319" spans="2:19">
      <c r="M319" s="31"/>
      <c r="N319" s="31"/>
      <c r="O319" s="31"/>
      <c r="P319" s="31"/>
    </row>
    <row r="320" spans="2:19">
      <c r="M320" s="31"/>
      <c r="N320" s="31"/>
      <c r="O320" s="31"/>
      <c r="P320" s="31"/>
    </row>
    <row r="321" spans="13:16">
      <c r="M321" s="31"/>
      <c r="N321" s="31"/>
      <c r="O321" s="31"/>
      <c r="P321" s="31"/>
    </row>
    <row r="322" spans="13:16">
      <c r="M322" s="31"/>
      <c r="N322" s="31"/>
      <c r="O322" s="31"/>
      <c r="P322" s="31"/>
    </row>
    <row r="323" spans="13:16">
      <c r="M323" s="31"/>
      <c r="N323" s="31"/>
      <c r="O323" s="31"/>
      <c r="P323" s="31"/>
    </row>
    <row r="324" spans="13:16">
      <c r="M324" s="31"/>
      <c r="N324" s="31"/>
      <c r="O324" s="31"/>
      <c r="P324" s="31"/>
    </row>
    <row r="325" spans="13:16">
      <c r="M325" s="31"/>
      <c r="N325" s="31"/>
      <c r="O325" s="31"/>
      <c r="P325" s="31"/>
    </row>
    <row r="326" spans="13:16">
      <c r="M326" s="31"/>
      <c r="N326" s="31"/>
      <c r="O326" s="31"/>
      <c r="P326" s="31"/>
    </row>
    <row r="327" spans="13:16">
      <c r="M327" s="31"/>
      <c r="N327" s="31"/>
      <c r="O327" s="31"/>
      <c r="P327" s="31"/>
    </row>
    <row r="328" spans="13:16">
      <c r="M328" s="31"/>
      <c r="N328" s="31"/>
      <c r="O328" s="31"/>
      <c r="P328" s="31"/>
    </row>
    <row r="329" spans="13:16">
      <c r="M329" s="31"/>
      <c r="N329" s="31"/>
      <c r="O329" s="31"/>
      <c r="P329" s="31"/>
    </row>
    <row r="330" spans="13:16">
      <c r="M330" s="31"/>
      <c r="N330" s="31"/>
      <c r="O330" s="31"/>
      <c r="P330" s="31"/>
    </row>
    <row r="331" spans="13:16">
      <c r="M331" s="31"/>
      <c r="N331" s="31"/>
      <c r="O331" s="31"/>
      <c r="P331" s="31"/>
    </row>
    <row r="332" spans="13:16">
      <c r="M332" s="31"/>
      <c r="N332" s="31"/>
      <c r="O332" s="31"/>
      <c r="P332" s="31"/>
    </row>
    <row r="333" spans="13:16">
      <c r="M333" s="31"/>
      <c r="N333" s="31"/>
      <c r="O333" s="31"/>
      <c r="P333" s="31"/>
    </row>
    <row r="334" spans="13:16">
      <c r="M334" s="31"/>
      <c r="N334" s="31"/>
      <c r="O334" s="31"/>
      <c r="P334" s="31"/>
    </row>
    <row r="335" spans="13:16">
      <c r="M335" s="31"/>
      <c r="N335" s="31"/>
      <c r="O335" s="31"/>
      <c r="P335" s="31"/>
    </row>
    <row r="336" spans="13:16">
      <c r="M336" s="31"/>
      <c r="N336" s="31"/>
      <c r="O336" s="31"/>
      <c r="P336" s="31"/>
    </row>
    <row r="337" spans="13:16">
      <c r="M337" s="31"/>
      <c r="N337" s="31"/>
      <c r="O337" s="31"/>
      <c r="P337" s="31"/>
    </row>
    <row r="338" spans="13:16">
      <c r="M338" s="31"/>
      <c r="N338" s="31"/>
      <c r="O338" s="31"/>
      <c r="P338" s="31"/>
    </row>
    <row r="339" spans="13:16">
      <c r="M339" s="31"/>
      <c r="N339" s="31"/>
      <c r="O339" s="31"/>
      <c r="P339" s="31"/>
    </row>
    <row r="340" spans="13:16">
      <c r="M340" s="31"/>
      <c r="N340" s="31"/>
      <c r="O340" s="31"/>
      <c r="P340" s="31"/>
    </row>
    <row r="341" spans="13:16">
      <c r="M341" s="31"/>
      <c r="N341" s="31"/>
      <c r="O341" s="31"/>
      <c r="P341" s="31"/>
    </row>
    <row r="342" spans="13:16">
      <c r="M342" s="31"/>
      <c r="N342" s="31"/>
      <c r="O342" s="31"/>
      <c r="P342" s="31"/>
    </row>
    <row r="343" spans="13:16">
      <c r="M343" s="31"/>
      <c r="N343" s="31"/>
      <c r="O343" s="31"/>
      <c r="P343" s="31"/>
    </row>
    <row r="344" spans="13:16">
      <c r="M344" s="31"/>
      <c r="N344" s="31"/>
      <c r="O344" s="31"/>
      <c r="P344" s="31"/>
    </row>
    <row r="345" spans="13:16">
      <c r="M345" s="31"/>
      <c r="N345" s="31"/>
      <c r="O345" s="31"/>
      <c r="P345" s="31"/>
    </row>
    <row r="346" spans="13:16">
      <c r="M346" s="31"/>
      <c r="N346" s="31"/>
      <c r="O346" s="31"/>
      <c r="P346" s="31"/>
    </row>
    <row r="347" spans="13:16">
      <c r="M347" s="31"/>
      <c r="N347" s="31"/>
      <c r="O347" s="31"/>
      <c r="P347" s="31"/>
    </row>
    <row r="348" spans="13:16">
      <c r="M348" s="31"/>
      <c r="N348" s="31"/>
      <c r="O348" s="31"/>
      <c r="P348" s="31"/>
    </row>
    <row r="349" spans="13:16">
      <c r="M349" s="31"/>
      <c r="N349" s="31"/>
      <c r="O349" s="31"/>
      <c r="P349" s="31"/>
    </row>
    <row r="350" spans="13:16">
      <c r="M350" s="31"/>
      <c r="N350" s="31"/>
      <c r="O350" s="31"/>
      <c r="P350" s="31"/>
    </row>
    <row r="351" spans="13:16">
      <c r="M351" s="31"/>
      <c r="N351" s="31"/>
      <c r="O351" s="31"/>
      <c r="P351" s="31"/>
    </row>
    <row r="352" spans="13:16">
      <c r="M352" s="31"/>
      <c r="N352" s="31"/>
      <c r="O352" s="31"/>
      <c r="P352" s="31"/>
    </row>
    <row r="353" spans="13:16">
      <c r="M353" s="31"/>
      <c r="N353" s="31"/>
      <c r="O353" s="31"/>
      <c r="P353" s="31"/>
    </row>
    <row r="354" spans="13:16">
      <c r="M354" s="31"/>
      <c r="N354" s="31"/>
      <c r="O354" s="31"/>
      <c r="P354" s="31"/>
    </row>
    <row r="355" spans="13:16">
      <c r="M355" s="31"/>
      <c r="N355" s="31"/>
      <c r="O355" s="31"/>
      <c r="P355" s="31"/>
    </row>
    <row r="356" spans="13:16">
      <c r="M356" s="31"/>
      <c r="N356" s="31"/>
      <c r="O356" s="31"/>
      <c r="P356" s="31"/>
    </row>
    <row r="357" spans="13:16">
      <c r="M357" s="31"/>
      <c r="N357" s="31"/>
      <c r="O357" s="31"/>
      <c r="P357" s="31"/>
    </row>
    <row r="358" spans="13:16">
      <c r="M358" s="31"/>
      <c r="N358" s="31"/>
      <c r="O358" s="31"/>
      <c r="P358" s="31"/>
    </row>
    <row r="359" spans="13:16">
      <c r="M359" s="31"/>
      <c r="N359" s="31"/>
      <c r="O359" s="31"/>
      <c r="P359" s="31"/>
    </row>
    <row r="360" spans="13:16">
      <c r="M360" s="31"/>
      <c r="N360" s="31"/>
      <c r="O360" s="31"/>
      <c r="P360" s="31"/>
    </row>
    <row r="361" spans="13:16">
      <c r="M361" s="31"/>
      <c r="N361" s="31"/>
      <c r="O361" s="31"/>
      <c r="P361" s="31"/>
    </row>
    <row r="362" spans="13:16">
      <c r="M362" s="31"/>
      <c r="N362" s="31"/>
      <c r="O362" s="31"/>
      <c r="P362" s="31"/>
    </row>
    <row r="363" spans="13:16">
      <c r="M363" s="31"/>
      <c r="N363" s="31"/>
      <c r="O363" s="31"/>
      <c r="P363" s="31"/>
    </row>
    <row r="364" spans="13:16">
      <c r="M364" s="31"/>
      <c r="N364" s="31"/>
      <c r="O364" s="31"/>
      <c r="P364" s="31"/>
    </row>
    <row r="365" spans="13:16">
      <c r="M365" s="31"/>
      <c r="N365" s="31"/>
      <c r="O365" s="31"/>
      <c r="P365" s="31"/>
    </row>
    <row r="366" spans="13:16">
      <c r="M366" s="31"/>
      <c r="N366" s="31"/>
      <c r="O366" s="31"/>
      <c r="P366" s="31"/>
    </row>
    <row r="367" spans="13:16">
      <c r="M367" s="31"/>
      <c r="N367" s="31"/>
      <c r="O367" s="31"/>
      <c r="P367" s="31"/>
    </row>
    <row r="368" spans="13:16">
      <c r="M368" s="31"/>
      <c r="N368" s="31"/>
      <c r="O368" s="31"/>
      <c r="P368" s="31"/>
    </row>
    <row r="369" spans="13:16">
      <c r="M369" s="31"/>
      <c r="N369" s="31"/>
      <c r="O369" s="31"/>
      <c r="P369" s="31"/>
    </row>
    <row r="370" spans="13:16">
      <c r="M370" s="31"/>
      <c r="N370" s="31"/>
      <c r="O370" s="31"/>
      <c r="P370" s="31"/>
    </row>
    <row r="371" spans="13:16">
      <c r="M371" s="31"/>
      <c r="N371" s="31"/>
      <c r="O371" s="31"/>
      <c r="P371" s="31"/>
    </row>
    <row r="372" spans="13:16">
      <c r="M372" s="31"/>
      <c r="N372" s="31"/>
      <c r="O372" s="31"/>
      <c r="P372" s="31"/>
    </row>
    <row r="373" spans="13:16">
      <c r="M373" s="31"/>
      <c r="N373" s="31"/>
      <c r="O373" s="31"/>
      <c r="P373" s="31"/>
    </row>
    <row r="374" spans="13:16">
      <c r="M374" s="31"/>
      <c r="N374" s="31"/>
      <c r="O374" s="31"/>
      <c r="P374" s="31"/>
    </row>
    <row r="375" spans="13:16">
      <c r="M375" s="31"/>
      <c r="N375" s="31"/>
      <c r="O375" s="31"/>
      <c r="P375" s="31"/>
    </row>
    <row r="376" spans="13:16">
      <c r="M376" s="31"/>
      <c r="N376" s="31"/>
      <c r="O376" s="31"/>
      <c r="P376" s="31"/>
    </row>
    <row r="377" spans="13:16">
      <c r="M377" s="31"/>
      <c r="N377" s="31"/>
      <c r="O377" s="31"/>
      <c r="P377" s="31"/>
    </row>
    <row r="378" spans="13:16">
      <c r="M378" s="31"/>
      <c r="N378" s="31"/>
      <c r="O378" s="31"/>
      <c r="P378" s="31"/>
    </row>
    <row r="379" spans="13:16">
      <c r="M379" s="31"/>
      <c r="N379" s="31"/>
      <c r="O379" s="31"/>
      <c r="P379" s="31"/>
    </row>
    <row r="380" spans="13:16">
      <c r="M380" s="31"/>
      <c r="N380" s="31"/>
      <c r="O380" s="31"/>
      <c r="P380" s="31"/>
    </row>
    <row r="381" spans="13:16">
      <c r="M381" s="31"/>
      <c r="N381" s="31"/>
      <c r="O381" s="31"/>
      <c r="P381" s="31"/>
    </row>
    <row r="382" spans="13:16">
      <c r="M382" s="31"/>
      <c r="N382" s="31"/>
      <c r="O382" s="31"/>
      <c r="P382" s="31"/>
    </row>
    <row r="383" spans="13:16">
      <c r="M383" s="31"/>
      <c r="N383" s="31"/>
      <c r="O383" s="31"/>
      <c r="P383" s="31"/>
    </row>
    <row r="384" spans="13:16">
      <c r="M384" s="31"/>
      <c r="N384" s="31"/>
      <c r="O384" s="31"/>
      <c r="P384" s="31"/>
    </row>
    <row r="385" spans="13:16">
      <c r="M385" s="31"/>
      <c r="N385" s="31"/>
      <c r="O385" s="31"/>
      <c r="P385" s="31"/>
    </row>
    <row r="386" spans="13:16">
      <c r="M386" s="31"/>
      <c r="N386" s="31"/>
      <c r="O386" s="31"/>
      <c r="P386" s="31"/>
    </row>
    <row r="387" spans="13:16">
      <c r="M387" s="31"/>
      <c r="N387" s="31"/>
      <c r="O387" s="31"/>
      <c r="P387" s="31"/>
    </row>
    <row r="388" spans="13:16">
      <c r="M388" s="31"/>
      <c r="N388" s="31"/>
      <c r="O388" s="31"/>
      <c r="P388" s="31"/>
    </row>
    <row r="389" spans="13:16">
      <c r="M389" s="31"/>
      <c r="N389" s="31"/>
      <c r="O389" s="31"/>
      <c r="P389" s="31"/>
    </row>
    <row r="390" spans="13:16">
      <c r="M390" s="31"/>
      <c r="N390" s="31"/>
      <c r="O390" s="31"/>
      <c r="P390" s="31"/>
    </row>
    <row r="391" spans="13:16">
      <c r="M391" s="31"/>
      <c r="N391" s="31"/>
      <c r="O391" s="31"/>
      <c r="P391" s="31"/>
    </row>
    <row r="392" spans="13:16">
      <c r="M392" s="31"/>
      <c r="N392" s="31"/>
      <c r="O392" s="31"/>
      <c r="P392" s="31"/>
    </row>
    <row r="393" spans="13:16">
      <c r="M393" s="31"/>
      <c r="N393" s="31"/>
      <c r="O393" s="31"/>
      <c r="P393" s="31"/>
    </row>
    <row r="394" spans="13:16">
      <c r="M394" s="31"/>
      <c r="N394" s="31"/>
      <c r="O394" s="31"/>
      <c r="P394" s="31"/>
    </row>
    <row r="395" spans="13:16">
      <c r="M395" s="31"/>
      <c r="N395" s="31"/>
      <c r="O395" s="31"/>
      <c r="P395" s="31"/>
    </row>
    <row r="396" spans="13:16">
      <c r="M396" s="31"/>
      <c r="N396" s="31"/>
      <c r="O396" s="31"/>
      <c r="P396" s="31"/>
    </row>
    <row r="397" spans="13:16">
      <c r="M397" s="31"/>
      <c r="N397" s="31"/>
      <c r="O397" s="31"/>
      <c r="P397" s="31"/>
    </row>
    <row r="398" spans="13:16">
      <c r="M398" s="31"/>
      <c r="N398" s="31"/>
      <c r="O398" s="31"/>
      <c r="P398" s="31"/>
    </row>
    <row r="399" spans="13:16">
      <c r="M399" s="31"/>
      <c r="N399" s="31"/>
      <c r="O399" s="31"/>
      <c r="P399" s="31"/>
    </row>
    <row r="400" spans="13:16">
      <c r="M400" s="31"/>
      <c r="N400" s="31"/>
      <c r="O400" s="31"/>
      <c r="P400" s="31"/>
    </row>
    <row r="401" spans="13:16">
      <c r="M401" s="31"/>
      <c r="N401" s="31"/>
      <c r="O401" s="31"/>
      <c r="P401" s="31"/>
    </row>
    <row r="402" spans="13:16">
      <c r="M402" s="31"/>
      <c r="N402" s="31"/>
      <c r="O402" s="31"/>
      <c r="P402" s="31"/>
    </row>
    <row r="403" spans="13:16">
      <c r="M403" s="31"/>
      <c r="N403" s="31"/>
      <c r="O403" s="31"/>
      <c r="P403" s="31"/>
    </row>
    <row r="404" spans="13:16">
      <c r="M404" s="31"/>
      <c r="N404" s="31"/>
      <c r="O404" s="31"/>
      <c r="P404" s="31"/>
    </row>
    <row r="405" spans="13:16">
      <c r="M405" s="31"/>
      <c r="N405" s="31"/>
      <c r="O405" s="31"/>
      <c r="P405" s="31"/>
    </row>
    <row r="406" spans="13:16">
      <c r="M406" s="31"/>
      <c r="N406" s="31"/>
      <c r="O406" s="31"/>
      <c r="P406" s="31"/>
    </row>
    <row r="407" spans="13:16">
      <c r="M407" s="31"/>
      <c r="N407" s="31"/>
      <c r="O407" s="31"/>
      <c r="P407" s="31"/>
    </row>
    <row r="408" spans="13:16">
      <c r="M408" s="31"/>
      <c r="N408" s="31"/>
      <c r="O408" s="31"/>
      <c r="P408" s="31"/>
    </row>
    <row r="409" spans="13:16">
      <c r="M409" s="31"/>
      <c r="N409" s="31"/>
      <c r="O409" s="31"/>
      <c r="P409" s="31"/>
    </row>
    <row r="410" spans="13:16">
      <c r="M410" s="31"/>
      <c r="N410" s="31"/>
      <c r="O410" s="31"/>
      <c r="P410" s="31"/>
    </row>
    <row r="411" spans="13:16">
      <c r="M411" s="31"/>
      <c r="N411" s="31"/>
      <c r="O411" s="31"/>
      <c r="P411" s="31"/>
    </row>
    <row r="412" spans="13:16">
      <c r="M412" s="31"/>
      <c r="N412" s="31"/>
      <c r="O412" s="31"/>
      <c r="P412" s="31"/>
    </row>
    <row r="413" spans="13:16">
      <c r="M413" s="31"/>
      <c r="N413" s="31"/>
      <c r="O413" s="31"/>
      <c r="P413" s="31"/>
    </row>
    <row r="414" spans="13:16">
      <c r="M414" s="31"/>
      <c r="N414" s="31"/>
      <c r="O414" s="31"/>
      <c r="P414" s="31"/>
    </row>
    <row r="415" spans="13:16">
      <c r="M415" s="31"/>
      <c r="N415" s="31"/>
      <c r="O415" s="31"/>
      <c r="P415" s="31"/>
    </row>
    <row r="416" spans="13:16">
      <c r="M416" s="31"/>
      <c r="N416" s="31"/>
      <c r="O416" s="31"/>
      <c r="P416" s="31"/>
    </row>
    <row r="417" spans="13:16">
      <c r="M417" s="31"/>
      <c r="N417" s="31"/>
      <c r="O417" s="31"/>
      <c r="P417" s="31"/>
    </row>
    <row r="418" spans="13:16">
      <c r="M418" s="31"/>
      <c r="N418" s="31"/>
      <c r="O418" s="31"/>
      <c r="P418" s="31"/>
    </row>
    <row r="419" spans="13:16">
      <c r="M419" s="31"/>
      <c r="N419" s="31"/>
      <c r="O419" s="31"/>
      <c r="P419" s="31"/>
    </row>
    <row r="420" spans="13:16">
      <c r="M420" s="31"/>
      <c r="N420" s="31"/>
      <c r="O420" s="31"/>
      <c r="P420" s="31"/>
    </row>
    <row r="421" spans="13:16">
      <c r="M421" s="31"/>
      <c r="N421" s="31"/>
      <c r="O421" s="31"/>
      <c r="P421" s="31"/>
    </row>
    <row r="422" spans="13:16">
      <c r="M422" s="31"/>
      <c r="N422" s="31"/>
      <c r="O422" s="31"/>
      <c r="P422" s="31"/>
    </row>
    <row r="423" spans="13:16">
      <c r="M423" s="31"/>
      <c r="N423" s="31"/>
      <c r="O423" s="31"/>
      <c r="P423" s="31"/>
    </row>
    <row r="424" spans="13:16">
      <c r="M424" s="31"/>
      <c r="N424" s="31"/>
      <c r="O424" s="31"/>
      <c r="P424" s="31"/>
    </row>
    <row r="425" spans="13:16">
      <c r="M425" s="31"/>
      <c r="N425" s="31"/>
      <c r="O425" s="31"/>
      <c r="P425" s="31"/>
    </row>
    <row r="426" spans="13:16">
      <c r="M426" s="31"/>
      <c r="N426" s="31"/>
      <c r="O426" s="31"/>
      <c r="P426" s="31"/>
    </row>
    <row r="427" spans="13:16">
      <c r="M427" s="31"/>
      <c r="N427" s="31"/>
      <c r="O427" s="31"/>
      <c r="P427" s="31"/>
    </row>
    <row r="428" spans="13:16">
      <c r="M428" s="31"/>
      <c r="N428" s="31"/>
      <c r="O428" s="31"/>
      <c r="P428" s="31"/>
    </row>
    <row r="429" spans="13:16">
      <c r="M429" s="31"/>
      <c r="N429" s="31"/>
      <c r="O429" s="31"/>
      <c r="P429" s="31"/>
    </row>
    <row r="430" spans="13:16">
      <c r="M430" s="31"/>
      <c r="N430" s="31"/>
      <c r="O430" s="31"/>
      <c r="P430" s="31"/>
    </row>
    <row r="431" spans="13:16">
      <c r="M431" s="31"/>
      <c r="N431" s="31"/>
      <c r="O431" s="31"/>
      <c r="P431" s="31"/>
    </row>
    <row r="432" spans="13:16">
      <c r="M432" s="31"/>
      <c r="N432" s="31"/>
      <c r="O432" s="31"/>
      <c r="P432" s="31"/>
    </row>
    <row r="433" spans="13:16">
      <c r="M433" s="31"/>
      <c r="N433" s="31"/>
      <c r="O433" s="31"/>
      <c r="P433" s="31"/>
    </row>
    <row r="434" spans="13:16">
      <c r="M434" s="31"/>
      <c r="N434" s="31"/>
      <c r="O434" s="31"/>
      <c r="P434" s="31"/>
    </row>
    <row r="435" spans="13:16">
      <c r="M435" s="31"/>
      <c r="N435" s="31"/>
      <c r="O435" s="31"/>
      <c r="P435" s="31"/>
    </row>
    <row r="436" spans="13:16">
      <c r="M436" s="31"/>
      <c r="N436" s="31"/>
      <c r="O436" s="31"/>
      <c r="P436" s="31"/>
    </row>
    <row r="437" spans="13:16">
      <c r="M437" s="31"/>
      <c r="N437" s="31"/>
      <c r="O437" s="31"/>
      <c r="P437" s="31"/>
    </row>
    <row r="438" spans="13:16">
      <c r="M438" s="31"/>
      <c r="N438" s="31"/>
      <c r="O438" s="31"/>
      <c r="P438" s="31"/>
    </row>
    <row r="439" spans="13:16">
      <c r="M439" s="31"/>
      <c r="N439" s="31"/>
      <c r="O439" s="31"/>
      <c r="P439" s="31"/>
    </row>
    <row r="440" spans="13:16">
      <c r="M440" s="31"/>
      <c r="N440" s="31"/>
      <c r="O440" s="31"/>
      <c r="P440" s="31"/>
    </row>
    <row r="441" spans="13:16">
      <c r="M441" s="31"/>
      <c r="N441" s="31"/>
      <c r="O441" s="31"/>
      <c r="P441" s="31"/>
    </row>
    <row r="442" spans="13:16">
      <c r="M442" s="31"/>
      <c r="N442" s="31"/>
      <c r="O442" s="31"/>
      <c r="P442" s="31"/>
    </row>
    <row r="443" spans="13:16">
      <c r="M443" s="31"/>
      <c r="N443" s="31"/>
      <c r="O443" s="31"/>
      <c r="P443" s="31"/>
    </row>
    <row r="444" spans="13:16">
      <c r="M444" s="31"/>
      <c r="N444" s="31"/>
      <c r="O444" s="31"/>
      <c r="P444" s="31"/>
    </row>
    <row r="445" spans="13:16">
      <c r="M445" s="31"/>
      <c r="N445" s="31"/>
      <c r="O445" s="31"/>
      <c r="P445" s="31"/>
    </row>
    <row r="446" spans="13:16">
      <c r="M446" s="31"/>
      <c r="N446" s="31"/>
      <c r="O446" s="31"/>
      <c r="P446" s="31"/>
    </row>
    <row r="447" spans="13:16">
      <c r="M447" s="31"/>
      <c r="N447" s="31"/>
      <c r="O447" s="31"/>
      <c r="P447" s="31"/>
    </row>
    <row r="448" spans="13:16">
      <c r="M448" s="31"/>
      <c r="N448" s="31"/>
      <c r="O448" s="31"/>
      <c r="P448" s="31"/>
    </row>
    <row r="449" spans="13:16">
      <c r="M449" s="31"/>
      <c r="N449" s="31"/>
      <c r="O449" s="31"/>
      <c r="P449" s="31"/>
    </row>
    <row r="450" spans="13:16">
      <c r="M450" s="31"/>
      <c r="N450" s="31"/>
      <c r="O450" s="31"/>
      <c r="P450" s="31"/>
    </row>
    <row r="451" spans="13:16">
      <c r="M451" s="31"/>
      <c r="N451" s="31"/>
      <c r="O451" s="31"/>
      <c r="P451" s="31"/>
    </row>
    <row r="452" spans="13:16">
      <c r="M452" s="31"/>
      <c r="N452" s="31"/>
      <c r="O452" s="31"/>
      <c r="P452" s="31"/>
    </row>
    <row r="453" spans="13:16">
      <c r="M453" s="31"/>
      <c r="N453" s="31"/>
      <c r="O453" s="31"/>
      <c r="P453" s="31"/>
    </row>
    <row r="454" spans="13:16">
      <c r="M454" s="31"/>
      <c r="N454" s="31"/>
      <c r="O454" s="31"/>
      <c r="P454" s="31"/>
    </row>
    <row r="455" spans="13:16">
      <c r="M455" s="31"/>
      <c r="N455" s="31"/>
      <c r="O455" s="31"/>
      <c r="P455" s="31"/>
    </row>
    <row r="456" spans="13:16">
      <c r="M456" s="31"/>
      <c r="N456" s="31"/>
      <c r="O456" s="31"/>
      <c r="P456" s="31"/>
    </row>
    <row r="457" spans="13:16">
      <c r="M457" s="31"/>
      <c r="N457" s="31"/>
      <c r="O457" s="31"/>
      <c r="P457" s="31"/>
    </row>
    <row r="458" spans="13:16">
      <c r="M458" s="31"/>
      <c r="N458" s="31"/>
      <c r="O458" s="31"/>
      <c r="P458" s="31"/>
    </row>
    <row r="459" spans="13:16">
      <c r="M459" s="31"/>
      <c r="N459" s="31"/>
      <c r="O459" s="31"/>
      <c r="P459" s="31"/>
    </row>
    <row r="460" spans="13:16">
      <c r="M460" s="31"/>
      <c r="N460" s="31"/>
      <c r="O460" s="31"/>
      <c r="P460" s="31"/>
    </row>
    <row r="461" spans="13:16">
      <c r="M461" s="31"/>
      <c r="N461" s="31"/>
      <c r="O461" s="31"/>
      <c r="P461" s="31"/>
    </row>
    <row r="462" spans="13:16">
      <c r="M462" s="31"/>
      <c r="N462" s="31"/>
      <c r="O462" s="31"/>
      <c r="P462" s="31"/>
    </row>
    <row r="463" spans="13:16">
      <c r="M463" s="31"/>
      <c r="N463" s="31"/>
      <c r="O463" s="31"/>
      <c r="P463" s="31"/>
    </row>
    <row r="464" spans="13:16">
      <c r="M464" s="31"/>
      <c r="N464" s="31"/>
      <c r="O464" s="31"/>
      <c r="P464" s="31"/>
    </row>
    <row r="465" spans="13:16">
      <c r="M465" s="31"/>
      <c r="N465" s="31"/>
      <c r="O465" s="31"/>
      <c r="P465" s="31"/>
    </row>
    <row r="466" spans="13:16">
      <c r="M466" s="31"/>
      <c r="N466" s="31"/>
      <c r="O466" s="31"/>
      <c r="P466" s="31"/>
    </row>
    <row r="467" spans="13:16">
      <c r="M467" s="31"/>
      <c r="N467" s="31"/>
      <c r="O467" s="31"/>
      <c r="P467" s="31"/>
    </row>
    <row r="468" spans="13:16">
      <c r="M468" s="31"/>
      <c r="N468" s="31"/>
      <c r="O468" s="31"/>
      <c r="P468" s="31"/>
    </row>
    <row r="469" spans="13:16">
      <c r="M469" s="31"/>
      <c r="N469" s="31"/>
      <c r="O469" s="31"/>
      <c r="P469" s="31"/>
    </row>
    <row r="470" spans="13:16">
      <c r="M470" s="31"/>
      <c r="N470" s="31"/>
      <c r="O470" s="31"/>
      <c r="P470" s="31"/>
    </row>
    <row r="471" spans="13:16">
      <c r="M471" s="31"/>
      <c r="N471" s="31"/>
      <c r="O471" s="31"/>
      <c r="P471" s="31"/>
    </row>
    <row r="472" spans="13:16">
      <c r="M472" s="31"/>
      <c r="N472" s="31"/>
      <c r="O472" s="31"/>
      <c r="P472" s="31"/>
    </row>
    <row r="473" spans="13:16">
      <c r="M473" s="31"/>
      <c r="N473" s="31"/>
      <c r="O473" s="31"/>
      <c r="P473" s="31"/>
    </row>
    <row r="474" spans="13:16">
      <c r="M474" s="31"/>
      <c r="N474" s="31"/>
      <c r="O474" s="31"/>
      <c r="P474" s="31"/>
    </row>
    <row r="475" spans="13:16">
      <c r="M475" s="31"/>
      <c r="N475" s="31"/>
      <c r="O475" s="31"/>
      <c r="P475" s="31"/>
    </row>
    <row r="476" spans="13:16">
      <c r="M476" s="31"/>
      <c r="N476" s="31"/>
      <c r="O476" s="31"/>
      <c r="P476" s="31"/>
    </row>
    <row r="477" spans="13:16">
      <c r="M477" s="31"/>
      <c r="N477" s="31"/>
      <c r="O477" s="31"/>
      <c r="P477" s="31"/>
    </row>
    <row r="478" spans="13:16">
      <c r="M478" s="31"/>
      <c r="N478" s="31"/>
      <c r="O478" s="31"/>
      <c r="P478" s="31"/>
    </row>
    <row r="479" spans="13:16">
      <c r="M479" s="31"/>
      <c r="N479" s="31"/>
      <c r="O479" s="31"/>
      <c r="P479" s="31"/>
    </row>
    <row r="480" spans="13:16">
      <c r="M480" s="31"/>
      <c r="N480" s="31"/>
      <c r="O480" s="31"/>
      <c r="P480" s="31"/>
    </row>
    <row r="481" spans="13:16">
      <c r="M481" s="31"/>
      <c r="N481" s="31"/>
      <c r="O481" s="31"/>
      <c r="P481" s="31"/>
    </row>
    <row r="482" spans="13:16">
      <c r="M482" s="31"/>
      <c r="N482" s="31"/>
      <c r="O482" s="31"/>
      <c r="P482" s="31"/>
    </row>
    <row r="483" spans="13:16">
      <c r="M483" s="31"/>
      <c r="N483" s="31"/>
      <c r="O483" s="31"/>
      <c r="P483" s="31"/>
    </row>
    <row r="484" spans="13:16">
      <c r="M484" s="31"/>
      <c r="N484" s="31"/>
      <c r="O484" s="31"/>
      <c r="P484" s="31"/>
    </row>
    <row r="485" spans="13:16">
      <c r="M485" s="31"/>
      <c r="N485" s="31"/>
      <c r="O485" s="31"/>
      <c r="P485" s="31"/>
    </row>
    <row r="486" spans="13:16">
      <c r="M486" s="31"/>
      <c r="N486" s="31"/>
      <c r="O486" s="31"/>
      <c r="P486" s="31"/>
    </row>
    <row r="487" spans="13:16">
      <c r="M487" s="31"/>
      <c r="N487" s="31"/>
      <c r="O487" s="31"/>
      <c r="P487" s="31"/>
    </row>
    <row r="488" spans="13:16">
      <c r="M488" s="31"/>
      <c r="N488" s="31"/>
      <c r="O488" s="31"/>
      <c r="P488" s="31"/>
    </row>
    <row r="489" spans="13:16">
      <c r="M489" s="31"/>
      <c r="N489" s="31"/>
      <c r="O489" s="31"/>
      <c r="P489" s="31"/>
    </row>
    <row r="490" spans="13:16">
      <c r="M490" s="31"/>
      <c r="N490" s="31"/>
      <c r="O490" s="31"/>
      <c r="P490" s="31"/>
    </row>
    <row r="491" spans="13:16">
      <c r="M491" s="31"/>
      <c r="N491" s="31"/>
      <c r="O491" s="31"/>
      <c r="P491" s="31"/>
    </row>
    <row r="492" spans="13:16">
      <c r="M492" s="31"/>
      <c r="N492" s="31"/>
      <c r="O492" s="31"/>
      <c r="P492" s="31"/>
    </row>
    <row r="493" spans="13:16">
      <c r="M493" s="31"/>
      <c r="N493" s="31"/>
      <c r="O493" s="31"/>
      <c r="P493" s="31"/>
    </row>
    <row r="494" spans="13:16">
      <c r="M494" s="31"/>
      <c r="N494" s="31"/>
      <c r="O494" s="31"/>
      <c r="P494" s="31"/>
    </row>
    <row r="495" spans="13:16">
      <c r="M495" s="31"/>
      <c r="N495" s="31"/>
      <c r="O495" s="31"/>
      <c r="P495" s="31"/>
    </row>
    <row r="496" spans="13:16">
      <c r="M496" s="31"/>
      <c r="N496" s="31"/>
      <c r="O496" s="31"/>
      <c r="P496" s="31"/>
    </row>
    <row r="497" spans="13:16">
      <c r="M497" s="31"/>
      <c r="N497" s="31"/>
      <c r="O497" s="31"/>
      <c r="P497" s="31"/>
    </row>
    <row r="498" spans="13:16">
      <c r="M498" s="31"/>
      <c r="N498" s="31"/>
      <c r="O498" s="31"/>
      <c r="P498" s="31"/>
    </row>
    <row r="499" spans="13:16">
      <c r="M499" s="31"/>
      <c r="N499" s="31"/>
      <c r="O499" s="31"/>
      <c r="P499" s="31"/>
    </row>
    <row r="500" spans="13:16">
      <c r="M500" s="31"/>
      <c r="N500" s="31"/>
      <c r="O500" s="31"/>
      <c r="P500" s="31"/>
    </row>
    <row r="501" spans="13:16">
      <c r="M501" s="31"/>
      <c r="N501" s="31"/>
      <c r="O501" s="31"/>
      <c r="P501" s="31"/>
    </row>
    <row r="502" spans="13:16">
      <c r="M502" s="31"/>
      <c r="N502" s="31"/>
      <c r="O502" s="31"/>
      <c r="P502" s="31"/>
    </row>
    <row r="503" spans="13:16">
      <c r="M503" s="31"/>
      <c r="N503" s="31"/>
      <c r="O503" s="31"/>
      <c r="P503" s="31"/>
    </row>
    <row r="504" spans="13:16">
      <c r="M504" s="31"/>
      <c r="N504" s="31"/>
      <c r="O504" s="31"/>
      <c r="P504" s="31"/>
    </row>
    <row r="505" spans="13:16">
      <c r="M505" s="31"/>
      <c r="N505" s="31"/>
      <c r="O505" s="31"/>
      <c r="P505" s="31"/>
    </row>
    <row r="506" spans="13:16">
      <c r="M506" s="31"/>
      <c r="N506" s="31"/>
      <c r="O506" s="31"/>
      <c r="P506" s="31"/>
    </row>
    <row r="507" spans="13:16">
      <c r="M507" s="31"/>
      <c r="N507" s="31"/>
      <c r="O507" s="31"/>
      <c r="P507" s="31"/>
    </row>
    <row r="508" spans="13:16">
      <c r="M508" s="31"/>
      <c r="N508" s="31"/>
      <c r="O508" s="31"/>
      <c r="P508" s="31"/>
    </row>
    <row r="509" spans="13:16">
      <c r="M509" s="31"/>
      <c r="N509" s="31"/>
      <c r="O509" s="31"/>
      <c r="P509" s="31"/>
    </row>
    <row r="510" spans="13:16">
      <c r="M510" s="31"/>
      <c r="N510" s="31"/>
      <c r="O510" s="31"/>
      <c r="P510" s="31"/>
    </row>
    <row r="511" spans="13:16">
      <c r="M511" s="31"/>
      <c r="N511" s="31"/>
      <c r="O511" s="31"/>
      <c r="P511" s="31"/>
    </row>
    <row r="512" spans="13:16">
      <c r="M512" s="31"/>
      <c r="N512" s="31"/>
      <c r="O512" s="31"/>
      <c r="P512" s="31"/>
    </row>
    <row r="513" spans="13:16">
      <c r="M513" s="31"/>
      <c r="N513" s="31"/>
      <c r="O513" s="31"/>
      <c r="P513" s="31"/>
    </row>
    <row r="514" spans="13:16">
      <c r="M514" s="31"/>
      <c r="N514" s="31"/>
      <c r="O514" s="31"/>
      <c r="P514" s="31"/>
    </row>
    <row r="515" spans="13:16">
      <c r="M515" s="31"/>
      <c r="N515" s="31"/>
      <c r="O515" s="31"/>
      <c r="P515" s="31"/>
    </row>
    <row r="516" spans="13:16">
      <c r="M516" s="31"/>
      <c r="N516" s="31"/>
      <c r="O516" s="31"/>
      <c r="P516" s="31"/>
    </row>
    <row r="517" spans="13:16">
      <c r="M517" s="31"/>
      <c r="N517" s="31"/>
      <c r="O517" s="31"/>
      <c r="P517" s="31"/>
    </row>
    <row r="518" spans="13:16">
      <c r="M518" s="31"/>
      <c r="N518" s="31"/>
      <c r="O518" s="31"/>
      <c r="P518" s="31"/>
    </row>
    <row r="519" spans="13:16">
      <c r="M519" s="31"/>
      <c r="N519" s="31"/>
      <c r="O519" s="31"/>
      <c r="P519" s="31"/>
    </row>
    <row r="520" spans="13:16">
      <c r="M520" s="31"/>
      <c r="N520" s="31"/>
      <c r="O520" s="31"/>
      <c r="P520" s="31"/>
    </row>
    <row r="521" spans="13:16">
      <c r="M521" s="31"/>
      <c r="N521" s="31"/>
      <c r="O521" s="31"/>
      <c r="P521" s="31"/>
    </row>
    <row r="522" spans="13:16">
      <c r="M522" s="31"/>
      <c r="N522" s="31"/>
      <c r="O522" s="31"/>
      <c r="P522" s="31"/>
    </row>
    <row r="523" spans="13:16">
      <c r="M523" s="31"/>
      <c r="N523" s="31"/>
      <c r="O523" s="31"/>
      <c r="P523" s="31"/>
    </row>
    <row r="524" spans="13:16">
      <c r="M524" s="31"/>
      <c r="N524" s="31"/>
      <c r="O524" s="31"/>
      <c r="P524" s="31"/>
    </row>
    <row r="525" spans="13:16">
      <c r="M525" s="31"/>
      <c r="N525" s="31"/>
      <c r="O525" s="31"/>
      <c r="P525" s="31"/>
    </row>
    <row r="526" spans="13:16">
      <c r="M526" s="31"/>
      <c r="N526" s="31"/>
      <c r="O526" s="31"/>
      <c r="P526" s="31"/>
    </row>
    <row r="527" spans="13:16">
      <c r="M527" s="31"/>
      <c r="N527" s="31"/>
      <c r="O527" s="31"/>
      <c r="P527" s="31"/>
    </row>
    <row r="528" spans="13:16">
      <c r="M528" s="31"/>
      <c r="N528" s="31"/>
      <c r="O528" s="31"/>
      <c r="P528" s="31"/>
    </row>
    <row r="529" spans="13:16">
      <c r="M529" s="31"/>
      <c r="N529" s="31"/>
      <c r="O529" s="31"/>
      <c r="P529" s="31"/>
    </row>
    <row r="530" spans="13:16">
      <c r="M530" s="31"/>
      <c r="N530" s="31"/>
      <c r="O530" s="31"/>
      <c r="P530" s="31"/>
    </row>
    <row r="531" spans="13:16">
      <c r="M531" s="31"/>
      <c r="N531" s="31"/>
      <c r="O531" s="31"/>
      <c r="P531" s="31"/>
    </row>
    <row r="532" spans="13:16">
      <c r="M532" s="31"/>
      <c r="N532" s="31"/>
      <c r="O532" s="31"/>
      <c r="P532" s="31"/>
    </row>
    <row r="533" spans="13:16">
      <c r="M533" s="31"/>
      <c r="N533" s="31"/>
      <c r="O533" s="31"/>
      <c r="P533" s="31"/>
    </row>
    <row r="534" spans="13:16">
      <c r="M534" s="31"/>
      <c r="N534" s="31"/>
      <c r="O534" s="31"/>
      <c r="P534" s="31"/>
    </row>
    <row r="535" spans="13:16">
      <c r="M535" s="31"/>
      <c r="N535" s="31"/>
      <c r="O535" s="31"/>
      <c r="P535" s="31"/>
    </row>
    <row r="536" spans="13:16">
      <c r="M536" s="31"/>
      <c r="N536" s="31"/>
      <c r="O536" s="31"/>
      <c r="P536" s="31"/>
    </row>
    <row r="537" spans="13:16">
      <c r="M537" s="31"/>
      <c r="N537" s="31"/>
      <c r="O537" s="31"/>
      <c r="P537" s="31"/>
    </row>
    <row r="538" spans="13:16">
      <c r="M538" s="31"/>
      <c r="N538" s="31"/>
      <c r="O538" s="31"/>
      <c r="P538" s="31"/>
    </row>
    <row r="539" spans="13:16">
      <c r="M539" s="31"/>
      <c r="N539" s="31"/>
      <c r="O539" s="31"/>
      <c r="P539" s="31"/>
    </row>
    <row r="540" spans="13:16">
      <c r="M540" s="31"/>
      <c r="N540" s="31"/>
      <c r="O540" s="31"/>
      <c r="P540" s="31"/>
    </row>
    <row r="541" spans="13:16">
      <c r="M541" s="31"/>
      <c r="N541" s="31"/>
      <c r="O541" s="31"/>
      <c r="P541" s="31"/>
    </row>
    <row r="542" spans="13:16">
      <c r="M542" s="31"/>
      <c r="N542" s="31"/>
      <c r="O542" s="31"/>
      <c r="P542" s="31"/>
    </row>
    <row r="543" spans="13:16">
      <c r="M543" s="31"/>
      <c r="N543" s="31"/>
      <c r="O543" s="31"/>
      <c r="P543" s="31"/>
    </row>
    <row r="544" spans="13:16">
      <c r="M544" s="31"/>
      <c r="N544" s="31"/>
      <c r="O544" s="31"/>
      <c r="P544" s="31"/>
    </row>
    <row r="545" spans="13:16">
      <c r="M545" s="31"/>
      <c r="N545" s="31"/>
      <c r="O545" s="31"/>
      <c r="P545" s="31"/>
    </row>
    <row r="546" spans="13:16">
      <c r="M546" s="31"/>
      <c r="N546" s="31"/>
      <c r="O546" s="31"/>
      <c r="P546" s="31"/>
    </row>
    <row r="547" spans="13:16">
      <c r="M547" s="31"/>
      <c r="N547" s="31"/>
      <c r="O547" s="31"/>
      <c r="P547" s="31"/>
    </row>
    <row r="548" spans="13:16">
      <c r="M548" s="31"/>
      <c r="N548" s="31"/>
      <c r="O548" s="31"/>
      <c r="P548" s="31"/>
    </row>
    <row r="549" spans="13:16">
      <c r="M549" s="31"/>
      <c r="N549" s="31"/>
      <c r="O549" s="31"/>
      <c r="P549" s="31"/>
    </row>
    <row r="550" spans="13:16">
      <c r="M550" s="31"/>
      <c r="N550" s="31"/>
      <c r="O550" s="31"/>
      <c r="P550" s="31"/>
    </row>
    <row r="551" spans="13:16">
      <c r="M551" s="31"/>
      <c r="N551" s="31"/>
      <c r="O551" s="31"/>
      <c r="P551" s="31"/>
    </row>
    <row r="552" spans="13:16">
      <c r="M552" s="31"/>
      <c r="N552" s="31"/>
      <c r="O552" s="31"/>
      <c r="P552" s="31"/>
    </row>
    <row r="553" spans="13:16">
      <c r="M553" s="31"/>
      <c r="N553" s="31"/>
      <c r="O553" s="31"/>
      <c r="P553" s="31"/>
    </row>
    <row r="554" spans="13:16">
      <c r="M554" s="31"/>
      <c r="N554" s="31"/>
      <c r="O554" s="31"/>
      <c r="P554" s="31"/>
    </row>
    <row r="555" spans="13:16">
      <c r="M555" s="31"/>
      <c r="N555" s="31"/>
      <c r="O555" s="31"/>
      <c r="P555" s="31"/>
    </row>
    <row r="556" spans="13:16">
      <c r="M556" s="31"/>
      <c r="N556" s="31"/>
      <c r="O556" s="31"/>
      <c r="P556" s="31"/>
    </row>
    <row r="557" spans="13:16">
      <c r="M557" s="31"/>
      <c r="N557" s="31"/>
      <c r="O557" s="31"/>
      <c r="P557" s="31"/>
    </row>
    <row r="558" spans="13:16">
      <c r="M558" s="31"/>
      <c r="N558" s="31"/>
      <c r="O558" s="31"/>
      <c r="P558" s="31"/>
    </row>
    <row r="559" spans="13:16">
      <c r="M559" s="31"/>
      <c r="N559" s="31"/>
      <c r="O559" s="31"/>
      <c r="P559" s="31"/>
    </row>
    <row r="560" spans="13:16">
      <c r="M560" s="31"/>
      <c r="N560" s="31"/>
      <c r="O560" s="31"/>
      <c r="P560" s="31"/>
    </row>
    <row r="561" spans="13:16">
      <c r="M561" s="31"/>
      <c r="N561" s="31"/>
      <c r="O561" s="31"/>
      <c r="P561" s="31"/>
    </row>
    <row r="562" spans="13:16">
      <c r="M562" s="31"/>
      <c r="N562" s="31"/>
      <c r="O562" s="31"/>
      <c r="P562" s="31"/>
    </row>
    <row r="563" spans="13:16">
      <c r="M563" s="31"/>
      <c r="N563" s="31"/>
      <c r="O563" s="31"/>
      <c r="P563" s="31"/>
    </row>
    <row r="564" spans="13:16">
      <c r="M564" s="31"/>
      <c r="N564" s="31"/>
      <c r="O564" s="31"/>
      <c r="P564" s="31"/>
    </row>
    <row r="565" spans="13:16">
      <c r="M565" s="31"/>
      <c r="N565" s="31"/>
      <c r="O565" s="31"/>
      <c r="P565" s="31"/>
    </row>
    <row r="566" spans="13:16">
      <c r="M566" s="31"/>
      <c r="N566" s="31"/>
      <c r="O566" s="31"/>
      <c r="P566" s="31"/>
    </row>
    <row r="567" spans="13:16">
      <c r="M567" s="31"/>
      <c r="N567" s="31"/>
      <c r="O567" s="31"/>
      <c r="P567" s="31"/>
    </row>
    <row r="568" spans="13:16">
      <c r="M568" s="31"/>
      <c r="N568" s="31"/>
      <c r="O568" s="31"/>
      <c r="P568" s="31"/>
    </row>
    <row r="569" spans="13:16">
      <c r="M569" s="31"/>
      <c r="N569" s="31"/>
      <c r="O569" s="31"/>
      <c r="P569" s="31"/>
    </row>
    <row r="570" spans="13:16">
      <c r="M570" s="31"/>
      <c r="N570" s="31"/>
      <c r="O570" s="31"/>
      <c r="P570" s="31"/>
    </row>
    <row r="571" spans="13:16">
      <c r="M571" s="31"/>
      <c r="N571" s="31"/>
      <c r="O571" s="31"/>
      <c r="P571" s="31"/>
    </row>
    <row r="572" spans="13:16">
      <c r="M572" s="31"/>
      <c r="N572" s="31"/>
      <c r="O572" s="31"/>
      <c r="P572" s="31"/>
    </row>
    <row r="573" spans="13:16">
      <c r="M573" s="31"/>
      <c r="N573" s="31"/>
      <c r="O573" s="31"/>
      <c r="P573" s="31"/>
    </row>
    <row r="574" spans="13:16">
      <c r="M574" s="31"/>
      <c r="N574" s="31"/>
      <c r="O574" s="31"/>
      <c r="P574" s="31"/>
    </row>
    <row r="575" spans="13:16">
      <c r="M575" s="31"/>
      <c r="N575" s="31"/>
      <c r="O575" s="31"/>
      <c r="P575" s="31"/>
    </row>
    <row r="576" spans="13:16">
      <c r="M576" s="31"/>
      <c r="N576" s="31"/>
      <c r="O576" s="31"/>
      <c r="P576" s="31"/>
    </row>
    <row r="577" spans="13:16">
      <c r="M577" s="31"/>
      <c r="N577" s="31"/>
      <c r="O577" s="31"/>
      <c r="P577" s="31"/>
    </row>
    <row r="578" spans="13:16">
      <c r="M578" s="31"/>
      <c r="N578" s="31"/>
      <c r="O578" s="31"/>
      <c r="P578" s="31"/>
    </row>
    <row r="579" spans="13:16">
      <c r="M579" s="31"/>
      <c r="N579" s="31"/>
      <c r="O579" s="31"/>
      <c r="P579" s="31"/>
    </row>
    <row r="580" spans="13:16">
      <c r="M580" s="31"/>
      <c r="N580" s="31"/>
      <c r="O580" s="31"/>
      <c r="P580" s="31"/>
    </row>
    <row r="581" spans="13:16">
      <c r="M581" s="31"/>
      <c r="N581" s="31"/>
      <c r="O581" s="31"/>
      <c r="P581" s="31"/>
    </row>
    <row r="582" spans="13:16">
      <c r="M582" s="31"/>
      <c r="N582" s="31"/>
      <c r="O582" s="31"/>
      <c r="P582" s="31"/>
    </row>
    <row r="583" spans="13:16">
      <c r="M583" s="31"/>
      <c r="N583" s="31"/>
      <c r="O583" s="31"/>
      <c r="P583" s="31"/>
    </row>
    <row r="584" spans="13:16">
      <c r="M584" s="31"/>
      <c r="N584" s="31"/>
      <c r="O584" s="31"/>
      <c r="P584" s="31"/>
    </row>
    <row r="585" spans="13:16">
      <c r="M585" s="31"/>
      <c r="N585" s="31"/>
      <c r="O585" s="31"/>
      <c r="P585" s="31"/>
    </row>
    <row r="586" spans="13:16">
      <c r="M586" s="31"/>
      <c r="N586" s="31"/>
      <c r="O586" s="31"/>
      <c r="P586" s="31"/>
    </row>
    <row r="587" spans="13:16">
      <c r="M587" s="31"/>
      <c r="N587" s="31"/>
      <c r="O587" s="31"/>
      <c r="P587" s="31"/>
    </row>
    <row r="588" spans="13:16">
      <c r="M588" s="31"/>
      <c r="N588" s="31"/>
      <c r="O588" s="31"/>
      <c r="P588" s="31"/>
    </row>
    <row r="589" spans="13:16">
      <c r="M589" s="31"/>
      <c r="N589" s="31"/>
      <c r="O589" s="31"/>
      <c r="P589" s="31"/>
    </row>
    <row r="590" spans="13:16">
      <c r="M590" s="31"/>
      <c r="N590" s="31"/>
      <c r="O590" s="31"/>
      <c r="P590" s="31"/>
    </row>
    <row r="591" spans="13:16">
      <c r="M591" s="31"/>
      <c r="N591" s="31"/>
      <c r="O591" s="31"/>
      <c r="P591" s="31"/>
    </row>
    <row r="592" spans="13:16">
      <c r="M592" s="31"/>
      <c r="N592" s="31"/>
      <c r="O592" s="31"/>
      <c r="P592" s="31"/>
    </row>
    <row r="593" spans="13:16">
      <c r="M593" s="31"/>
      <c r="N593" s="31"/>
      <c r="O593" s="31"/>
      <c r="P593" s="31"/>
    </row>
    <row r="594" spans="13:16">
      <c r="M594" s="31"/>
      <c r="N594" s="31"/>
      <c r="O594" s="31"/>
      <c r="P594" s="31"/>
    </row>
    <row r="595" spans="13:16">
      <c r="M595" s="31"/>
      <c r="N595" s="31"/>
      <c r="O595" s="31"/>
      <c r="P595" s="31"/>
    </row>
    <row r="596" spans="13:16">
      <c r="M596" s="31"/>
      <c r="N596" s="31"/>
      <c r="O596" s="31"/>
      <c r="P596" s="31"/>
    </row>
    <row r="597" spans="13:16">
      <c r="M597" s="31"/>
      <c r="N597" s="31"/>
      <c r="O597" s="31"/>
      <c r="P597" s="31"/>
    </row>
    <row r="598" spans="13:16">
      <c r="M598" s="31"/>
      <c r="N598" s="31"/>
      <c r="O598" s="31"/>
      <c r="P598" s="31"/>
    </row>
    <row r="599" spans="13:16">
      <c r="M599" s="31"/>
      <c r="N599" s="31"/>
      <c r="O599" s="31"/>
      <c r="P599" s="31"/>
    </row>
    <row r="600" spans="13:16">
      <c r="M600" s="31"/>
      <c r="N600" s="31"/>
      <c r="O600" s="31"/>
      <c r="P600" s="31"/>
    </row>
    <row r="601" spans="13:16">
      <c r="M601" s="31"/>
      <c r="N601" s="31"/>
      <c r="O601" s="31"/>
      <c r="P601" s="31"/>
    </row>
    <row r="602" spans="13:16">
      <c r="M602" s="31"/>
      <c r="N602" s="31"/>
      <c r="O602" s="31"/>
      <c r="P602" s="31"/>
    </row>
    <row r="603" spans="13:16">
      <c r="M603" s="31"/>
      <c r="N603" s="31"/>
      <c r="O603" s="31"/>
      <c r="P603" s="31"/>
    </row>
    <row r="604" spans="13:16">
      <c r="M604" s="31"/>
      <c r="N604" s="31"/>
      <c r="O604" s="31"/>
      <c r="P604" s="31"/>
    </row>
    <row r="605" spans="13:16">
      <c r="M605" s="31"/>
      <c r="N605" s="31"/>
      <c r="O605" s="31"/>
      <c r="P605" s="31"/>
    </row>
    <row r="606" spans="13:16">
      <c r="M606" s="31"/>
      <c r="N606" s="31"/>
      <c r="O606" s="31"/>
      <c r="P606" s="31"/>
    </row>
    <row r="607" spans="13:16">
      <c r="M607" s="31"/>
      <c r="N607" s="31"/>
      <c r="O607" s="31"/>
      <c r="P607" s="31"/>
    </row>
    <row r="608" spans="13:16">
      <c r="M608" s="31"/>
      <c r="N608" s="31"/>
      <c r="O608" s="31"/>
      <c r="P608" s="31"/>
    </row>
    <row r="609" spans="13:16">
      <c r="M609" s="31"/>
      <c r="N609" s="31"/>
      <c r="O609" s="31"/>
      <c r="P609" s="31"/>
    </row>
    <row r="610" spans="13:16">
      <c r="M610" s="31"/>
      <c r="N610" s="31"/>
      <c r="O610" s="31"/>
      <c r="P610" s="31"/>
    </row>
    <row r="611" spans="13:16">
      <c r="M611" s="31"/>
      <c r="N611" s="31"/>
      <c r="O611" s="31"/>
      <c r="P611" s="31"/>
    </row>
    <row r="612" spans="13:16">
      <c r="M612" s="31"/>
      <c r="N612" s="31"/>
      <c r="O612" s="31"/>
      <c r="P612" s="31"/>
    </row>
    <row r="613" spans="13:16">
      <c r="M613" s="31"/>
      <c r="N613" s="31"/>
      <c r="O613" s="31"/>
      <c r="P613" s="31"/>
    </row>
    <row r="614" spans="13:16">
      <c r="M614" s="31"/>
      <c r="N614" s="31"/>
      <c r="O614" s="31"/>
      <c r="P614" s="31"/>
    </row>
    <row r="615" spans="13:16">
      <c r="M615" s="31"/>
      <c r="N615" s="31"/>
      <c r="O615" s="31"/>
      <c r="P615" s="31"/>
    </row>
    <row r="616" spans="13:16">
      <c r="M616" s="31"/>
      <c r="N616" s="31"/>
      <c r="O616" s="31"/>
      <c r="P616" s="31"/>
    </row>
    <row r="617" spans="13:16">
      <c r="M617" s="31"/>
      <c r="N617" s="31"/>
      <c r="O617" s="31"/>
      <c r="P617" s="31"/>
    </row>
    <row r="618" spans="13:16">
      <c r="M618" s="31"/>
      <c r="N618" s="31"/>
      <c r="O618" s="31"/>
      <c r="P618" s="31"/>
    </row>
    <row r="619" spans="13:16">
      <c r="M619" s="31"/>
      <c r="N619" s="31"/>
      <c r="O619" s="31"/>
      <c r="P619" s="31"/>
    </row>
    <row r="620" spans="13:16">
      <c r="M620" s="31"/>
      <c r="N620" s="31"/>
      <c r="O620" s="31"/>
      <c r="P620" s="31"/>
    </row>
    <row r="621" spans="13:16">
      <c r="M621" s="31"/>
      <c r="N621" s="31"/>
      <c r="O621" s="31"/>
      <c r="P621" s="31"/>
    </row>
    <row r="622" spans="13:16">
      <c r="M622" s="31"/>
      <c r="N622" s="31"/>
      <c r="O622" s="31"/>
      <c r="P622" s="31"/>
    </row>
    <row r="623" spans="13:16">
      <c r="M623" s="31"/>
      <c r="N623" s="31"/>
      <c r="O623" s="31"/>
      <c r="P623" s="31"/>
    </row>
    <row r="624" spans="13:16">
      <c r="M624" s="31"/>
      <c r="N624" s="31"/>
      <c r="O624" s="31"/>
      <c r="P624" s="31"/>
    </row>
    <row r="625" spans="13:16">
      <c r="M625" s="31"/>
      <c r="N625" s="31"/>
      <c r="O625" s="31"/>
      <c r="P625" s="31"/>
    </row>
    <row r="626" spans="13:16">
      <c r="M626" s="31"/>
      <c r="N626" s="31"/>
      <c r="O626" s="31"/>
      <c r="P626" s="31"/>
    </row>
    <row r="627" spans="13:16">
      <c r="M627" s="31"/>
      <c r="N627" s="31"/>
      <c r="O627" s="31"/>
      <c r="P627" s="31"/>
    </row>
    <row r="628" spans="13:16">
      <c r="M628" s="31"/>
      <c r="N628" s="31"/>
      <c r="O628" s="31"/>
      <c r="P628" s="31"/>
    </row>
    <row r="629" spans="13:16">
      <c r="M629" s="31"/>
      <c r="N629" s="31"/>
      <c r="O629" s="31"/>
      <c r="P629" s="31"/>
    </row>
    <row r="630" spans="13:16">
      <c r="M630" s="31"/>
      <c r="N630" s="31"/>
      <c r="O630" s="31"/>
      <c r="P630" s="31"/>
    </row>
    <row r="631" spans="13:16">
      <c r="M631" s="31"/>
      <c r="N631" s="31"/>
      <c r="O631" s="31"/>
      <c r="P631" s="31"/>
    </row>
    <row r="632" spans="13:16">
      <c r="M632" s="31"/>
      <c r="N632" s="31"/>
      <c r="O632" s="31"/>
      <c r="P632" s="31"/>
    </row>
    <row r="633" spans="13:16">
      <c r="M633" s="31"/>
      <c r="N633" s="31"/>
      <c r="O633" s="31"/>
      <c r="P633" s="31"/>
    </row>
    <row r="634" spans="13:16">
      <c r="M634" s="31"/>
      <c r="N634" s="31"/>
      <c r="O634" s="31"/>
      <c r="P634" s="31"/>
    </row>
    <row r="635" spans="13:16">
      <c r="M635" s="31"/>
      <c r="N635" s="31"/>
      <c r="O635" s="31"/>
      <c r="P635" s="31"/>
    </row>
    <row r="636" spans="13:16">
      <c r="M636" s="31"/>
      <c r="N636" s="31"/>
      <c r="O636" s="31"/>
      <c r="P636" s="31"/>
    </row>
    <row r="637" spans="13:16">
      <c r="M637" s="31"/>
      <c r="N637" s="31"/>
      <c r="O637" s="31"/>
      <c r="P637" s="31"/>
    </row>
    <row r="638" spans="13:16">
      <c r="M638" s="31"/>
      <c r="N638" s="31"/>
      <c r="O638" s="31"/>
      <c r="P638" s="31"/>
    </row>
    <row r="639" spans="13:16">
      <c r="M639" s="31"/>
      <c r="N639" s="31"/>
      <c r="O639" s="31"/>
      <c r="P639" s="31"/>
    </row>
    <row r="640" spans="13:16">
      <c r="M640" s="31"/>
      <c r="N640" s="31"/>
      <c r="O640" s="31"/>
      <c r="P640" s="31"/>
    </row>
    <row r="641" spans="13:16">
      <c r="M641" s="31"/>
      <c r="N641" s="31"/>
      <c r="O641" s="31"/>
      <c r="P641" s="31"/>
    </row>
    <row r="642" spans="13:16">
      <c r="M642" s="31"/>
      <c r="N642" s="31"/>
      <c r="O642" s="31"/>
      <c r="P642" s="31"/>
    </row>
    <row r="643" spans="13:16">
      <c r="M643" s="31"/>
      <c r="N643" s="31"/>
      <c r="O643" s="31"/>
      <c r="P643" s="31"/>
    </row>
    <row r="644" spans="13:16">
      <c r="M644" s="31"/>
      <c r="N644" s="31"/>
      <c r="O644" s="31"/>
      <c r="P644" s="31"/>
    </row>
    <row r="645" spans="13:16">
      <c r="M645" s="31"/>
      <c r="N645" s="31"/>
      <c r="O645" s="31"/>
      <c r="P645" s="31"/>
    </row>
    <row r="646" spans="13:16">
      <c r="M646" s="31"/>
      <c r="N646" s="31"/>
      <c r="O646" s="31"/>
      <c r="P646" s="31"/>
    </row>
    <row r="647" spans="13:16">
      <c r="M647" s="31"/>
      <c r="N647" s="31"/>
      <c r="O647" s="31"/>
      <c r="P647" s="31"/>
    </row>
    <row r="648" spans="13:16">
      <c r="M648" s="31"/>
      <c r="N648" s="31"/>
      <c r="O648" s="31"/>
      <c r="P648" s="31"/>
    </row>
    <row r="649" spans="13:16">
      <c r="M649" s="31"/>
      <c r="N649" s="31"/>
      <c r="O649" s="31"/>
      <c r="P649" s="31"/>
    </row>
    <row r="650" spans="13:16">
      <c r="M650" s="31"/>
      <c r="N650" s="31"/>
      <c r="O650" s="31"/>
      <c r="P650" s="31"/>
    </row>
    <row r="651" spans="13:16">
      <c r="M651" s="31"/>
      <c r="N651" s="31"/>
      <c r="O651" s="31"/>
      <c r="P651" s="31"/>
    </row>
    <row r="652" spans="13:16">
      <c r="M652" s="31"/>
      <c r="N652" s="31"/>
      <c r="O652" s="31"/>
      <c r="P652" s="31"/>
    </row>
    <row r="653" spans="13:16">
      <c r="M653" s="31"/>
      <c r="N653" s="31"/>
      <c r="O653" s="31"/>
      <c r="P653" s="31"/>
    </row>
    <row r="654" spans="13:16">
      <c r="M654" s="31"/>
      <c r="N654" s="31"/>
      <c r="O654" s="31"/>
      <c r="P654" s="31"/>
    </row>
    <row r="655" spans="13:16">
      <c r="M655" s="31"/>
      <c r="N655" s="31"/>
      <c r="O655" s="31"/>
      <c r="P655" s="31"/>
    </row>
    <row r="656" spans="13:16">
      <c r="M656" s="31"/>
      <c r="N656" s="31"/>
      <c r="O656" s="31"/>
      <c r="P656" s="31"/>
    </row>
    <row r="657" spans="13:16">
      <c r="M657" s="31"/>
      <c r="N657" s="31"/>
      <c r="O657" s="31"/>
      <c r="P657" s="31"/>
    </row>
    <row r="658" spans="13:16">
      <c r="M658" s="31"/>
      <c r="N658" s="31"/>
      <c r="O658" s="31"/>
      <c r="P658" s="31"/>
    </row>
    <row r="659" spans="13:16">
      <c r="M659" s="31"/>
      <c r="N659" s="31"/>
      <c r="O659" s="31"/>
      <c r="P659" s="31"/>
    </row>
    <row r="660" spans="13:16">
      <c r="M660" s="31"/>
      <c r="N660" s="31"/>
      <c r="O660" s="31"/>
      <c r="P660" s="31"/>
    </row>
    <row r="661" spans="13:16">
      <c r="M661" s="31"/>
      <c r="N661" s="31"/>
      <c r="O661" s="31"/>
      <c r="P661" s="31"/>
    </row>
    <row r="662" spans="13:16">
      <c r="M662" s="31"/>
      <c r="N662" s="31"/>
      <c r="O662" s="31"/>
      <c r="P662" s="31"/>
    </row>
    <row r="663" spans="13:16">
      <c r="M663" s="31"/>
      <c r="N663" s="31"/>
      <c r="O663" s="31"/>
      <c r="P663" s="31"/>
    </row>
    <row r="664" spans="13:16">
      <c r="M664" s="31"/>
      <c r="N664" s="31"/>
      <c r="O664" s="31"/>
      <c r="P664" s="31"/>
    </row>
    <row r="665" spans="13:16">
      <c r="M665" s="31"/>
      <c r="N665" s="31"/>
      <c r="O665" s="31"/>
      <c r="P665" s="31"/>
    </row>
    <row r="666" spans="13:16">
      <c r="M666" s="31"/>
      <c r="N666" s="31"/>
      <c r="O666" s="31"/>
      <c r="P666" s="31"/>
    </row>
    <row r="667" spans="13:16">
      <c r="M667" s="31"/>
      <c r="N667" s="31"/>
      <c r="O667" s="31"/>
      <c r="P667" s="31"/>
    </row>
    <row r="668" spans="13:16">
      <c r="M668" s="31"/>
      <c r="N668" s="31"/>
      <c r="O668" s="31"/>
      <c r="P668" s="31"/>
    </row>
    <row r="669" spans="13:16">
      <c r="M669" s="31"/>
      <c r="N669" s="31"/>
      <c r="O669" s="31"/>
      <c r="P669" s="31"/>
    </row>
    <row r="670" spans="13:16">
      <c r="M670" s="31"/>
      <c r="N670" s="31"/>
      <c r="O670" s="31"/>
      <c r="P670" s="31"/>
    </row>
    <row r="671" spans="13:16">
      <c r="M671" s="31"/>
      <c r="N671" s="31"/>
      <c r="O671" s="31"/>
      <c r="P671" s="31"/>
    </row>
    <row r="672" spans="13:16">
      <c r="M672" s="31"/>
      <c r="N672" s="31"/>
      <c r="O672" s="31"/>
      <c r="P672" s="31"/>
    </row>
    <row r="673" spans="13:16">
      <c r="M673" s="31"/>
      <c r="N673" s="31"/>
      <c r="O673" s="31"/>
      <c r="P673" s="31"/>
    </row>
    <row r="674" spans="13:16">
      <c r="M674" s="31"/>
      <c r="N674" s="31"/>
      <c r="O674" s="31"/>
      <c r="P674" s="31"/>
    </row>
    <row r="675" spans="13:16">
      <c r="M675" s="31"/>
      <c r="N675" s="31"/>
      <c r="O675" s="31"/>
      <c r="P675" s="31"/>
    </row>
    <row r="676" spans="13:16">
      <c r="M676" s="31"/>
      <c r="N676" s="31"/>
      <c r="O676" s="31"/>
      <c r="P676" s="31"/>
    </row>
    <row r="677" spans="13:16">
      <c r="M677" s="31"/>
      <c r="N677" s="31"/>
      <c r="O677" s="31"/>
      <c r="P677" s="31"/>
    </row>
    <row r="678" spans="13:16">
      <c r="M678" s="31"/>
      <c r="N678" s="31"/>
      <c r="O678" s="31"/>
      <c r="P678" s="31"/>
    </row>
    <row r="679" spans="13:16">
      <c r="M679" s="31"/>
      <c r="N679" s="31"/>
      <c r="O679" s="31"/>
      <c r="P679" s="31"/>
    </row>
    <row r="680" spans="13:16">
      <c r="M680" s="31"/>
      <c r="N680" s="31"/>
      <c r="O680" s="31"/>
      <c r="P680" s="31"/>
    </row>
    <row r="681" spans="13:16">
      <c r="M681" s="31"/>
      <c r="N681" s="31"/>
      <c r="O681" s="31"/>
      <c r="P681" s="31"/>
    </row>
    <row r="682" spans="13:16">
      <c r="M682" s="31"/>
      <c r="N682" s="31"/>
      <c r="O682" s="31"/>
      <c r="P682" s="31"/>
    </row>
    <row r="683" spans="13:16">
      <c r="M683" s="31"/>
      <c r="N683" s="31"/>
      <c r="O683" s="31"/>
      <c r="P683" s="31"/>
    </row>
    <row r="684" spans="13:16">
      <c r="M684" s="31"/>
      <c r="N684" s="31"/>
      <c r="O684" s="31"/>
      <c r="P684" s="31"/>
    </row>
    <row r="685" spans="13:16">
      <c r="M685" s="31"/>
      <c r="N685" s="31"/>
      <c r="O685" s="31"/>
      <c r="P685" s="31"/>
    </row>
    <row r="686" spans="13:16">
      <c r="M686" s="31"/>
      <c r="N686" s="31"/>
      <c r="O686" s="31"/>
      <c r="P686" s="31"/>
    </row>
    <row r="687" spans="13:16">
      <c r="M687" s="31"/>
      <c r="N687" s="31"/>
      <c r="O687" s="31"/>
      <c r="P687" s="31"/>
    </row>
    <row r="688" spans="13:16">
      <c r="M688" s="31"/>
      <c r="N688" s="31"/>
      <c r="O688" s="31"/>
      <c r="P688" s="31"/>
    </row>
    <row r="689" spans="13:16">
      <c r="M689" s="31"/>
      <c r="N689" s="31"/>
      <c r="O689" s="31"/>
      <c r="P689" s="31"/>
    </row>
    <row r="690" spans="13:16">
      <c r="M690" s="31"/>
      <c r="N690" s="31"/>
      <c r="O690" s="31"/>
      <c r="P690" s="31"/>
    </row>
    <row r="691" spans="13:16">
      <c r="M691" s="31"/>
      <c r="N691" s="31"/>
      <c r="O691" s="31"/>
      <c r="P691" s="31"/>
    </row>
    <row r="692" spans="13:16">
      <c r="M692" s="31"/>
      <c r="N692" s="31"/>
      <c r="O692" s="31"/>
      <c r="P692" s="31"/>
    </row>
    <row r="693" spans="13:16">
      <c r="M693" s="31"/>
      <c r="N693" s="31"/>
      <c r="O693" s="31"/>
      <c r="P693" s="31"/>
    </row>
    <row r="694" spans="13:16">
      <c r="M694" s="31"/>
      <c r="N694" s="31"/>
      <c r="O694" s="31"/>
      <c r="P694" s="31"/>
    </row>
    <row r="695" spans="13:16">
      <c r="M695" s="31"/>
      <c r="N695" s="31"/>
      <c r="O695" s="31"/>
      <c r="P695" s="31"/>
    </row>
    <row r="696" spans="13:16">
      <c r="M696" s="31"/>
      <c r="N696" s="31"/>
      <c r="O696" s="31"/>
      <c r="P696" s="31"/>
    </row>
    <row r="697" spans="13:16">
      <c r="M697" s="31"/>
      <c r="N697" s="31"/>
      <c r="O697" s="31"/>
      <c r="P697" s="31"/>
    </row>
    <row r="698" spans="13:16">
      <c r="M698" s="31"/>
      <c r="N698" s="31"/>
      <c r="O698" s="31"/>
      <c r="P698" s="31"/>
    </row>
    <row r="699" spans="13:16">
      <c r="M699" s="31"/>
      <c r="N699" s="31"/>
      <c r="O699" s="31"/>
      <c r="P699" s="31"/>
    </row>
    <row r="700" spans="13:16">
      <c r="M700" s="31"/>
      <c r="N700" s="31"/>
      <c r="O700" s="31"/>
      <c r="P700" s="31"/>
    </row>
    <row r="701" spans="13:16">
      <c r="M701" s="31"/>
      <c r="N701" s="31"/>
      <c r="O701" s="31"/>
      <c r="P701" s="31"/>
    </row>
    <row r="702" spans="13:16">
      <c r="M702" s="31"/>
      <c r="N702" s="31"/>
      <c r="O702" s="31"/>
      <c r="P702" s="31"/>
    </row>
    <row r="703" spans="13:16">
      <c r="M703" s="31"/>
      <c r="N703" s="31"/>
      <c r="O703" s="31"/>
      <c r="P703" s="31"/>
    </row>
    <row r="704" spans="13:16">
      <c r="M704" s="31"/>
      <c r="N704" s="31"/>
      <c r="O704" s="31"/>
      <c r="P704" s="31"/>
    </row>
    <row r="705" spans="13:16">
      <c r="M705" s="31"/>
      <c r="N705" s="31"/>
      <c r="O705" s="31"/>
      <c r="P705" s="31"/>
    </row>
    <row r="706" spans="13:16">
      <c r="M706" s="31"/>
      <c r="N706" s="31"/>
      <c r="O706" s="31"/>
      <c r="P706" s="31"/>
    </row>
    <row r="707" spans="13:16">
      <c r="M707" s="31"/>
      <c r="N707" s="31"/>
      <c r="O707" s="31"/>
      <c r="P707" s="31"/>
    </row>
    <row r="708" spans="13:16">
      <c r="M708" s="31"/>
      <c r="N708" s="31"/>
      <c r="O708" s="31"/>
      <c r="P708" s="31"/>
    </row>
    <row r="709" spans="13:16">
      <c r="M709" s="31"/>
      <c r="N709" s="31"/>
      <c r="O709" s="31"/>
      <c r="P709" s="31"/>
    </row>
    <row r="710" spans="13:16">
      <c r="M710" s="31"/>
      <c r="N710" s="31"/>
      <c r="O710" s="31"/>
      <c r="P710" s="31"/>
    </row>
    <row r="711" spans="13:16">
      <c r="M711" s="31"/>
      <c r="N711" s="31"/>
      <c r="O711" s="31"/>
      <c r="P711" s="31"/>
    </row>
    <row r="712" spans="13:16">
      <c r="M712" s="31"/>
      <c r="N712" s="31"/>
      <c r="O712" s="31"/>
      <c r="P712" s="31"/>
    </row>
    <row r="713" spans="13:16">
      <c r="M713" s="31"/>
      <c r="N713" s="31"/>
      <c r="O713" s="31"/>
      <c r="P713" s="31"/>
    </row>
    <row r="714" spans="13:16">
      <c r="M714" s="31"/>
      <c r="N714" s="31"/>
      <c r="O714" s="31"/>
      <c r="P714" s="31"/>
    </row>
    <row r="715" spans="13:16">
      <c r="M715" s="31"/>
      <c r="N715" s="31"/>
      <c r="O715" s="31"/>
      <c r="P715" s="31"/>
    </row>
    <row r="716" spans="13:16">
      <c r="M716" s="31"/>
      <c r="N716" s="31"/>
      <c r="O716" s="31"/>
      <c r="P716" s="31"/>
    </row>
    <row r="717" spans="13:16">
      <c r="M717" s="31"/>
      <c r="N717" s="31"/>
      <c r="O717" s="31"/>
      <c r="P717" s="31"/>
    </row>
    <row r="718" spans="13:16">
      <c r="M718" s="31"/>
      <c r="N718" s="31"/>
      <c r="O718" s="31"/>
      <c r="P718" s="31"/>
    </row>
    <row r="719" spans="13:16">
      <c r="M719" s="31"/>
      <c r="N719" s="31"/>
      <c r="O719" s="31"/>
      <c r="P719" s="31"/>
    </row>
    <row r="720" spans="13:16">
      <c r="M720" s="31"/>
      <c r="N720" s="31"/>
      <c r="O720" s="31"/>
      <c r="P720" s="31"/>
    </row>
    <row r="721" spans="13:16">
      <c r="M721" s="31"/>
      <c r="N721" s="31"/>
      <c r="O721" s="31"/>
      <c r="P721" s="31"/>
    </row>
    <row r="722" spans="13:16">
      <c r="M722" s="31"/>
      <c r="N722" s="31"/>
      <c r="O722" s="31"/>
      <c r="P722" s="31"/>
    </row>
    <row r="723" spans="13:16">
      <c r="M723" s="31"/>
      <c r="N723" s="31"/>
      <c r="O723" s="31"/>
      <c r="P723" s="31"/>
    </row>
    <row r="724" spans="13:16">
      <c r="M724" s="31"/>
      <c r="N724" s="31"/>
      <c r="O724" s="31"/>
      <c r="P724" s="31"/>
    </row>
    <row r="725" spans="13:16">
      <c r="M725" s="31"/>
      <c r="N725" s="31"/>
      <c r="O725" s="31"/>
      <c r="P725" s="31"/>
    </row>
    <row r="726" spans="13:16">
      <c r="M726" s="31"/>
      <c r="N726" s="31"/>
      <c r="O726" s="31"/>
      <c r="P726" s="31"/>
    </row>
    <row r="727" spans="13:16">
      <c r="M727" s="31"/>
      <c r="N727" s="31"/>
      <c r="O727" s="31"/>
      <c r="P727" s="31"/>
    </row>
    <row r="728" spans="13:16">
      <c r="M728" s="31"/>
      <c r="N728" s="31"/>
      <c r="O728" s="31"/>
      <c r="P728" s="31"/>
    </row>
    <row r="729" spans="13:16">
      <c r="M729" s="31"/>
      <c r="N729" s="31"/>
      <c r="O729" s="31"/>
      <c r="P729" s="31"/>
    </row>
    <row r="730" spans="13:16">
      <c r="M730" s="31"/>
      <c r="N730" s="31"/>
      <c r="O730" s="31"/>
      <c r="P730" s="31"/>
    </row>
    <row r="731" spans="13:16">
      <c r="M731" s="31"/>
      <c r="N731" s="31"/>
      <c r="O731" s="31"/>
      <c r="P731" s="31"/>
    </row>
    <row r="732" spans="13:16">
      <c r="M732" s="31"/>
      <c r="N732" s="31"/>
      <c r="O732" s="31"/>
      <c r="P732" s="31"/>
    </row>
    <row r="733" spans="13:16">
      <c r="M733" s="31"/>
      <c r="N733" s="31"/>
      <c r="O733" s="31"/>
      <c r="P733" s="31"/>
    </row>
    <row r="734" spans="13:16">
      <c r="M734" s="31"/>
      <c r="N734" s="31"/>
      <c r="O734" s="31"/>
      <c r="P734" s="31"/>
    </row>
    <row r="735" spans="13:16">
      <c r="M735" s="31"/>
      <c r="N735" s="31"/>
      <c r="O735" s="31"/>
      <c r="P735" s="31"/>
    </row>
    <row r="736" spans="13:16">
      <c r="M736" s="31"/>
      <c r="N736" s="31"/>
      <c r="O736" s="31"/>
      <c r="P736" s="31"/>
    </row>
    <row r="737" spans="13:16">
      <c r="M737" s="31"/>
      <c r="N737" s="31"/>
      <c r="O737" s="31"/>
      <c r="P737" s="31"/>
    </row>
    <row r="738" spans="13:16">
      <c r="M738" s="31"/>
      <c r="N738" s="31"/>
      <c r="O738" s="31"/>
      <c r="P738" s="31"/>
    </row>
    <row r="739" spans="13:16">
      <c r="M739" s="31"/>
      <c r="N739" s="31"/>
      <c r="O739" s="31"/>
      <c r="P739" s="31"/>
    </row>
    <row r="740" spans="13:16">
      <c r="M740" s="31"/>
      <c r="N740" s="31"/>
      <c r="O740" s="31"/>
      <c r="P740" s="31"/>
    </row>
    <row r="741" spans="13:16">
      <c r="M741" s="31"/>
      <c r="N741" s="31"/>
      <c r="O741" s="31"/>
      <c r="P741" s="31"/>
    </row>
    <row r="742" spans="13:16">
      <c r="M742" s="31"/>
      <c r="N742" s="31"/>
      <c r="O742" s="31"/>
      <c r="P742" s="31"/>
    </row>
    <row r="743" spans="13:16">
      <c r="M743" s="31"/>
      <c r="N743" s="31"/>
      <c r="O743" s="31"/>
      <c r="P743" s="31"/>
    </row>
    <row r="744" spans="13:16">
      <c r="M744" s="31"/>
      <c r="N744" s="31"/>
      <c r="O744" s="31"/>
      <c r="P744" s="31"/>
    </row>
    <row r="745" spans="13:16">
      <c r="M745" s="31"/>
      <c r="N745" s="31"/>
      <c r="O745" s="31"/>
      <c r="P745" s="31"/>
    </row>
    <row r="746" spans="13:16">
      <c r="M746" s="31"/>
      <c r="N746" s="31"/>
      <c r="O746" s="31"/>
      <c r="P746" s="31"/>
    </row>
    <row r="747" spans="13:16">
      <c r="M747" s="31"/>
      <c r="N747" s="31"/>
      <c r="O747" s="31"/>
      <c r="P747" s="31"/>
    </row>
    <row r="748" spans="13:16">
      <c r="M748" s="31"/>
      <c r="N748" s="31"/>
      <c r="O748" s="31"/>
      <c r="P748" s="31"/>
    </row>
    <row r="749" spans="13:16">
      <c r="M749" s="31"/>
      <c r="N749" s="31"/>
      <c r="O749" s="31"/>
      <c r="P749" s="31"/>
    </row>
    <row r="750" spans="13:16">
      <c r="M750" s="31"/>
      <c r="N750" s="31"/>
      <c r="O750" s="31"/>
      <c r="P750" s="31"/>
    </row>
    <row r="751" spans="13:16">
      <c r="M751" s="31"/>
      <c r="N751" s="31"/>
      <c r="O751" s="31"/>
      <c r="P751" s="31"/>
    </row>
    <row r="752" spans="13:16">
      <c r="M752" s="31"/>
      <c r="N752" s="31"/>
      <c r="O752" s="31"/>
      <c r="P752" s="31"/>
    </row>
    <row r="753" spans="13:16">
      <c r="M753" s="31"/>
      <c r="N753" s="31"/>
      <c r="O753" s="31"/>
      <c r="P753" s="31"/>
    </row>
    <row r="754" spans="13:16">
      <c r="M754" s="31"/>
      <c r="N754" s="31"/>
      <c r="O754" s="31"/>
      <c r="P754" s="31"/>
    </row>
    <row r="755" spans="13:16">
      <c r="M755" s="31"/>
      <c r="N755" s="31"/>
      <c r="O755" s="31"/>
      <c r="P755" s="31"/>
    </row>
    <row r="756" spans="13:16">
      <c r="M756" s="31"/>
      <c r="N756" s="31"/>
      <c r="O756" s="31"/>
      <c r="P756" s="31"/>
    </row>
    <row r="757" spans="13:16">
      <c r="M757" s="31"/>
      <c r="N757" s="31"/>
      <c r="O757" s="31"/>
      <c r="P757" s="31"/>
    </row>
    <row r="758" spans="13:16">
      <c r="M758" s="31"/>
      <c r="N758" s="31"/>
      <c r="O758" s="31"/>
      <c r="P758" s="31"/>
    </row>
    <row r="759" spans="13:16">
      <c r="M759" s="31"/>
      <c r="N759" s="31"/>
      <c r="O759" s="31"/>
      <c r="P759" s="31"/>
    </row>
    <row r="760" spans="13:16">
      <c r="M760" s="31"/>
      <c r="N760" s="31"/>
      <c r="O760" s="31"/>
      <c r="P760" s="31"/>
    </row>
    <row r="761" spans="13:16">
      <c r="M761" s="31"/>
      <c r="N761" s="31"/>
      <c r="O761" s="31"/>
      <c r="P761" s="31"/>
    </row>
    <row r="762" spans="13:16">
      <c r="M762" s="31"/>
      <c r="N762" s="31"/>
      <c r="O762" s="31"/>
      <c r="P762" s="31"/>
    </row>
    <row r="763" spans="13:16">
      <c r="M763" s="31"/>
      <c r="N763" s="31"/>
      <c r="O763" s="31"/>
      <c r="P763" s="31"/>
    </row>
    <row r="764" spans="13:16">
      <c r="M764" s="31"/>
      <c r="N764" s="31"/>
      <c r="O764" s="31"/>
      <c r="P764" s="31"/>
    </row>
    <row r="765" spans="13:16">
      <c r="M765" s="31"/>
      <c r="N765" s="31"/>
      <c r="O765" s="31"/>
      <c r="P765" s="31"/>
    </row>
    <row r="766" spans="13:16">
      <c r="M766" s="31"/>
      <c r="N766" s="31"/>
      <c r="O766" s="31"/>
      <c r="P766" s="31"/>
    </row>
    <row r="767" spans="13:16">
      <c r="M767" s="31"/>
      <c r="N767" s="31"/>
      <c r="O767" s="31"/>
      <c r="P767" s="31"/>
    </row>
    <row r="768" spans="13:16">
      <c r="M768" s="31"/>
      <c r="N768" s="31"/>
      <c r="O768" s="31"/>
      <c r="P768" s="31"/>
    </row>
    <row r="769" spans="13:16">
      <c r="M769" s="31"/>
      <c r="N769" s="31"/>
      <c r="O769" s="31"/>
      <c r="P769" s="31"/>
    </row>
    <row r="770" spans="13:16">
      <c r="M770" s="31"/>
      <c r="N770" s="31"/>
      <c r="O770" s="31"/>
      <c r="P770" s="31"/>
    </row>
    <row r="771" spans="13:16">
      <c r="M771" s="31"/>
      <c r="N771" s="31"/>
      <c r="O771" s="31"/>
      <c r="P771" s="31"/>
    </row>
    <row r="772" spans="13:16">
      <c r="M772" s="31"/>
      <c r="N772" s="31"/>
      <c r="O772" s="31"/>
      <c r="P772" s="31"/>
    </row>
    <row r="773" spans="13:16">
      <c r="M773" s="31"/>
      <c r="N773" s="31"/>
      <c r="O773" s="31"/>
      <c r="P773" s="31"/>
    </row>
    <row r="774" spans="13:16">
      <c r="M774" s="31"/>
      <c r="N774" s="31"/>
      <c r="O774" s="31"/>
      <c r="P774" s="31"/>
    </row>
    <row r="775" spans="13:16">
      <c r="M775" s="31"/>
      <c r="N775" s="31"/>
      <c r="O775" s="31"/>
      <c r="P775" s="31"/>
    </row>
    <row r="776" spans="13:16">
      <c r="M776" s="31"/>
      <c r="N776" s="31"/>
      <c r="O776" s="31"/>
      <c r="P776" s="31"/>
    </row>
    <row r="777" spans="13:16">
      <c r="M777" s="31"/>
      <c r="N777" s="31"/>
      <c r="O777" s="31"/>
      <c r="P777" s="31"/>
    </row>
    <row r="778" spans="13:16">
      <c r="M778" s="31"/>
      <c r="N778" s="31"/>
      <c r="O778" s="31"/>
      <c r="P778" s="31"/>
    </row>
    <row r="779" spans="13:16">
      <c r="M779" s="31"/>
      <c r="N779" s="31"/>
      <c r="O779" s="31"/>
      <c r="P779" s="31"/>
    </row>
    <row r="780" spans="13:16">
      <c r="M780" s="31"/>
      <c r="N780" s="31"/>
      <c r="O780" s="31"/>
      <c r="P780" s="31"/>
    </row>
    <row r="781" spans="13:16">
      <c r="M781" s="31"/>
      <c r="N781" s="31"/>
      <c r="O781" s="31"/>
      <c r="P781" s="31"/>
    </row>
    <row r="782" spans="13:16">
      <c r="M782" s="31"/>
      <c r="N782" s="31"/>
      <c r="O782" s="31"/>
      <c r="P782" s="31"/>
    </row>
    <row r="783" spans="13:16">
      <c r="M783" s="31"/>
      <c r="N783" s="31"/>
      <c r="O783" s="31"/>
      <c r="P783" s="31"/>
    </row>
    <row r="784" spans="13:16">
      <c r="M784" s="31"/>
      <c r="N784" s="31"/>
      <c r="O784" s="31"/>
      <c r="P784" s="31"/>
    </row>
    <row r="785" spans="13:16">
      <c r="M785" s="31"/>
      <c r="N785" s="31"/>
      <c r="O785" s="31"/>
      <c r="P785" s="31"/>
    </row>
    <row r="786" spans="13:16">
      <c r="M786" s="31"/>
      <c r="N786" s="31"/>
      <c r="O786" s="31"/>
      <c r="P786" s="31"/>
    </row>
    <row r="787" spans="13:16">
      <c r="M787" s="31"/>
      <c r="N787" s="31"/>
      <c r="O787" s="31"/>
      <c r="P787" s="31"/>
    </row>
    <row r="788" spans="13:16">
      <c r="M788" s="31"/>
      <c r="N788" s="31"/>
      <c r="O788" s="31"/>
      <c r="P788" s="31"/>
    </row>
    <row r="789" spans="13:16">
      <c r="M789" s="31"/>
      <c r="N789" s="31"/>
      <c r="O789" s="31"/>
      <c r="P789" s="31"/>
    </row>
    <row r="790" spans="13:16">
      <c r="M790" s="31"/>
      <c r="N790" s="31"/>
      <c r="O790" s="31"/>
      <c r="P790" s="31"/>
    </row>
    <row r="791" spans="13:16">
      <c r="M791" s="31"/>
      <c r="N791" s="31"/>
      <c r="O791" s="31"/>
      <c r="P791" s="31"/>
    </row>
    <row r="792" spans="13:16">
      <c r="M792" s="31"/>
      <c r="N792" s="31"/>
      <c r="O792" s="31"/>
      <c r="P792" s="31"/>
    </row>
    <row r="793" spans="13:16">
      <c r="M793" s="31"/>
      <c r="N793" s="31"/>
      <c r="O793" s="31"/>
      <c r="P793" s="31"/>
    </row>
    <row r="794" spans="13:16">
      <c r="M794" s="31"/>
      <c r="N794" s="31"/>
      <c r="O794" s="31"/>
      <c r="P794" s="31"/>
    </row>
    <row r="795" spans="13:16">
      <c r="M795" s="31"/>
      <c r="N795" s="31"/>
      <c r="O795" s="31"/>
      <c r="P795" s="31"/>
    </row>
    <row r="796" spans="13:16">
      <c r="M796" s="31"/>
      <c r="N796" s="31"/>
      <c r="O796" s="31"/>
      <c r="P796" s="31"/>
    </row>
    <row r="797" spans="13:16">
      <c r="M797" s="31"/>
      <c r="N797" s="31"/>
      <c r="O797" s="31"/>
      <c r="P797" s="31"/>
    </row>
    <row r="798" spans="13:16">
      <c r="M798" s="31"/>
      <c r="N798" s="31"/>
      <c r="O798" s="31"/>
      <c r="P798" s="31"/>
    </row>
    <row r="799" spans="13:16">
      <c r="M799" s="31"/>
      <c r="N799" s="31"/>
      <c r="O799" s="31"/>
      <c r="P799" s="31"/>
    </row>
    <row r="800" spans="13:16">
      <c r="M800" s="31"/>
      <c r="N800" s="31"/>
      <c r="O800" s="31"/>
      <c r="P800" s="31"/>
    </row>
    <row r="801" spans="13:16">
      <c r="M801" s="31"/>
      <c r="N801" s="31"/>
      <c r="O801" s="31"/>
      <c r="P801" s="31"/>
    </row>
    <row r="802" spans="13:16">
      <c r="M802" s="31"/>
      <c r="N802" s="31"/>
      <c r="O802" s="31"/>
      <c r="P802" s="31"/>
    </row>
    <row r="803" spans="13:16">
      <c r="M803" s="31"/>
      <c r="N803" s="31"/>
      <c r="O803" s="31"/>
      <c r="P803" s="31"/>
    </row>
    <row r="804" spans="13:16">
      <c r="M804" s="31"/>
      <c r="N804" s="31"/>
      <c r="O804" s="31"/>
      <c r="P804" s="31"/>
    </row>
    <row r="805" spans="13:16">
      <c r="M805" s="31"/>
      <c r="N805" s="31"/>
      <c r="O805" s="31"/>
      <c r="P805" s="31"/>
    </row>
    <row r="806" spans="13:16">
      <c r="M806" s="31"/>
      <c r="N806" s="31"/>
      <c r="O806" s="31"/>
      <c r="P806" s="31"/>
    </row>
    <row r="807" spans="13:16">
      <c r="M807" s="31"/>
      <c r="N807" s="31"/>
      <c r="O807" s="31"/>
      <c r="P807" s="31"/>
    </row>
    <row r="808" spans="13:16">
      <c r="M808" s="31"/>
      <c r="N808" s="31"/>
      <c r="O808" s="31"/>
      <c r="P808" s="31"/>
    </row>
    <row r="809" spans="13:16">
      <c r="M809" s="31"/>
      <c r="N809" s="31"/>
      <c r="O809" s="31"/>
      <c r="P809" s="31"/>
    </row>
    <row r="810" spans="13:16">
      <c r="M810" s="31"/>
      <c r="N810" s="31"/>
      <c r="O810" s="31"/>
      <c r="P810" s="31"/>
    </row>
    <row r="811" spans="13:16">
      <c r="M811" s="31"/>
      <c r="N811" s="31"/>
      <c r="O811" s="31"/>
      <c r="P811" s="31"/>
    </row>
    <row r="812" spans="13:16">
      <c r="M812" s="31"/>
      <c r="N812" s="31"/>
      <c r="O812" s="31"/>
      <c r="P812" s="31"/>
    </row>
    <row r="813" spans="13:16">
      <c r="M813" s="31"/>
      <c r="N813" s="31"/>
      <c r="O813" s="31"/>
      <c r="P813" s="31"/>
    </row>
    <row r="814" spans="13:16">
      <c r="M814" s="31"/>
      <c r="N814" s="31"/>
      <c r="O814" s="31"/>
      <c r="P814" s="31"/>
    </row>
    <row r="815" spans="13:16">
      <c r="M815" s="31"/>
      <c r="N815" s="31"/>
      <c r="O815" s="31"/>
      <c r="P815" s="31"/>
    </row>
    <row r="816" spans="13:16">
      <c r="M816" s="31"/>
      <c r="N816" s="31"/>
      <c r="O816" s="31"/>
      <c r="P816" s="31"/>
    </row>
    <row r="817" spans="13:16">
      <c r="M817" s="31"/>
      <c r="N817" s="31"/>
      <c r="O817" s="31"/>
      <c r="P817" s="31"/>
    </row>
    <row r="818" spans="13:16">
      <c r="M818" s="31"/>
      <c r="N818" s="31"/>
      <c r="O818" s="31"/>
      <c r="P818" s="31"/>
    </row>
    <row r="819" spans="13:16">
      <c r="M819" s="31"/>
      <c r="N819" s="31"/>
      <c r="O819" s="31"/>
      <c r="P819" s="31"/>
    </row>
    <row r="820" spans="13:16">
      <c r="M820" s="31"/>
      <c r="N820" s="31"/>
      <c r="O820" s="31"/>
      <c r="P820" s="31"/>
    </row>
    <row r="821" spans="13:16">
      <c r="M821" s="31"/>
      <c r="N821" s="31"/>
      <c r="O821" s="31"/>
      <c r="P821" s="31"/>
    </row>
    <row r="822" spans="13:16">
      <c r="M822" s="31"/>
      <c r="N822" s="31"/>
      <c r="O822" s="31"/>
      <c r="P822" s="31"/>
    </row>
    <row r="823" spans="13:16">
      <c r="M823" s="31"/>
      <c r="N823" s="31"/>
      <c r="O823" s="31"/>
      <c r="P823" s="31"/>
    </row>
    <row r="824" spans="13:16">
      <c r="M824" s="31"/>
      <c r="N824" s="31"/>
      <c r="O824" s="31"/>
      <c r="P824" s="31"/>
    </row>
    <row r="825" spans="13:16">
      <c r="M825" s="31"/>
      <c r="N825" s="31"/>
      <c r="O825" s="31"/>
      <c r="P825" s="31"/>
    </row>
    <row r="826" spans="13:16">
      <c r="M826" s="31"/>
      <c r="N826" s="31"/>
      <c r="O826" s="31"/>
      <c r="P826" s="31"/>
    </row>
    <row r="827" spans="13:16">
      <c r="M827" s="31"/>
      <c r="N827" s="31"/>
      <c r="O827" s="31"/>
      <c r="P827" s="31"/>
    </row>
    <row r="828" spans="13:16">
      <c r="M828" s="31"/>
      <c r="N828" s="31"/>
      <c r="O828" s="31"/>
      <c r="P828" s="31"/>
    </row>
    <row r="829" spans="13:16">
      <c r="M829" s="31"/>
      <c r="N829" s="31"/>
      <c r="O829" s="31"/>
      <c r="P829" s="31"/>
    </row>
    <row r="830" spans="13:16">
      <c r="M830" s="31"/>
      <c r="N830" s="31"/>
      <c r="O830" s="31"/>
      <c r="P830" s="31"/>
    </row>
    <row r="831" spans="13:16">
      <c r="M831" s="31"/>
      <c r="N831" s="31"/>
      <c r="O831" s="31"/>
      <c r="P831" s="31"/>
    </row>
    <row r="832" spans="13:16">
      <c r="M832" s="31"/>
      <c r="N832" s="31"/>
      <c r="O832" s="31"/>
      <c r="P832" s="31"/>
    </row>
    <row r="833" spans="13:16">
      <c r="M833" s="31"/>
      <c r="N833" s="31"/>
      <c r="O833" s="31"/>
      <c r="P833" s="31"/>
    </row>
    <row r="834" spans="13:16">
      <c r="M834" s="31"/>
      <c r="N834" s="31"/>
      <c r="O834" s="31"/>
      <c r="P834" s="31"/>
    </row>
    <row r="835" spans="13:16">
      <c r="M835" s="31"/>
      <c r="N835" s="31"/>
      <c r="O835" s="31"/>
      <c r="P835" s="31"/>
    </row>
    <row r="836" spans="13:16">
      <c r="M836" s="31"/>
      <c r="N836" s="31"/>
      <c r="O836" s="31"/>
      <c r="P836" s="31"/>
    </row>
    <row r="837" spans="13:16">
      <c r="M837" s="31"/>
      <c r="N837" s="31"/>
      <c r="O837" s="31"/>
      <c r="P837" s="31"/>
    </row>
    <row r="838" spans="13:16">
      <c r="M838" s="31"/>
      <c r="N838" s="31"/>
      <c r="O838" s="31"/>
      <c r="P838" s="31"/>
    </row>
    <row r="839" spans="13:16">
      <c r="M839" s="31"/>
      <c r="N839" s="31"/>
      <c r="O839" s="31"/>
      <c r="P839" s="31"/>
    </row>
    <row r="840" spans="13:16">
      <c r="M840" s="31"/>
      <c r="N840" s="31"/>
      <c r="O840" s="31"/>
      <c r="P840" s="31"/>
    </row>
    <row r="841" spans="13:16">
      <c r="M841" s="31"/>
      <c r="N841" s="31"/>
      <c r="O841" s="31"/>
      <c r="P841" s="31"/>
    </row>
    <row r="842" spans="13:16">
      <c r="M842" s="31"/>
      <c r="N842" s="31"/>
      <c r="O842" s="31"/>
      <c r="P842" s="31"/>
    </row>
    <row r="843" spans="13:16">
      <c r="M843" s="31"/>
      <c r="N843" s="31"/>
      <c r="O843" s="31"/>
      <c r="P843" s="31"/>
    </row>
    <row r="844" spans="13:16">
      <c r="M844" s="31"/>
      <c r="N844" s="31"/>
      <c r="O844" s="31"/>
      <c r="P844" s="31"/>
    </row>
    <row r="845" spans="13:16">
      <c r="M845" s="31"/>
      <c r="N845" s="31"/>
      <c r="O845" s="31"/>
      <c r="P845" s="31"/>
    </row>
    <row r="846" spans="13:16">
      <c r="M846" s="31"/>
      <c r="N846" s="31"/>
      <c r="O846" s="31"/>
      <c r="P846" s="31"/>
    </row>
    <row r="847" spans="13:16">
      <c r="M847" s="31"/>
      <c r="N847" s="31"/>
      <c r="O847" s="31"/>
      <c r="P847" s="31"/>
    </row>
    <row r="848" spans="13:16">
      <c r="M848" s="31"/>
      <c r="N848" s="31"/>
      <c r="O848" s="31"/>
      <c r="P848" s="31"/>
    </row>
    <row r="849" spans="13:16">
      <c r="M849" s="31"/>
      <c r="N849" s="31"/>
      <c r="O849" s="31"/>
      <c r="P849" s="31"/>
    </row>
    <row r="850" spans="13:16">
      <c r="M850" s="31"/>
      <c r="N850" s="31"/>
      <c r="O850" s="31"/>
      <c r="P850" s="31"/>
    </row>
    <row r="851" spans="13:16">
      <c r="M851" s="31"/>
      <c r="N851" s="31"/>
      <c r="O851" s="31"/>
      <c r="P851" s="31"/>
    </row>
    <row r="852" spans="13:16">
      <c r="M852" s="31"/>
      <c r="N852" s="31"/>
      <c r="O852" s="31"/>
      <c r="P852" s="31"/>
    </row>
    <row r="853" spans="13:16">
      <c r="M853" s="31"/>
      <c r="N853" s="31"/>
      <c r="O853" s="31"/>
      <c r="P853" s="31"/>
    </row>
    <row r="854" spans="13:16">
      <c r="M854" s="31"/>
      <c r="N854" s="31"/>
      <c r="O854" s="31"/>
      <c r="P854" s="31"/>
    </row>
    <row r="855" spans="13:16">
      <c r="M855" s="31"/>
      <c r="N855" s="31"/>
      <c r="O855" s="31"/>
      <c r="P855" s="31"/>
    </row>
    <row r="856" spans="13:16">
      <c r="M856" s="31"/>
      <c r="N856" s="31"/>
      <c r="O856" s="31"/>
      <c r="P856" s="31"/>
    </row>
    <row r="857" spans="13:16">
      <c r="M857" s="31"/>
      <c r="N857" s="31"/>
      <c r="O857" s="31"/>
      <c r="P857" s="31"/>
    </row>
    <row r="858" spans="13:16">
      <c r="M858" s="31"/>
      <c r="N858" s="31"/>
      <c r="O858" s="31"/>
      <c r="P858" s="31"/>
    </row>
    <row r="859" spans="13:16">
      <c r="M859" s="31"/>
      <c r="N859" s="31"/>
      <c r="O859" s="31"/>
      <c r="P859" s="31"/>
    </row>
    <row r="860" spans="13:16">
      <c r="M860" s="31"/>
      <c r="N860" s="31"/>
      <c r="O860" s="31"/>
      <c r="P860" s="31"/>
    </row>
    <row r="861" spans="13:16">
      <c r="M861" s="31"/>
      <c r="N861" s="31"/>
      <c r="O861" s="31"/>
      <c r="P861" s="31"/>
    </row>
    <row r="862" spans="13:16">
      <c r="M862" s="31"/>
      <c r="N862" s="31"/>
      <c r="O862" s="31"/>
      <c r="P862" s="31"/>
    </row>
    <row r="863" spans="13:16">
      <c r="M863" s="31"/>
      <c r="N863" s="31"/>
      <c r="O863" s="31"/>
      <c r="P863" s="31"/>
    </row>
    <row r="864" spans="13:16">
      <c r="M864" s="31"/>
      <c r="N864" s="31"/>
      <c r="O864" s="31"/>
      <c r="P864" s="31"/>
    </row>
    <row r="865" spans="13:16">
      <c r="M865" s="31"/>
      <c r="N865" s="31"/>
      <c r="O865" s="31"/>
      <c r="P865" s="31"/>
    </row>
    <row r="866" spans="13:16">
      <c r="M866" s="31"/>
      <c r="N866" s="31"/>
      <c r="O866" s="31"/>
      <c r="P866" s="31"/>
    </row>
    <row r="867" spans="13:16">
      <c r="M867" s="31"/>
      <c r="N867" s="31"/>
      <c r="O867" s="31"/>
      <c r="P867" s="31"/>
    </row>
    <row r="868" spans="13:16">
      <c r="M868" s="31"/>
      <c r="N868" s="31"/>
      <c r="O868" s="31"/>
      <c r="P868" s="31"/>
    </row>
    <row r="869" spans="13:16">
      <c r="M869" s="31"/>
      <c r="N869" s="31"/>
      <c r="O869" s="31"/>
      <c r="P869" s="31"/>
    </row>
    <row r="870" spans="13:16">
      <c r="M870" s="31"/>
      <c r="N870" s="31"/>
      <c r="O870" s="31"/>
      <c r="P870" s="31"/>
    </row>
    <row r="871" spans="13:16">
      <c r="M871" s="31"/>
      <c r="N871" s="31"/>
      <c r="O871" s="31"/>
      <c r="P871" s="31"/>
    </row>
    <row r="872" spans="13:16">
      <c r="M872" s="31"/>
      <c r="N872" s="31"/>
      <c r="O872" s="31"/>
      <c r="P872" s="31"/>
    </row>
    <row r="873" spans="13:16">
      <c r="M873" s="31"/>
      <c r="N873" s="31"/>
      <c r="O873" s="31"/>
      <c r="P873" s="31"/>
    </row>
    <row r="874" spans="13:16">
      <c r="M874" s="31"/>
      <c r="N874" s="31"/>
      <c r="O874" s="31"/>
      <c r="P874" s="31"/>
    </row>
    <row r="875" spans="13:16">
      <c r="M875" s="31"/>
      <c r="N875" s="31"/>
      <c r="O875" s="31"/>
      <c r="P875" s="31"/>
    </row>
    <row r="876" spans="13:16">
      <c r="M876" s="31"/>
      <c r="N876" s="31"/>
      <c r="O876" s="31"/>
      <c r="P876" s="31"/>
    </row>
    <row r="877" spans="13:16">
      <c r="M877" s="31"/>
      <c r="N877" s="31"/>
      <c r="O877" s="31"/>
      <c r="P877" s="31"/>
    </row>
    <row r="878" spans="13:16">
      <c r="M878" s="31"/>
      <c r="N878" s="31"/>
      <c r="O878" s="31"/>
      <c r="P878" s="31"/>
    </row>
    <row r="879" spans="13:16">
      <c r="M879" s="31"/>
      <c r="N879" s="31"/>
      <c r="O879" s="31"/>
      <c r="P879" s="31"/>
    </row>
    <row r="880" spans="13:16">
      <c r="M880" s="31"/>
      <c r="N880" s="31"/>
      <c r="O880" s="31"/>
      <c r="P880" s="31"/>
    </row>
    <row r="881" spans="13:16">
      <c r="M881" s="31"/>
      <c r="N881" s="31"/>
      <c r="O881" s="31"/>
      <c r="P881" s="31"/>
    </row>
    <row r="882" spans="13:16">
      <c r="M882" s="31"/>
      <c r="N882" s="31"/>
      <c r="O882" s="31"/>
      <c r="P882" s="31"/>
    </row>
    <row r="883" spans="13:16">
      <c r="M883" s="31"/>
      <c r="N883" s="31"/>
      <c r="O883" s="31"/>
      <c r="P883" s="31"/>
    </row>
    <row r="884" spans="13:16">
      <c r="M884" s="31"/>
      <c r="N884" s="31"/>
      <c r="O884" s="31"/>
      <c r="P884" s="31"/>
    </row>
    <row r="885" spans="13:16">
      <c r="M885" s="31"/>
      <c r="N885" s="31"/>
      <c r="O885" s="31"/>
      <c r="P885" s="31"/>
    </row>
    <row r="886" spans="13:16">
      <c r="M886" s="31"/>
      <c r="N886" s="31"/>
      <c r="O886" s="31"/>
      <c r="P886" s="31"/>
    </row>
    <row r="887" spans="13:16">
      <c r="M887" s="31"/>
      <c r="N887" s="31"/>
      <c r="O887" s="31"/>
      <c r="P887" s="31"/>
    </row>
    <row r="888" spans="13:16">
      <c r="M888" s="31"/>
      <c r="N888" s="31"/>
      <c r="O888" s="31"/>
      <c r="P888" s="31"/>
    </row>
    <row r="889" spans="13:16">
      <c r="M889" s="31"/>
      <c r="N889" s="31"/>
      <c r="O889" s="31"/>
      <c r="P889" s="31"/>
    </row>
    <row r="890" spans="13:16">
      <c r="M890" s="31"/>
      <c r="N890" s="31"/>
      <c r="O890" s="31"/>
      <c r="P890" s="31"/>
    </row>
    <row r="891" spans="13:16">
      <c r="M891" s="31"/>
      <c r="N891" s="31"/>
      <c r="O891" s="31"/>
      <c r="P891" s="31"/>
    </row>
    <row r="892" spans="13:16">
      <c r="M892" s="31"/>
      <c r="N892" s="31"/>
      <c r="O892" s="31"/>
      <c r="P892" s="31"/>
    </row>
    <row r="893" spans="13:16">
      <c r="M893" s="31"/>
      <c r="N893" s="31"/>
      <c r="O893" s="31"/>
      <c r="P893" s="31"/>
    </row>
    <row r="894" spans="13:16">
      <c r="M894" s="31"/>
      <c r="N894" s="31"/>
      <c r="O894" s="31"/>
      <c r="P894" s="31"/>
    </row>
    <row r="895" spans="13:16">
      <c r="M895" s="31"/>
      <c r="N895" s="31"/>
      <c r="O895" s="31"/>
      <c r="P895" s="31"/>
    </row>
    <row r="896" spans="13:16">
      <c r="M896" s="31"/>
      <c r="N896" s="31"/>
      <c r="O896" s="31"/>
      <c r="P896" s="31"/>
    </row>
    <row r="897" spans="13:16">
      <c r="M897" s="31"/>
      <c r="N897" s="31"/>
      <c r="O897" s="31"/>
      <c r="P897" s="31"/>
    </row>
    <row r="898" spans="13:16">
      <c r="M898" s="31"/>
      <c r="N898" s="31"/>
      <c r="O898" s="31"/>
      <c r="P898" s="31"/>
    </row>
    <row r="899" spans="13:16">
      <c r="M899" s="31"/>
      <c r="N899" s="31"/>
      <c r="O899" s="31"/>
      <c r="P899" s="31"/>
    </row>
    <row r="900" spans="13:16">
      <c r="M900" s="31"/>
      <c r="N900" s="31"/>
      <c r="O900" s="31"/>
      <c r="P900" s="31"/>
    </row>
    <row r="901" spans="13:16">
      <c r="M901" s="31"/>
      <c r="N901" s="31"/>
      <c r="O901" s="31"/>
      <c r="P901" s="31"/>
    </row>
    <row r="902" spans="13:16">
      <c r="M902" s="31"/>
      <c r="N902" s="31"/>
      <c r="O902" s="31"/>
      <c r="P902" s="31"/>
    </row>
    <row r="903" spans="13:16">
      <c r="M903" s="31"/>
      <c r="N903" s="31"/>
      <c r="O903" s="31"/>
      <c r="P903" s="31"/>
    </row>
    <row r="904" spans="13:16">
      <c r="M904" s="31"/>
      <c r="N904" s="31"/>
      <c r="O904" s="31"/>
      <c r="P904" s="31"/>
    </row>
    <row r="905" spans="13:16">
      <c r="M905" s="31"/>
      <c r="N905" s="31"/>
      <c r="O905" s="31"/>
      <c r="P905" s="31"/>
    </row>
    <row r="906" spans="13:16">
      <c r="M906" s="31"/>
      <c r="N906" s="31"/>
      <c r="O906" s="31"/>
      <c r="P906" s="31"/>
    </row>
    <row r="907" spans="13:16">
      <c r="M907" s="31"/>
      <c r="N907" s="31"/>
      <c r="O907" s="31"/>
      <c r="P907" s="31"/>
    </row>
    <row r="908" spans="13:16">
      <c r="M908" s="31"/>
      <c r="N908" s="31"/>
      <c r="O908" s="31"/>
      <c r="P908" s="31"/>
    </row>
    <row r="909" spans="13:16">
      <c r="M909" s="31"/>
      <c r="N909" s="31"/>
      <c r="O909" s="31"/>
      <c r="P909" s="31"/>
    </row>
    <row r="910" spans="13:16">
      <c r="M910" s="31"/>
      <c r="N910" s="31"/>
      <c r="O910" s="31"/>
      <c r="P910" s="31"/>
    </row>
    <row r="911" spans="13:16">
      <c r="M911" s="31"/>
      <c r="N911" s="31"/>
      <c r="O911" s="31"/>
      <c r="P911" s="31"/>
    </row>
    <row r="912" spans="13:16">
      <c r="M912" s="31"/>
      <c r="N912" s="31"/>
      <c r="O912" s="31"/>
      <c r="P912" s="31"/>
    </row>
    <row r="913" spans="13:16">
      <c r="M913" s="31"/>
      <c r="N913" s="31"/>
      <c r="O913" s="31"/>
      <c r="P913" s="31"/>
    </row>
    <row r="914" spans="13:16">
      <c r="M914" s="31"/>
      <c r="N914" s="31"/>
      <c r="O914" s="31"/>
      <c r="P914" s="31"/>
    </row>
    <row r="915" spans="13:16">
      <c r="M915" s="31"/>
      <c r="N915" s="31"/>
      <c r="O915" s="31"/>
      <c r="P915" s="31"/>
    </row>
    <row r="916" spans="13:16">
      <c r="M916" s="31"/>
      <c r="N916" s="31"/>
      <c r="O916" s="31"/>
      <c r="P916" s="31"/>
    </row>
    <row r="917" spans="13:16">
      <c r="M917" s="31"/>
      <c r="N917" s="31"/>
      <c r="O917" s="31"/>
      <c r="P917" s="31"/>
    </row>
    <row r="918" spans="13:16">
      <c r="M918" s="31"/>
      <c r="N918" s="31"/>
      <c r="O918" s="31"/>
      <c r="P918" s="31"/>
    </row>
    <row r="919" spans="13:16">
      <c r="M919" s="31"/>
      <c r="N919" s="31"/>
      <c r="O919" s="31"/>
      <c r="P919" s="31"/>
    </row>
    <row r="920" spans="13:16">
      <c r="M920" s="31"/>
      <c r="N920" s="31"/>
      <c r="O920" s="31"/>
      <c r="P920" s="31"/>
    </row>
    <row r="921" spans="13:16">
      <c r="M921" s="31"/>
      <c r="N921" s="31"/>
      <c r="O921" s="31"/>
      <c r="P921" s="31"/>
    </row>
    <row r="922" spans="13:16">
      <c r="M922" s="31"/>
      <c r="N922" s="31"/>
      <c r="O922" s="31"/>
      <c r="P922" s="31"/>
    </row>
    <row r="923" spans="13:16">
      <c r="M923" s="31"/>
      <c r="N923" s="31"/>
      <c r="O923" s="31"/>
      <c r="P923" s="31"/>
    </row>
    <row r="924" spans="13:16">
      <c r="M924" s="31"/>
      <c r="N924" s="31"/>
      <c r="O924" s="31"/>
      <c r="P924" s="31"/>
    </row>
    <row r="925" spans="13:16">
      <c r="M925" s="31"/>
      <c r="N925" s="31"/>
      <c r="O925" s="31"/>
      <c r="P925" s="31"/>
    </row>
    <row r="926" spans="13:16">
      <c r="M926" s="31"/>
      <c r="N926" s="31"/>
      <c r="O926" s="31"/>
      <c r="P926" s="31"/>
    </row>
    <row r="927" spans="13:16">
      <c r="M927" s="31"/>
      <c r="N927" s="31"/>
      <c r="O927" s="31"/>
      <c r="P927" s="31"/>
    </row>
    <row r="928" spans="13:16">
      <c r="M928" s="31"/>
      <c r="N928" s="31"/>
      <c r="O928" s="31"/>
      <c r="P928" s="31"/>
    </row>
    <row r="929" spans="13:16">
      <c r="M929" s="31"/>
      <c r="N929" s="31"/>
      <c r="O929" s="31"/>
      <c r="P929" s="31"/>
    </row>
    <row r="930" spans="13:16">
      <c r="M930" s="31"/>
      <c r="N930" s="31"/>
      <c r="O930" s="31"/>
      <c r="P930" s="31"/>
    </row>
    <row r="931" spans="13:16">
      <c r="M931" s="31"/>
      <c r="N931" s="31"/>
      <c r="O931" s="31"/>
      <c r="P931" s="31"/>
    </row>
    <row r="932" spans="13:16">
      <c r="M932" s="31"/>
      <c r="N932" s="31"/>
      <c r="O932" s="31"/>
      <c r="P932" s="31"/>
    </row>
    <row r="933" spans="13:16">
      <c r="M933" s="31"/>
      <c r="N933" s="31"/>
      <c r="O933" s="31"/>
      <c r="P933" s="31"/>
    </row>
    <row r="934" spans="13:16">
      <c r="M934" s="31"/>
      <c r="N934" s="31"/>
      <c r="O934" s="31"/>
      <c r="P934" s="31"/>
    </row>
    <row r="935" spans="13:16">
      <c r="M935" s="31"/>
      <c r="N935" s="31"/>
      <c r="O935" s="31"/>
      <c r="P935" s="31"/>
    </row>
    <row r="936" spans="13:16">
      <c r="M936" s="31"/>
      <c r="N936" s="31"/>
      <c r="O936" s="31"/>
      <c r="P936" s="31"/>
    </row>
    <row r="937" spans="13:16">
      <c r="M937" s="31"/>
      <c r="N937" s="31"/>
      <c r="O937" s="31"/>
      <c r="P937" s="31"/>
    </row>
    <row r="938" spans="13:16">
      <c r="M938" s="31"/>
      <c r="N938" s="31"/>
      <c r="O938" s="31"/>
      <c r="P938" s="31"/>
    </row>
    <row r="939" spans="13:16">
      <c r="M939" s="31"/>
      <c r="N939" s="31"/>
      <c r="O939" s="31"/>
      <c r="P939" s="31"/>
    </row>
    <row r="940" spans="13:16">
      <c r="M940" s="31"/>
      <c r="N940" s="31"/>
      <c r="O940" s="31"/>
      <c r="P940" s="31"/>
    </row>
    <row r="941" spans="13:16">
      <c r="M941" s="31"/>
      <c r="N941" s="31"/>
      <c r="O941" s="31"/>
      <c r="P941" s="31"/>
    </row>
    <row r="942" spans="13:16">
      <c r="M942" s="31"/>
      <c r="N942" s="31"/>
      <c r="O942" s="31"/>
      <c r="P942" s="31"/>
    </row>
    <row r="943" spans="13:16">
      <c r="M943" s="31"/>
      <c r="N943" s="31"/>
      <c r="O943" s="31"/>
      <c r="P943" s="31"/>
    </row>
    <row r="944" spans="13:16">
      <c r="M944" s="31"/>
      <c r="N944" s="31"/>
      <c r="O944" s="31"/>
      <c r="P944" s="31"/>
    </row>
    <row r="945" spans="13:16">
      <c r="M945" s="31"/>
      <c r="N945" s="31"/>
      <c r="O945" s="31"/>
      <c r="P945" s="31"/>
    </row>
    <row r="946" spans="13:16">
      <c r="M946" s="31"/>
      <c r="N946" s="31"/>
      <c r="O946" s="31"/>
      <c r="P946" s="31"/>
    </row>
    <row r="947" spans="13:16">
      <c r="M947" s="31"/>
      <c r="N947" s="31"/>
      <c r="O947" s="31"/>
      <c r="P947" s="31"/>
    </row>
    <row r="948" spans="13:16">
      <c r="M948" s="31"/>
      <c r="N948" s="31"/>
      <c r="O948" s="31"/>
      <c r="P948" s="31"/>
    </row>
    <row r="949" spans="13:16">
      <c r="M949" s="31"/>
      <c r="N949" s="31"/>
      <c r="O949" s="31"/>
      <c r="P949" s="31"/>
    </row>
    <row r="950" spans="13:16">
      <c r="M950" s="31"/>
      <c r="N950" s="31"/>
      <c r="O950" s="31"/>
      <c r="P950" s="31"/>
    </row>
    <row r="951" spans="13:16">
      <c r="M951" s="31"/>
      <c r="N951" s="31"/>
      <c r="O951" s="31"/>
      <c r="P951" s="31"/>
    </row>
    <row r="952" spans="13:16">
      <c r="M952" s="31"/>
      <c r="N952" s="31"/>
      <c r="O952" s="31"/>
      <c r="P952" s="31"/>
    </row>
    <row r="953" spans="13:16">
      <c r="M953" s="31"/>
      <c r="N953" s="31"/>
      <c r="O953" s="31"/>
      <c r="P953" s="31"/>
    </row>
    <row r="954" spans="13:16">
      <c r="M954" s="31"/>
      <c r="N954" s="31"/>
      <c r="O954" s="31"/>
      <c r="P954" s="31"/>
    </row>
    <row r="955" spans="13:16">
      <c r="M955" s="31"/>
      <c r="N955" s="31"/>
      <c r="O955" s="31"/>
      <c r="P955" s="31"/>
    </row>
    <row r="956" spans="13:16">
      <c r="M956" s="31"/>
      <c r="N956" s="31"/>
      <c r="O956" s="31"/>
      <c r="P956" s="31"/>
    </row>
    <row r="957" spans="13:16">
      <c r="M957" s="31"/>
      <c r="N957" s="31"/>
      <c r="O957" s="31"/>
      <c r="P957" s="31"/>
    </row>
    <row r="958" spans="13:16">
      <c r="M958" s="31"/>
      <c r="N958" s="31"/>
      <c r="O958" s="31"/>
      <c r="P958" s="31"/>
    </row>
    <row r="959" spans="13:16">
      <c r="M959" s="31"/>
      <c r="N959" s="31"/>
      <c r="O959" s="31"/>
      <c r="P959" s="31"/>
    </row>
    <row r="960" spans="13:16">
      <c r="M960" s="31"/>
      <c r="N960" s="31"/>
      <c r="O960" s="31"/>
      <c r="P960" s="31"/>
    </row>
    <row r="961" spans="13:16">
      <c r="M961" s="31"/>
      <c r="N961" s="31"/>
      <c r="O961" s="31"/>
      <c r="P961" s="31"/>
    </row>
    <row r="962" spans="13:16">
      <c r="M962" s="31"/>
      <c r="N962" s="31"/>
      <c r="O962" s="31"/>
      <c r="P962" s="31"/>
    </row>
    <row r="963" spans="13:16">
      <c r="M963" s="31"/>
      <c r="N963" s="31"/>
      <c r="O963" s="31"/>
      <c r="P963" s="31"/>
    </row>
    <row r="964" spans="13:16">
      <c r="M964" s="31"/>
      <c r="N964" s="31"/>
      <c r="O964" s="31"/>
      <c r="P964" s="31"/>
    </row>
    <row r="965" spans="13:16">
      <c r="M965" s="31"/>
      <c r="N965" s="31"/>
      <c r="O965" s="31"/>
      <c r="P965" s="31"/>
    </row>
    <row r="966" spans="13:16">
      <c r="M966" s="31"/>
      <c r="N966" s="31"/>
      <c r="O966" s="31"/>
      <c r="P966" s="31"/>
    </row>
    <row r="967" spans="13:16">
      <c r="M967" s="31"/>
      <c r="N967" s="31"/>
      <c r="O967" s="31"/>
      <c r="P967" s="31"/>
    </row>
    <row r="968" spans="13:16">
      <c r="M968" s="31"/>
      <c r="N968" s="31"/>
      <c r="O968" s="31"/>
      <c r="P968" s="31"/>
    </row>
    <row r="969" spans="13:16">
      <c r="M969" s="31"/>
      <c r="N969" s="31"/>
      <c r="O969" s="31"/>
      <c r="P969" s="31"/>
    </row>
    <row r="970" spans="13:16">
      <c r="M970" s="31"/>
      <c r="N970" s="31"/>
      <c r="O970" s="31"/>
      <c r="P970" s="31"/>
    </row>
    <row r="971" spans="13:16">
      <c r="M971" s="31"/>
      <c r="N971" s="31"/>
      <c r="O971" s="31"/>
      <c r="P971" s="31"/>
    </row>
    <row r="972" spans="13:16">
      <c r="M972" s="31"/>
      <c r="N972" s="31"/>
      <c r="O972" s="31"/>
      <c r="P972" s="31"/>
    </row>
    <row r="973" spans="13:16">
      <c r="M973" s="31"/>
      <c r="N973" s="31"/>
      <c r="O973" s="31"/>
      <c r="P973" s="31"/>
    </row>
    <row r="974" spans="13:16">
      <c r="M974" s="31"/>
      <c r="N974" s="31"/>
      <c r="O974" s="31"/>
      <c r="P974" s="31"/>
    </row>
    <row r="975" spans="13:16">
      <c r="M975" s="31"/>
      <c r="N975" s="31"/>
      <c r="O975" s="31"/>
      <c r="P975" s="31"/>
    </row>
    <row r="976" spans="13:16">
      <c r="M976" s="31"/>
      <c r="N976" s="31"/>
      <c r="O976" s="31"/>
      <c r="P976" s="31"/>
    </row>
    <row r="977" spans="13:16">
      <c r="M977" s="31"/>
      <c r="N977" s="31"/>
      <c r="O977" s="31"/>
      <c r="P977" s="31"/>
    </row>
    <row r="978" spans="13:16">
      <c r="M978" s="31"/>
      <c r="N978" s="31"/>
      <c r="O978" s="31"/>
      <c r="P978" s="31"/>
    </row>
    <row r="979" spans="13:16">
      <c r="M979" s="31"/>
      <c r="N979" s="31"/>
      <c r="O979" s="31"/>
      <c r="P979" s="31"/>
    </row>
    <row r="980" spans="13:16">
      <c r="M980" s="31"/>
      <c r="N980" s="31"/>
      <c r="O980" s="31"/>
      <c r="P980" s="31"/>
    </row>
    <row r="981" spans="13:16">
      <c r="M981" s="31"/>
      <c r="N981" s="31"/>
      <c r="O981" s="31"/>
      <c r="P981" s="31"/>
    </row>
    <row r="982" spans="13:16">
      <c r="M982" s="31"/>
      <c r="N982" s="31"/>
      <c r="O982" s="31"/>
      <c r="P982" s="31"/>
    </row>
    <row r="983" spans="13:16">
      <c r="M983" s="31"/>
      <c r="N983" s="31"/>
      <c r="O983" s="31"/>
      <c r="P983" s="31"/>
    </row>
    <row r="984" spans="13:16">
      <c r="M984" s="31"/>
      <c r="N984" s="31"/>
      <c r="O984" s="31"/>
      <c r="P984" s="31"/>
    </row>
    <row r="985" spans="13:16">
      <c r="M985" s="31"/>
      <c r="N985" s="31"/>
      <c r="O985" s="31"/>
      <c r="P985" s="31"/>
    </row>
    <row r="986" spans="13:16">
      <c r="M986" s="31"/>
      <c r="N986" s="31"/>
      <c r="O986" s="31"/>
      <c r="P986" s="31"/>
    </row>
    <row r="987" spans="13:16">
      <c r="M987" s="31"/>
      <c r="N987" s="31"/>
      <c r="O987" s="31"/>
      <c r="P987" s="31"/>
    </row>
    <row r="988" spans="13:16">
      <c r="M988" s="31"/>
      <c r="N988" s="31"/>
      <c r="O988" s="31"/>
      <c r="P988" s="31"/>
    </row>
    <row r="989" spans="13:16">
      <c r="M989" s="31"/>
      <c r="N989" s="31"/>
      <c r="O989" s="31"/>
      <c r="P989" s="31"/>
    </row>
    <row r="990" spans="13:16">
      <c r="M990" s="31"/>
      <c r="N990" s="31"/>
      <c r="O990" s="31"/>
      <c r="P990" s="31"/>
    </row>
    <row r="991" spans="13:16">
      <c r="M991" s="31"/>
      <c r="N991" s="31"/>
      <c r="O991" s="31"/>
      <c r="P991" s="31"/>
    </row>
    <row r="992" spans="13:16">
      <c r="M992" s="31"/>
      <c r="N992" s="31"/>
      <c r="O992" s="31"/>
      <c r="P992" s="31"/>
    </row>
    <row r="993" spans="13:16">
      <c r="M993" s="31"/>
      <c r="N993" s="31"/>
      <c r="O993" s="31"/>
      <c r="P993" s="31"/>
    </row>
    <row r="994" spans="13:16">
      <c r="M994" s="31"/>
      <c r="N994" s="31"/>
      <c r="O994" s="31"/>
      <c r="P994" s="31"/>
    </row>
    <row r="995" spans="13:16">
      <c r="M995" s="31"/>
      <c r="N995" s="31"/>
      <c r="O995" s="31"/>
      <c r="P995" s="31"/>
    </row>
    <row r="996" spans="13:16">
      <c r="M996" s="31"/>
      <c r="N996" s="31"/>
      <c r="O996" s="31"/>
      <c r="P996" s="31"/>
    </row>
    <row r="997" spans="13:16">
      <c r="M997" s="31"/>
      <c r="N997" s="31"/>
      <c r="O997" s="31"/>
      <c r="P997" s="31"/>
    </row>
    <row r="998" spans="13:16">
      <c r="M998" s="31"/>
      <c r="N998" s="31"/>
      <c r="O998" s="31"/>
      <c r="P998" s="31"/>
    </row>
    <row r="999" spans="13:16">
      <c r="M999" s="31"/>
      <c r="N999" s="31"/>
      <c r="O999" s="31"/>
      <c r="P999" s="31"/>
    </row>
    <row r="1000" spans="13:16">
      <c r="M1000" s="31"/>
      <c r="N1000" s="31"/>
      <c r="O1000" s="31"/>
      <c r="P1000" s="31"/>
    </row>
    <row r="1001" spans="13:16">
      <c r="M1001" s="31"/>
      <c r="N1001" s="31"/>
      <c r="O1001" s="31"/>
      <c r="P1001" s="31"/>
    </row>
    <row r="1002" spans="13:16">
      <c r="M1002" s="31"/>
      <c r="N1002" s="31"/>
      <c r="O1002" s="31"/>
      <c r="P1002" s="31"/>
    </row>
    <row r="1003" spans="13:16">
      <c r="M1003" s="31"/>
      <c r="N1003" s="31"/>
      <c r="O1003" s="31"/>
      <c r="P1003" s="31"/>
    </row>
    <row r="1004" spans="13:16">
      <c r="M1004" s="31"/>
      <c r="N1004" s="31"/>
      <c r="O1004" s="31"/>
      <c r="P1004" s="31"/>
    </row>
    <row r="1005" spans="13:16">
      <c r="M1005" s="31"/>
      <c r="N1005" s="31"/>
      <c r="O1005" s="31"/>
      <c r="P1005" s="31"/>
    </row>
    <row r="1006" spans="13:16">
      <c r="M1006" s="31"/>
      <c r="N1006" s="31"/>
      <c r="O1006" s="31"/>
      <c r="P1006" s="31"/>
    </row>
    <row r="1007" spans="13:16">
      <c r="M1007" s="31"/>
      <c r="N1007" s="31"/>
      <c r="O1007" s="31"/>
      <c r="P1007" s="31"/>
    </row>
    <row r="1008" spans="13:16">
      <c r="M1008" s="31"/>
      <c r="N1008" s="31"/>
      <c r="O1008" s="31"/>
      <c r="P1008" s="31"/>
    </row>
    <row r="1009" spans="13:16">
      <c r="M1009" s="31"/>
      <c r="N1009" s="31"/>
      <c r="O1009" s="31"/>
      <c r="P1009" s="31"/>
    </row>
    <row r="1010" spans="13:16">
      <c r="M1010" s="31"/>
      <c r="N1010" s="31"/>
      <c r="O1010" s="31"/>
      <c r="P1010" s="31"/>
    </row>
    <row r="1011" spans="13:16">
      <c r="M1011" s="31"/>
      <c r="N1011" s="31"/>
      <c r="O1011" s="31"/>
      <c r="P1011" s="31"/>
    </row>
    <row r="1012" spans="13:16">
      <c r="M1012" s="31"/>
      <c r="N1012" s="31"/>
      <c r="O1012" s="31"/>
      <c r="P1012" s="31"/>
    </row>
    <row r="1013" spans="13:16">
      <c r="M1013" s="31"/>
      <c r="N1013" s="31"/>
      <c r="O1013" s="31"/>
      <c r="P1013" s="31"/>
    </row>
    <row r="1014" spans="13:16">
      <c r="M1014" s="31"/>
      <c r="N1014" s="31"/>
      <c r="O1014" s="31"/>
      <c r="P1014" s="31"/>
    </row>
    <row r="1015" spans="13:16">
      <c r="M1015" s="31"/>
      <c r="N1015" s="31"/>
      <c r="O1015" s="31"/>
      <c r="P1015" s="31"/>
    </row>
    <row r="1016" spans="13:16">
      <c r="M1016" s="31"/>
      <c r="N1016" s="31"/>
      <c r="O1016" s="31"/>
      <c r="P1016" s="31"/>
    </row>
    <row r="1017" spans="13:16">
      <c r="M1017" s="31"/>
      <c r="N1017" s="31"/>
      <c r="O1017" s="31"/>
      <c r="P1017" s="31"/>
    </row>
    <row r="1018" spans="13:16">
      <c r="M1018" s="31"/>
      <c r="N1018" s="31"/>
      <c r="O1018" s="31"/>
      <c r="P1018" s="31"/>
    </row>
    <row r="1019" spans="13:16">
      <c r="M1019" s="31"/>
      <c r="N1019" s="31"/>
      <c r="O1019" s="31"/>
      <c r="P1019" s="31"/>
    </row>
    <row r="1020" spans="13:16">
      <c r="M1020" s="31"/>
      <c r="N1020" s="31"/>
      <c r="O1020" s="31"/>
      <c r="P1020" s="31"/>
    </row>
    <row r="1021" spans="13:16">
      <c r="M1021" s="31"/>
      <c r="N1021" s="31"/>
      <c r="O1021" s="31"/>
      <c r="P1021" s="31"/>
    </row>
    <row r="1022" spans="13:16">
      <c r="M1022" s="31"/>
      <c r="N1022" s="31"/>
      <c r="O1022" s="31"/>
      <c r="P1022" s="31"/>
    </row>
    <row r="1023" spans="13:16">
      <c r="M1023" s="31"/>
      <c r="N1023" s="31"/>
      <c r="O1023" s="31"/>
      <c r="P1023" s="31"/>
    </row>
    <row r="1024" spans="13:16">
      <c r="M1024" s="31"/>
      <c r="N1024" s="31"/>
      <c r="O1024" s="31"/>
      <c r="P1024" s="31"/>
    </row>
    <row r="1025" spans="13:16">
      <c r="M1025" s="31"/>
      <c r="N1025" s="31"/>
      <c r="O1025" s="31"/>
      <c r="P1025" s="31"/>
    </row>
    <row r="1026" spans="13:16">
      <c r="M1026" s="31"/>
      <c r="N1026" s="31"/>
      <c r="O1026" s="31"/>
      <c r="P1026" s="31"/>
    </row>
    <row r="1027" spans="13:16">
      <c r="M1027" s="31"/>
      <c r="N1027" s="31"/>
      <c r="O1027" s="31"/>
      <c r="P1027" s="31"/>
    </row>
    <row r="1028" spans="13:16">
      <c r="M1028" s="31"/>
      <c r="N1028" s="31"/>
      <c r="O1028" s="31"/>
      <c r="P1028" s="31"/>
    </row>
    <row r="1029" spans="13:16">
      <c r="M1029" s="31"/>
      <c r="N1029" s="31"/>
      <c r="O1029" s="31"/>
      <c r="P1029" s="31"/>
    </row>
    <row r="1030" spans="13:16">
      <c r="M1030" s="31"/>
      <c r="N1030" s="31"/>
      <c r="O1030" s="31"/>
      <c r="P1030" s="31"/>
    </row>
    <row r="1031" spans="13:16">
      <c r="M1031" s="31"/>
      <c r="N1031" s="31"/>
      <c r="O1031" s="31"/>
      <c r="P1031" s="31"/>
    </row>
    <row r="1032" spans="13:16">
      <c r="M1032" s="31"/>
      <c r="N1032" s="31"/>
      <c r="O1032" s="31"/>
      <c r="P1032" s="31"/>
    </row>
    <row r="1033" spans="13:16">
      <c r="M1033" s="31"/>
      <c r="N1033" s="31"/>
      <c r="O1033" s="31"/>
      <c r="P1033" s="31"/>
    </row>
    <row r="1034" spans="13:16">
      <c r="M1034" s="31"/>
      <c r="N1034" s="31"/>
      <c r="O1034" s="31"/>
      <c r="P1034" s="31"/>
    </row>
    <row r="1035" spans="13:16">
      <c r="M1035" s="31"/>
      <c r="N1035" s="31"/>
      <c r="O1035" s="31"/>
      <c r="P1035" s="31"/>
    </row>
    <row r="1036" spans="13:16">
      <c r="M1036" s="31"/>
      <c r="N1036" s="31"/>
      <c r="O1036" s="31"/>
      <c r="P1036" s="31"/>
    </row>
    <row r="1037" spans="13:16">
      <c r="M1037" s="31"/>
      <c r="N1037" s="31"/>
      <c r="O1037" s="31"/>
      <c r="P1037" s="31"/>
    </row>
    <row r="1038" spans="13:16">
      <c r="M1038" s="31"/>
      <c r="N1038" s="31"/>
      <c r="O1038" s="31"/>
      <c r="P1038" s="31"/>
    </row>
    <row r="1039" spans="13:16">
      <c r="M1039" s="31"/>
      <c r="N1039" s="31"/>
      <c r="O1039" s="31"/>
      <c r="P1039" s="31"/>
    </row>
    <row r="1040" spans="13:16">
      <c r="M1040" s="31"/>
      <c r="N1040" s="31"/>
      <c r="O1040" s="31"/>
      <c r="P1040" s="31"/>
    </row>
    <row r="1041" spans="13:16">
      <c r="M1041" s="31"/>
      <c r="N1041" s="31"/>
      <c r="O1041" s="31"/>
      <c r="P1041" s="31"/>
    </row>
    <row r="1042" spans="13:16">
      <c r="M1042" s="31"/>
      <c r="N1042" s="31"/>
      <c r="O1042" s="31"/>
      <c r="P1042" s="31"/>
    </row>
    <row r="1043" spans="13:16">
      <c r="M1043" s="31"/>
      <c r="N1043" s="31"/>
      <c r="O1043" s="31"/>
      <c r="P1043" s="31"/>
    </row>
    <row r="1044" spans="13:16">
      <c r="M1044" s="31"/>
      <c r="N1044" s="31"/>
      <c r="O1044" s="31"/>
      <c r="P1044" s="31"/>
    </row>
    <row r="1045" spans="13:16">
      <c r="M1045" s="31"/>
      <c r="N1045" s="31"/>
      <c r="O1045" s="31"/>
      <c r="P1045" s="31"/>
    </row>
    <row r="1046" spans="13:16">
      <c r="M1046" s="31"/>
      <c r="N1046" s="31"/>
      <c r="O1046" s="31"/>
      <c r="P1046" s="31"/>
    </row>
    <row r="1047" spans="13:16">
      <c r="M1047" s="31"/>
      <c r="N1047" s="31"/>
      <c r="O1047" s="31"/>
      <c r="P1047" s="31"/>
    </row>
    <row r="1048" spans="13:16">
      <c r="M1048" s="31"/>
      <c r="N1048" s="31"/>
      <c r="O1048" s="31"/>
      <c r="P1048" s="31"/>
    </row>
    <row r="1049" spans="13:16">
      <c r="M1049" s="31"/>
      <c r="N1049" s="31"/>
      <c r="O1049" s="31"/>
      <c r="P1049" s="31"/>
    </row>
    <row r="1050" spans="13:16">
      <c r="M1050" s="31"/>
      <c r="N1050" s="31"/>
      <c r="O1050" s="31"/>
      <c r="P1050" s="31"/>
    </row>
    <row r="1051" spans="13:16">
      <c r="M1051" s="31"/>
      <c r="N1051" s="31"/>
      <c r="O1051" s="31"/>
      <c r="P1051" s="31"/>
    </row>
    <row r="1052" spans="13:16">
      <c r="M1052" s="31"/>
      <c r="N1052" s="31"/>
      <c r="O1052" s="31"/>
      <c r="P1052" s="31"/>
    </row>
    <row r="1053" spans="13:16">
      <c r="M1053" s="31"/>
      <c r="N1053" s="31"/>
      <c r="O1053" s="31"/>
      <c r="P1053" s="31"/>
    </row>
    <row r="1054" spans="13:16">
      <c r="M1054" s="31"/>
      <c r="N1054" s="31"/>
      <c r="O1054" s="31"/>
      <c r="P1054" s="31"/>
    </row>
    <row r="1055" spans="13:16">
      <c r="M1055" s="31"/>
      <c r="N1055" s="31"/>
      <c r="O1055" s="31"/>
      <c r="P1055" s="31"/>
    </row>
    <row r="1056" spans="13:16">
      <c r="M1056" s="31"/>
      <c r="N1056" s="31"/>
      <c r="O1056" s="31"/>
      <c r="P1056" s="31"/>
    </row>
    <row r="1057" spans="13:16">
      <c r="M1057" s="31"/>
      <c r="N1057" s="31"/>
      <c r="O1057" s="31"/>
      <c r="P1057" s="31"/>
    </row>
    <row r="1058" spans="13:16">
      <c r="M1058" s="31"/>
      <c r="N1058" s="31"/>
      <c r="O1058" s="31"/>
      <c r="P1058" s="31"/>
    </row>
    <row r="1059" spans="13:16">
      <c r="M1059" s="31"/>
      <c r="N1059" s="31"/>
      <c r="O1059" s="31"/>
      <c r="P1059" s="31"/>
    </row>
    <row r="1060" spans="13:16">
      <c r="M1060" s="31"/>
      <c r="N1060" s="31"/>
      <c r="O1060" s="31"/>
      <c r="P1060" s="31"/>
    </row>
    <row r="1061" spans="13:16">
      <c r="M1061" s="31"/>
      <c r="N1061" s="31"/>
      <c r="O1061" s="31"/>
      <c r="P1061" s="31"/>
    </row>
    <row r="1062" spans="13:16">
      <c r="M1062" s="31"/>
      <c r="N1062" s="31"/>
      <c r="O1062" s="31"/>
      <c r="P1062" s="31"/>
    </row>
    <row r="1063" spans="13:16">
      <c r="M1063" s="31"/>
      <c r="N1063" s="31"/>
      <c r="O1063" s="31"/>
      <c r="P1063" s="31"/>
    </row>
    <row r="1064" spans="13:16">
      <c r="M1064" s="31"/>
      <c r="N1064" s="31"/>
      <c r="O1064" s="31"/>
      <c r="P1064" s="31"/>
    </row>
    <row r="1065" spans="13:16">
      <c r="M1065" s="31"/>
      <c r="N1065" s="31"/>
      <c r="O1065" s="31"/>
      <c r="P1065" s="31"/>
    </row>
    <row r="1066" spans="13:16">
      <c r="M1066" s="31"/>
      <c r="N1066" s="31"/>
      <c r="O1066" s="31"/>
      <c r="P1066" s="31"/>
    </row>
    <row r="1067" spans="13:16">
      <c r="M1067" s="31"/>
      <c r="N1067" s="31"/>
      <c r="O1067" s="31"/>
      <c r="P1067" s="31"/>
    </row>
    <row r="1068" spans="13:16">
      <c r="M1068" s="31"/>
      <c r="N1068" s="31"/>
      <c r="O1068" s="31"/>
      <c r="P1068" s="31"/>
    </row>
    <row r="1069" spans="13:16">
      <c r="M1069" s="31"/>
      <c r="N1069" s="31"/>
      <c r="O1069" s="31"/>
      <c r="P1069" s="31"/>
    </row>
    <row r="1070" spans="13:16">
      <c r="M1070" s="31"/>
      <c r="N1070" s="31"/>
      <c r="O1070" s="31"/>
      <c r="P1070" s="31"/>
    </row>
    <row r="1071" spans="13:16">
      <c r="M1071" s="31"/>
      <c r="N1071" s="31"/>
      <c r="O1071" s="31"/>
      <c r="P1071" s="31"/>
    </row>
    <row r="1072" spans="13:16">
      <c r="M1072" s="31"/>
      <c r="N1072" s="31"/>
      <c r="O1072" s="31"/>
      <c r="P1072" s="31"/>
    </row>
    <row r="1073" spans="13:16">
      <c r="M1073" s="31"/>
      <c r="N1073" s="31"/>
      <c r="O1073" s="31"/>
      <c r="P1073" s="31"/>
    </row>
    <row r="1074" spans="13:16">
      <c r="M1074" s="31"/>
      <c r="N1074" s="31"/>
      <c r="O1074" s="31"/>
      <c r="P1074" s="31"/>
    </row>
    <row r="1075" spans="13:16">
      <c r="M1075" s="31"/>
      <c r="N1075" s="31"/>
      <c r="O1075" s="31"/>
      <c r="P1075" s="31"/>
    </row>
    <row r="1076" spans="13:16">
      <c r="M1076" s="31"/>
      <c r="N1076" s="31"/>
      <c r="O1076" s="31"/>
      <c r="P1076" s="31"/>
    </row>
    <row r="1077" spans="13:16">
      <c r="M1077" s="31"/>
      <c r="N1077" s="31"/>
      <c r="O1077" s="31"/>
      <c r="P1077" s="31"/>
    </row>
  </sheetData>
  <conditionalFormatting sqref="C2:S2">
    <cfRule type="expression" dxfId="2684" priority="5">
      <formula>$A2="X"</formula>
    </cfRule>
  </conditionalFormatting>
  <conditionalFormatting sqref="P2:S2">
    <cfRule type="expression" dxfId="2683" priority="4">
      <formula>$A2="X"</formula>
    </cfRule>
  </conditionalFormatting>
  <conditionalFormatting sqref="Q2">
    <cfRule type="expression" dxfId="2682" priority="3">
      <formula>$A2="X"</formula>
    </cfRule>
  </conditionalFormatting>
  <conditionalFormatting sqref="T2:U2">
    <cfRule type="expression" dxfId="2681" priority="2">
      <formula>$A2="X"</formula>
    </cfRule>
  </conditionalFormatting>
  <conditionalFormatting sqref="T2:U2">
    <cfRule type="expression" dxfId="2680" priority="1">
      <formula>$A2="X"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New_Consolidado">
                <anchor moveWithCells="1">
                  <from>
                    <xdr:col>2</xdr:col>
                    <xdr:colOff>0</xdr:colOff>
                    <xdr:row>0</xdr:row>
                    <xdr:rowOff>123825</xdr:rowOff>
                  </from>
                  <to>
                    <xdr:col>4</xdr:col>
                    <xdr:colOff>266700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BN155"/>
  <sheetViews>
    <sheetView showGridLines="0" showRowColHeaders="0" tabSelected="1" zoomScale="80" zoomScaleNormal="8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8" sqref="D8"/>
    </sheetView>
  </sheetViews>
  <sheetFormatPr defaultRowHeight="15" customHeight="1"/>
  <cols>
    <col min="1" max="1" width="1.42578125" style="92" customWidth="1"/>
    <col min="2" max="2" width="1.42578125" style="93" customWidth="1"/>
    <col min="3" max="3" width="0.7109375" style="64" customWidth="1"/>
    <col min="4" max="5" width="8.5703125" style="64" customWidth="1"/>
    <col min="6" max="6" width="8.5703125" style="65" customWidth="1"/>
    <col min="7" max="7" width="43.85546875" style="94" customWidth="1"/>
    <col min="8" max="8" width="40" style="64" customWidth="1"/>
    <col min="9" max="9" width="14.28515625" style="64" customWidth="1"/>
    <col min="10" max="10" width="20.28515625" style="64" customWidth="1"/>
    <col min="11" max="13" width="11.28515625" style="64" customWidth="1"/>
    <col min="14" max="15" width="11.28515625" style="95" customWidth="1"/>
    <col min="16" max="16" width="11.28515625" style="64" customWidth="1"/>
    <col min="17" max="19" width="13.85546875" style="83" customWidth="1"/>
    <col min="20" max="20" width="21" style="108" customWidth="1"/>
    <col min="21" max="21" width="35.5703125" style="64" customWidth="1"/>
    <col min="22" max="23" width="15.85546875" style="71" customWidth="1"/>
    <col min="24" max="24" width="15.85546875" style="64" customWidth="1"/>
    <col min="25" max="25" width="22.140625" style="64" customWidth="1"/>
    <col min="26" max="28" width="15.85546875" style="64" customWidth="1"/>
    <col min="29" max="29" width="42.42578125" style="64" customWidth="1"/>
    <col min="30" max="30" width="25.42578125" style="82" customWidth="1"/>
    <col min="31" max="31" width="14.28515625" style="82" customWidth="1"/>
    <col min="32" max="32" width="11.28515625" style="82" customWidth="1"/>
    <col min="33" max="33" width="15.140625" style="122" customWidth="1"/>
    <col min="34" max="34" width="19.140625" style="82" customWidth="1"/>
    <col min="35" max="35" width="25.42578125" style="82" customWidth="1"/>
    <col min="36" max="36" width="20.85546875" style="127" customWidth="1"/>
    <col min="37" max="37" width="20.85546875" style="64" customWidth="1"/>
    <col min="38" max="39" width="34.85546875" style="64" customWidth="1"/>
    <col min="40" max="42" width="21.85546875" style="64" customWidth="1"/>
    <col min="43" max="43" width="46" style="64" customWidth="1"/>
    <col min="44" max="44" width="21.85546875" style="64" customWidth="1"/>
    <col min="45" max="45" width="27.7109375" style="64" customWidth="1"/>
    <col min="46" max="48" width="21.85546875" style="64" customWidth="1"/>
    <col min="49" max="16384" width="9.140625" style="64"/>
  </cols>
  <sheetData>
    <row r="1" spans="1:66" ht="15" customHeight="1">
      <c r="A1" s="61" t="s">
        <v>29</v>
      </c>
      <c r="B1" s="62"/>
      <c r="C1" s="67"/>
      <c r="G1" s="66"/>
      <c r="H1" s="67"/>
      <c r="I1" s="67"/>
      <c r="J1" s="67"/>
      <c r="K1" s="67"/>
      <c r="L1" s="67"/>
      <c r="M1" s="67"/>
      <c r="P1" s="95"/>
      <c r="Q1" s="70"/>
      <c r="R1" s="70"/>
      <c r="S1" s="70"/>
      <c r="T1" s="104"/>
      <c r="U1" s="67"/>
      <c r="V1" s="115"/>
      <c r="W1" s="115"/>
      <c r="X1" s="67"/>
      <c r="Y1" s="67"/>
      <c r="Z1" s="67"/>
      <c r="AA1" s="67"/>
      <c r="AB1" s="67"/>
      <c r="AC1" s="67"/>
      <c r="AD1" s="67"/>
      <c r="AE1" s="67"/>
      <c r="AF1" s="67"/>
      <c r="AG1" s="119"/>
      <c r="AH1" s="67"/>
      <c r="AI1" s="67"/>
      <c r="AJ1" s="123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</row>
    <row r="2" spans="1:66" ht="15" customHeight="1">
      <c r="A2" s="72"/>
      <c r="B2" s="62"/>
      <c r="C2" s="67"/>
      <c r="G2" s="73"/>
      <c r="H2" s="74"/>
      <c r="I2" s="74"/>
      <c r="J2" s="74"/>
      <c r="K2" s="74"/>
      <c r="L2" s="67"/>
      <c r="M2" s="67"/>
      <c r="P2" s="95"/>
      <c r="Q2" s="70"/>
      <c r="X2" s="75"/>
      <c r="Y2" s="210" t="s">
        <v>2245</v>
      </c>
      <c r="Z2" s="75"/>
      <c r="AA2" s="75"/>
      <c r="AB2" s="75"/>
      <c r="AC2" s="75"/>
      <c r="AD2" s="67"/>
      <c r="AE2" s="67"/>
      <c r="AF2" s="67"/>
      <c r="AG2" s="119"/>
      <c r="AH2" s="67"/>
      <c r="AI2" s="67"/>
      <c r="AJ2" s="123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BN2" s="133"/>
    </row>
    <row r="3" spans="1:66" ht="15" customHeight="1">
      <c r="A3" s="72"/>
      <c r="B3" s="62"/>
      <c r="C3" s="67"/>
      <c r="G3" s="76"/>
      <c r="H3" s="74"/>
      <c r="I3" s="74"/>
      <c r="J3" s="74"/>
      <c r="K3" s="74"/>
      <c r="L3" s="67"/>
      <c r="N3"/>
      <c r="O3"/>
      <c r="P3" s="95"/>
      <c r="Q3" s="70"/>
      <c r="R3" s="70"/>
      <c r="S3" s="70"/>
      <c r="T3" s="104"/>
      <c r="U3" s="67"/>
      <c r="V3" s="115"/>
      <c r="W3" s="115"/>
      <c r="X3" s="67"/>
      <c r="Y3" s="210" t="s">
        <v>2246</v>
      </c>
      <c r="Z3" s="67"/>
      <c r="AA3" s="67"/>
      <c r="AB3" s="67"/>
      <c r="AC3" s="67"/>
      <c r="AD3" s="67"/>
      <c r="AE3" s="67"/>
      <c r="AF3" s="67"/>
      <c r="AG3" s="119"/>
      <c r="AH3" s="67"/>
      <c r="AI3" s="67"/>
      <c r="AJ3" s="123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</row>
    <row r="4" spans="1:66" ht="15" customHeight="1">
      <c r="A4" s="72"/>
      <c r="B4" s="62"/>
      <c r="C4" s="75"/>
      <c r="G4" s="76"/>
      <c r="H4" s="77"/>
      <c r="I4" s="77"/>
      <c r="J4" s="77"/>
      <c r="K4" s="77"/>
      <c r="L4" s="78"/>
      <c r="M4" s="75"/>
      <c r="P4" s="95"/>
      <c r="Q4" s="79"/>
      <c r="R4" s="79"/>
      <c r="S4" s="79"/>
      <c r="T4" s="105"/>
      <c r="U4" s="75"/>
      <c r="V4" s="116"/>
      <c r="W4" s="116"/>
      <c r="X4" s="75"/>
      <c r="Y4" s="75"/>
      <c r="Z4" s="75"/>
      <c r="AA4" s="75"/>
      <c r="AB4" s="75"/>
      <c r="AC4" s="75"/>
      <c r="AD4" s="75"/>
      <c r="AE4" s="75"/>
      <c r="AF4" s="75"/>
      <c r="AG4" s="120"/>
      <c r="AH4" s="75"/>
      <c r="AI4" s="75"/>
      <c r="AJ4" s="124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66" ht="15" customHeight="1" thickBot="1">
      <c r="A5" s="72"/>
      <c r="B5" s="62"/>
      <c r="F5" s="64"/>
      <c r="G5" s="64"/>
      <c r="N5" s="64"/>
      <c r="O5" s="64"/>
      <c r="Q5" s="64"/>
      <c r="R5" s="64"/>
      <c r="S5" s="64"/>
      <c r="T5" s="64"/>
      <c r="V5" s="64"/>
      <c r="W5" s="64"/>
      <c r="AD5" s="64"/>
      <c r="AE5" s="64"/>
      <c r="AF5" s="64"/>
      <c r="AG5" s="64"/>
      <c r="AH5" s="64"/>
      <c r="AI5" s="64"/>
      <c r="AJ5" s="64"/>
      <c r="AR5" s="80"/>
      <c r="AS5" s="80"/>
      <c r="AT5" s="80"/>
      <c r="AU5" s="80"/>
      <c r="AV5" s="80"/>
    </row>
    <row r="6" spans="1:66" ht="15" customHeight="1" thickBot="1">
      <c r="A6" s="72"/>
      <c r="B6" s="62"/>
      <c r="G6" s="81"/>
      <c r="H6" s="82"/>
      <c r="I6" s="82"/>
      <c r="J6" s="82"/>
      <c r="K6" s="82"/>
      <c r="L6" s="82"/>
      <c r="M6" s="82"/>
      <c r="N6" s="82"/>
      <c r="O6" s="82"/>
      <c r="P6" s="82"/>
      <c r="T6" s="106"/>
      <c r="Z6" s="331" t="s">
        <v>53</v>
      </c>
      <c r="AA6" s="332"/>
      <c r="AB6" s="333"/>
      <c r="AC6" s="206"/>
      <c r="AD6" s="334" t="s">
        <v>54</v>
      </c>
      <c r="AE6" s="335"/>
      <c r="AF6" s="335"/>
      <c r="AG6" s="335"/>
      <c r="AH6" s="335"/>
      <c r="AI6" s="335"/>
      <c r="AJ6" s="335"/>
      <c r="AK6" s="336"/>
      <c r="AL6" s="207"/>
    </row>
    <row r="7" spans="1:66" ht="21" customHeight="1">
      <c r="A7" s="72"/>
      <c r="B7" s="84" t="s">
        <v>8</v>
      </c>
      <c r="D7" s="85" t="s">
        <v>1</v>
      </c>
      <c r="E7" s="100" t="s">
        <v>25</v>
      </c>
      <c r="F7" s="86" t="s">
        <v>17</v>
      </c>
      <c r="G7" s="87" t="s">
        <v>32</v>
      </c>
      <c r="H7" s="86" t="s">
        <v>33</v>
      </c>
      <c r="I7" s="86" t="s">
        <v>19</v>
      </c>
      <c r="J7" s="86" t="s">
        <v>34</v>
      </c>
      <c r="K7" s="86" t="s">
        <v>35</v>
      </c>
      <c r="L7" s="86" t="s">
        <v>36</v>
      </c>
      <c r="M7" s="86" t="s">
        <v>37</v>
      </c>
      <c r="N7" s="88" t="s">
        <v>75</v>
      </c>
      <c r="O7" s="88" t="s">
        <v>39</v>
      </c>
      <c r="P7" s="88" t="s">
        <v>76</v>
      </c>
      <c r="Q7" s="89" t="s">
        <v>41</v>
      </c>
      <c r="R7" s="89" t="s">
        <v>43</v>
      </c>
      <c r="S7" s="89" t="s">
        <v>42</v>
      </c>
      <c r="T7" s="107" t="s">
        <v>77</v>
      </c>
      <c r="U7" s="86" t="s">
        <v>44</v>
      </c>
      <c r="V7" s="118" t="s">
        <v>45</v>
      </c>
      <c r="W7" s="118" t="s">
        <v>46</v>
      </c>
      <c r="X7" s="86" t="s">
        <v>47</v>
      </c>
      <c r="Y7" s="86" t="s">
        <v>67</v>
      </c>
      <c r="Z7" s="88" t="s">
        <v>50</v>
      </c>
      <c r="AA7" s="88" t="s">
        <v>51</v>
      </c>
      <c r="AB7" s="88" t="s">
        <v>52</v>
      </c>
      <c r="AC7" s="86" t="s">
        <v>12</v>
      </c>
      <c r="AD7" s="86" t="s">
        <v>63</v>
      </c>
      <c r="AE7" s="86" t="s">
        <v>78</v>
      </c>
      <c r="AF7" s="86" t="s">
        <v>79</v>
      </c>
      <c r="AG7" s="121" t="s">
        <v>80</v>
      </c>
      <c r="AH7" s="86" t="s">
        <v>55</v>
      </c>
      <c r="AI7" s="86" t="s">
        <v>56</v>
      </c>
      <c r="AJ7" s="125" t="s">
        <v>57</v>
      </c>
      <c r="AK7" s="86" t="s">
        <v>58</v>
      </c>
      <c r="AL7" s="86" t="s">
        <v>59</v>
      </c>
      <c r="AM7" s="86" t="s">
        <v>60</v>
      </c>
      <c r="AN7" s="86" t="s">
        <v>61</v>
      </c>
      <c r="AO7" s="98" t="s">
        <v>3</v>
      </c>
      <c r="AP7" s="98" t="s">
        <v>62</v>
      </c>
      <c r="AQ7" s="98" t="s">
        <v>49</v>
      </c>
      <c r="AR7" s="98" t="s">
        <v>81</v>
      </c>
      <c r="AS7" s="160" t="s">
        <v>2800</v>
      </c>
      <c r="AT7" s="160" t="s">
        <v>1064</v>
      </c>
      <c r="AU7" s="160" t="s">
        <v>2215</v>
      </c>
      <c r="AV7" s="161" t="s">
        <v>1066</v>
      </c>
    </row>
    <row r="8" spans="1:66" ht="15" customHeight="1">
      <c r="A8" s="247"/>
      <c r="B8" s="280" t="str">
        <f t="shared" ref="B8:B27" si="0">IF(B7="x","","x")</f>
        <v/>
      </c>
      <c r="D8" s="237">
        <v>22053</v>
      </c>
      <c r="E8" s="283">
        <v>770454</v>
      </c>
      <c r="F8" s="238">
        <v>12408</v>
      </c>
      <c r="G8" s="239" t="s">
        <v>104</v>
      </c>
      <c r="H8" s="239" t="s">
        <v>412</v>
      </c>
      <c r="I8" s="239" t="s">
        <v>4</v>
      </c>
      <c r="J8" s="239" t="s">
        <v>392</v>
      </c>
      <c r="K8" s="240">
        <v>0.33333333333333331</v>
      </c>
      <c r="L8" s="275">
        <v>0.67499999999999993</v>
      </c>
      <c r="M8" s="275">
        <v>0.34166666666666662</v>
      </c>
      <c r="N8" s="275">
        <v>0.375</v>
      </c>
      <c r="O8" s="275">
        <v>0.5</v>
      </c>
      <c r="P8" s="275">
        <v>0.61111111111111105</v>
      </c>
      <c r="Q8" s="241">
        <v>41065</v>
      </c>
      <c r="R8" s="245" t="str">
        <f t="shared" ref="R8:R39" ca="1" si="1">IF(T8&lt;0,"TRN",IF(AND(T8&gt;=0,T8&lt;7),"OCP W1",IF(AND(T8&gt;=7,T8&lt;14),"OCP W2",IF(AND(T8&gt;=14,T8&lt;21),"OCP W3",IF(T8&gt;=21,"W4+")))))</f>
        <v>W4+</v>
      </c>
      <c r="S8" s="241">
        <v>41088</v>
      </c>
      <c r="T8" s="245">
        <f t="shared" ref="T8:T39" ca="1" si="2">TODAY()-S8</f>
        <v>1632</v>
      </c>
      <c r="U8" s="239" t="s">
        <v>2216</v>
      </c>
      <c r="V8" s="241">
        <v>42587</v>
      </c>
      <c r="W8" s="241">
        <v>42590</v>
      </c>
      <c r="X8" s="241" t="s">
        <v>2</v>
      </c>
      <c r="Y8" s="239" t="s">
        <v>2</v>
      </c>
      <c r="Z8" s="239" t="s">
        <v>2</v>
      </c>
      <c r="AA8" s="239" t="s">
        <v>2</v>
      </c>
      <c r="AB8" s="241" t="s">
        <v>2</v>
      </c>
      <c r="AC8" s="239" t="s">
        <v>2</v>
      </c>
      <c r="AD8" s="239" t="s">
        <v>2</v>
      </c>
      <c r="AE8" s="51">
        <v>5074010</v>
      </c>
      <c r="AF8" s="239" t="s">
        <v>2</v>
      </c>
      <c r="AG8" s="239" t="s">
        <v>2</v>
      </c>
      <c r="AH8" s="216">
        <v>29371</v>
      </c>
      <c r="AI8" s="239" t="s">
        <v>2191</v>
      </c>
      <c r="AJ8" s="53" t="s">
        <v>2</v>
      </c>
      <c r="AK8" s="54" t="s">
        <v>2</v>
      </c>
      <c r="AL8" s="239" t="s">
        <v>775</v>
      </c>
      <c r="AM8" s="239" t="s">
        <v>68</v>
      </c>
      <c r="AN8" s="239" t="s">
        <v>89</v>
      </c>
      <c r="AO8" s="242">
        <v>810000</v>
      </c>
      <c r="AP8" s="281" t="s">
        <v>791</v>
      </c>
      <c r="AQ8" s="281" t="s">
        <v>439</v>
      </c>
      <c r="AR8" s="281" t="s">
        <v>2</v>
      </c>
      <c r="AS8" s="281" t="s">
        <v>413</v>
      </c>
      <c r="AT8" s="281" t="s">
        <v>1081</v>
      </c>
      <c r="AU8" s="281" t="s">
        <v>1249</v>
      </c>
      <c r="AV8" s="243" t="s">
        <v>1249</v>
      </c>
    </row>
    <row r="9" spans="1:66" ht="15" customHeight="1">
      <c r="A9" s="90"/>
      <c r="B9" s="280" t="str">
        <f t="shared" si="0"/>
        <v>x</v>
      </c>
      <c r="D9" s="237">
        <v>22947</v>
      </c>
      <c r="E9" s="283">
        <v>778945</v>
      </c>
      <c r="F9" s="238">
        <v>12650</v>
      </c>
      <c r="G9" s="239" t="s">
        <v>116</v>
      </c>
      <c r="H9" s="239" t="s">
        <v>412</v>
      </c>
      <c r="I9" s="239" t="s">
        <v>4</v>
      </c>
      <c r="J9" s="239" t="s">
        <v>392</v>
      </c>
      <c r="K9" s="275">
        <v>0.40833333333333338</v>
      </c>
      <c r="L9" s="275">
        <v>0.75</v>
      </c>
      <c r="M9" s="275">
        <v>0.34166666666666662</v>
      </c>
      <c r="N9" s="275">
        <v>0.4513888888888889</v>
      </c>
      <c r="O9" s="275">
        <v>0.58333333333333337</v>
      </c>
      <c r="P9" s="275">
        <v>0.70138888888888884</v>
      </c>
      <c r="Q9" s="241">
        <v>41155</v>
      </c>
      <c r="R9" s="245" t="str">
        <f t="shared" ca="1" si="1"/>
        <v>W4+</v>
      </c>
      <c r="S9" s="241">
        <v>41178</v>
      </c>
      <c r="T9" s="245">
        <f t="shared" ca="1" si="2"/>
        <v>1542</v>
      </c>
      <c r="U9" s="239" t="s">
        <v>2216</v>
      </c>
      <c r="V9" s="276">
        <v>42583</v>
      </c>
      <c r="W9" s="241">
        <v>42583</v>
      </c>
      <c r="X9" s="227" t="s">
        <v>2</v>
      </c>
      <c r="Y9" s="239" t="s">
        <v>2</v>
      </c>
      <c r="Z9" s="239" t="s">
        <v>2</v>
      </c>
      <c r="AA9" s="239" t="s">
        <v>2</v>
      </c>
      <c r="AB9" s="241" t="s">
        <v>2</v>
      </c>
      <c r="AC9" s="239" t="s">
        <v>2</v>
      </c>
      <c r="AD9" s="239" t="s">
        <v>2</v>
      </c>
      <c r="AE9" s="51">
        <v>3543120</v>
      </c>
      <c r="AF9" s="239" t="s">
        <v>2</v>
      </c>
      <c r="AG9" s="239" t="s">
        <v>2</v>
      </c>
      <c r="AH9" s="216">
        <v>32958</v>
      </c>
      <c r="AI9" s="239" t="s">
        <v>2195</v>
      </c>
      <c r="AJ9" s="53" t="s">
        <v>2</v>
      </c>
      <c r="AK9" s="54" t="s">
        <v>2</v>
      </c>
      <c r="AL9" s="239" t="s">
        <v>775</v>
      </c>
      <c r="AM9" s="239" t="s">
        <v>68</v>
      </c>
      <c r="AN9" s="239" t="s">
        <v>89</v>
      </c>
      <c r="AO9" s="242">
        <v>810016</v>
      </c>
      <c r="AP9" s="281" t="s">
        <v>803</v>
      </c>
      <c r="AQ9" s="281" t="s">
        <v>451</v>
      </c>
      <c r="AR9" s="281" t="s">
        <v>2</v>
      </c>
      <c r="AS9" s="281" t="s">
        <v>413</v>
      </c>
      <c r="AT9" s="281" t="s">
        <v>1093</v>
      </c>
      <c r="AU9" s="281" t="s">
        <v>1249</v>
      </c>
      <c r="AV9" s="243" t="s">
        <v>1249</v>
      </c>
    </row>
    <row r="10" spans="1:66" ht="15" customHeight="1">
      <c r="A10" s="90"/>
      <c r="B10" s="280" t="str">
        <f t="shared" si="0"/>
        <v/>
      </c>
      <c r="D10" s="237">
        <v>18716</v>
      </c>
      <c r="E10" s="244">
        <v>740172</v>
      </c>
      <c r="F10" s="238">
        <v>12259</v>
      </c>
      <c r="G10" s="239" t="s">
        <v>91</v>
      </c>
      <c r="H10" s="239" t="s">
        <v>412</v>
      </c>
      <c r="I10" s="239" t="s">
        <v>4</v>
      </c>
      <c r="J10" s="239" t="s">
        <v>392</v>
      </c>
      <c r="K10" s="275">
        <v>0.45</v>
      </c>
      <c r="L10" s="275">
        <v>0.79166666666666663</v>
      </c>
      <c r="M10" s="275">
        <v>0.34166666666666662</v>
      </c>
      <c r="N10" s="275">
        <v>0.54166666666666663</v>
      </c>
      <c r="O10" s="275">
        <v>0.59027777777777779</v>
      </c>
      <c r="P10" s="275">
        <v>0.79166666666666663</v>
      </c>
      <c r="Q10" s="241">
        <v>40798</v>
      </c>
      <c r="R10" s="245" t="str">
        <f t="shared" ca="1" si="1"/>
        <v>W4+</v>
      </c>
      <c r="S10" s="241">
        <v>40821</v>
      </c>
      <c r="T10" s="245">
        <f t="shared" ca="1" si="2"/>
        <v>1899</v>
      </c>
      <c r="U10" s="239" t="s">
        <v>2216</v>
      </c>
      <c r="V10" s="241">
        <v>42646</v>
      </c>
      <c r="W10" s="241">
        <v>42646</v>
      </c>
      <c r="X10" s="241" t="s">
        <v>2</v>
      </c>
      <c r="Y10" s="239" t="s">
        <v>2</v>
      </c>
      <c r="Z10" s="239" t="s">
        <v>2</v>
      </c>
      <c r="AA10" s="239" t="s">
        <v>2</v>
      </c>
      <c r="AB10" s="241" t="s">
        <v>2</v>
      </c>
      <c r="AC10" s="239" t="s">
        <v>2</v>
      </c>
      <c r="AD10" s="239" t="s">
        <v>2</v>
      </c>
      <c r="AE10" s="51">
        <v>7980050</v>
      </c>
      <c r="AF10" s="239" t="s">
        <v>2</v>
      </c>
      <c r="AG10" s="239" t="s">
        <v>2</v>
      </c>
      <c r="AH10" s="216">
        <v>32622</v>
      </c>
      <c r="AI10" s="239" t="s">
        <v>2196</v>
      </c>
      <c r="AJ10" s="53" t="s">
        <v>2</v>
      </c>
      <c r="AK10" s="54" t="s">
        <v>2</v>
      </c>
      <c r="AL10" s="239" t="s">
        <v>775</v>
      </c>
      <c r="AM10" s="239" t="s">
        <v>68</v>
      </c>
      <c r="AN10" s="239" t="s">
        <v>89</v>
      </c>
      <c r="AO10" s="242">
        <v>810020</v>
      </c>
      <c r="AP10" s="281" t="s">
        <v>778</v>
      </c>
      <c r="AQ10" s="281" t="s">
        <v>426</v>
      </c>
      <c r="AR10" s="281" t="s">
        <v>2</v>
      </c>
      <c r="AS10" s="281" t="s">
        <v>413</v>
      </c>
      <c r="AT10" s="281" t="s">
        <v>1068</v>
      </c>
      <c r="AU10" s="281" t="s">
        <v>1249</v>
      </c>
      <c r="AV10" s="243" t="s">
        <v>1249</v>
      </c>
    </row>
    <row r="11" spans="1:66" ht="15" customHeight="1">
      <c r="A11" s="90"/>
      <c r="B11" s="280" t="str">
        <f t="shared" si="0"/>
        <v>x</v>
      </c>
      <c r="D11" s="237">
        <v>23412</v>
      </c>
      <c r="E11" s="283">
        <v>786543</v>
      </c>
      <c r="F11" s="238">
        <v>12320</v>
      </c>
      <c r="G11" s="239" t="s">
        <v>98</v>
      </c>
      <c r="H11" s="239" t="s">
        <v>412</v>
      </c>
      <c r="I11" s="314" t="s">
        <v>4</v>
      </c>
      <c r="J11" s="239" t="s">
        <v>392</v>
      </c>
      <c r="K11" s="275">
        <v>0.4916666666666667</v>
      </c>
      <c r="L11" s="275">
        <v>0.83333333333333337</v>
      </c>
      <c r="M11" s="275">
        <v>0.34166666666666662</v>
      </c>
      <c r="N11" s="275">
        <v>0.66666666666666663</v>
      </c>
      <c r="O11" s="275">
        <v>0.72222222222222221</v>
      </c>
      <c r="P11" s="275">
        <v>0.77777777777777779</v>
      </c>
      <c r="Q11" s="241">
        <v>41219</v>
      </c>
      <c r="R11" s="245" t="str">
        <f t="shared" ca="1" si="1"/>
        <v>W4+</v>
      </c>
      <c r="S11" s="241">
        <v>41242</v>
      </c>
      <c r="T11" s="245">
        <f t="shared" ca="1" si="2"/>
        <v>1478</v>
      </c>
      <c r="U11" s="239" t="s">
        <v>2216</v>
      </c>
      <c r="V11" s="241">
        <v>42587</v>
      </c>
      <c r="W11" s="241">
        <v>42590</v>
      </c>
      <c r="X11" s="227" t="s">
        <v>2</v>
      </c>
      <c r="Y11" s="239" t="s">
        <v>2</v>
      </c>
      <c r="Z11" s="239" t="s">
        <v>2</v>
      </c>
      <c r="AA11" s="239" t="s">
        <v>2</v>
      </c>
      <c r="AB11" s="276" t="s">
        <v>2</v>
      </c>
      <c r="AC11" s="239" t="s">
        <v>2</v>
      </c>
      <c r="AD11" s="239" t="s">
        <v>2</v>
      </c>
      <c r="AE11" s="51">
        <v>6288210</v>
      </c>
      <c r="AF11" s="239" t="s">
        <v>2</v>
      </c>
      <c r="AG11" s="239" t="s">
        <v>2</v>
      </c>
      <c r="AH11" s="216">
        <v>33609</v>
      </c>
      <c r="AI11" s="239" t="s">
        <v>2193</v>
      </c>
      <c r="AJ11" s="278" t="s">
        <v>2</v>
      </c>
      <c r="AK11" s="279" t="s">
        <v>2</v>
      </c>
      <c r="AL11" s="239" t="s">
        <v>775</v>
      </c>
      <c r="AM11" s="239" t="s">
        <v>68</v>
      </c>
      <c r="AN11" s="239" t="s">
        <v>89</v>
      </c>
      <c r="AO11" s="242">
        <v>810028</v>
      </c>
      <c r="AP11" s="246" t="s">
        <v>785</v>
      </c>
      <c r="AQ11" s="153" t="s">
        <v>433</v>
      </c>
      <c r="AR11" s="154" t="s">
        <v>2</v>
      </c>
      <c r="AS11" s="154" t="s">
        <v>413</v>
      </c>
      <c r="AT11" s="154" t="s">
        <v>1075</v>
      </c>
      <c r="AU11" s="154" t="s">
        <v>1249</v>
      </c>
      <c r="AV11" s="162" t="s">
        <v>1249</v>
      </c>
    </row>
    <row r="12" spans="1:66" ht="15" customHeight="1">
      <c r="A12" s="90"/>
      <c r="B12" s="280" t="str">
        <f t="shared" si="0"/>
        <v/>
      </c>
      <c r="D12" s="237">
        <v>18202</v>
      </c>
      <c r="E12" s="283">
        <v>734526</v>
      </c>
      <c r="F12" s="238">
        <v>12477</v>
      </c>
      <c r="G12" s="239" t="s">
        <v>118</v>
      </c>
      <c r="H12" s="239" t="s">
        <v>412</v>
      </c>
      <c r="I12" s="274" t="s">
        <v>6</v>
      </c>
      <c r="J12" s="239" t="s">
        <v>392</v>
      </c>
      <c r="K12" s="275">
        <v>0.54166666666666663</v>
      </c>
      <c r="L12" s="275">
        <v>0.80555555555555547</v>
      </c>
      <c r="M12" s="275">
        <v>0.2638888888888889</v>
      </c>
      <c r="N12" s="275" t="s">
        <v>2</v>
      </c>
      <c r="O12" s="275" t="s">
        <v>2</v>
      </c>
      <c r="P12" s="275" t="s">
        <v>2</v>
      </c>
      <c r="Q12" s="241">
        <v>40735</v>
      </c>
      <c r="R12" s="245" t="str">
        <f t="shared" ca="1" si="1"/>
        <v>W4+</v>
      </c>
      <c r="S12" s="241">
        <v>40758</v>
      </c>
      <c r="T12" s="245">
        <f t="shared" ca="1" si="2"/>
        <v>1962</v>
      </c>
      <c r="U12" s="239" t="s">
        <v>2216</v>
      </c>
      <c r="V12" s="241">
        <v>42583</v>
      </c>
      <c r="W12" s="241">
        <v>42583</v>
      </c>
      <c r="X12" s="276" t="s">
        <v>2</v>
      </c>
      <c r="Y12" s="239" t="s">
        <v>2</v>
      </c>
      <c r="Z12" s="274" t="s">
        <v>2</v>
      </c>
      <c r="AA12" s="274" t="s">
        <v>2</v>
      </c>
      <c r="AB12" s="314" t="s">
        <v>2</v>
      </c>
      <c r="AC12" s="274" t="s">
        <v>2</v>
      </c>
      <c r="AD12" s="274" t="s">
        <v>2</v>
      </c>
      <c r="AE12" s="51">
        <v>3911020</v>
      </c>
      <c r="AF12" s="274" t="s">
        <v>2</v>
      </c>
      <c r="AG12" s="274" t="s">
        <v>2</v>
      </c>
      <c r="AH12" s="216">
        <v>24292</v>
      </c>
      <c r="AI12" s="274" t="s">
        <v>2195</v>
      </c>
      <c r="AJ12" s="314" t="s">
        <v>2</v>
      </c>
      <c r="AK12" s="314" t="s">
        <v>2</v>
      </c>
      <c r="AL12" s="239" t="s">
        <v>775</v>
      </c>
      <c r="AM12" s="239" t="s">
        <v>68</v>
      </c>
      <c r="AN12" s="239" t="s">
        <v>89</v>
      </c>
      <c r="AO12" s="242">
        <v>810022</v>
      </c>
      <c r="AP12" s="281" t="s">
        <v>805</v>
      </c>
      <c r="AQ12" s="281" t="s">
        <v>453</v>
      </c>
      <c r="AR12" s="281" t="s">
        <v>2</v>
      </c>
      <c r="AS12" s="281" t="s">
        <v>413</v>
      </c>
      <c r="AT12" s="281" t="s">
        <v>1095</v>
      </c>
      <c r="AU12" s="281" t="s">
        <v>1249</v>
      </c>
      <c r="AV12" s="282" t="s">
        <v>1249</v>
      </c>
    </row>
    <row r="13" spans="1:66" ht="15" customHeight="1">
      <c r="A13" s="90"/>
      <c r="B13" s="280" t="str">
        <f t="shared" si="0"/>
        <v>x</v>
      </c>
      <c r="D13" s="237">
        <v>13396</v>
      </c>
      <c r="E13" s="244">
        <v>704136</v>
      </c>
      <c r="F13" s="238">
        <v>12480</v>
      </c>
      <c r="G13" s="239" t="s">
        <v>135</v>
      </c>
      <c r="H13" s="239" t="s">
        <v>411</v>
      </c>
      <c r="I13" s="239" t="s">
        <v>4</v>
      </c>
      <c r="J13" s="239" t="s">
        <v>394</v>
      </c>
      <c r="K13" s="275">
        <v>0.33333333333333298</v>
      </c>
      <c r="L13" s="275">
        <v>0.70833333333333304</v>
      </c>
      <c r="M13" s="275">
        <v>0.375</v>
      </c>
      <c r="N13" s="275">
        <v>0.3888888888888889</v>
      </c>
      <c r="O13" s="275">
        <v>0.4513888888888889</v>
      </c>
      <c r="P13" s="275">
        <v>0.54166666666666663</v>
      </c>
      <c r="Q13" s="241">
        <v>40399</v>
      </c>
      <c r="R13" s="245" t="str">
        <f t="shared" ca="1" si="1"/>
        <v>W4+</v>
      </c>
      <c r="S13" s="241">
        <v>40422</v>
      </c>
      <c r="T13" s="245">
        <f t="shared" ca="1" si="2"/>
        <v>2298</v>
      </c>
      <c r="U13" s="239" t="s">
        <v>2217</v>
      </c>
      <c r="V13" s="241">
        <v>42538</v>
      </c>
      <c r="W13" s="241">
        <v>42541</v>
      </c>
      <c r="X13" s="241">
        <v>42570</v>
      </c>
      <c r="Y13" s="239" t="s">
        <v>2</v>
      </c>
      <c r="Z13" s="239" t="s">
        <v>2</v>
      </c>
      <c r="AA13" s="239" t="s">
        <v>2</v>
      </c>
      <c r="AB13" s="241" t="s">
        <v>2</v>
      </c>
      <c r="AC13" s="239" t="s">
        <v>1250</v>
      </c>
      <c r="AD13" s="239" t="s">
        <v>2</v>
      </c>
      <c r="AE13" s="51">
        <v>5202150</v>
      </c>
      <c r="AF13" s="239" t="s">
        <v>2</v>
      </c>
      <c r="AG13" s="239" t="s">
        <v>2</v>
      </c>
      <c r="AH13" s="216">
        <v>33212</v>
      </c>
      <c r="AI13" s="239" t="s">
        <v>2191</v>
      </c>
      <c r="AJ13" s="53" t="s">
        <v>2</v>
      </c>
      <c r="AK13" s="54" t="s">
        <v>2</v>
      </c>
      <c r="AL13" s="239" t="s">
        <v>775</v>
      </c>
      <c r="AM13" s="239" t="s">
        <v>68</v>
      </c>
      <c r="AN13" s="239" t="s">
        <v>89</v>
      </c>
      <c r="AO13" s="242" t="s">
        <v>2</v>
      </c>
      <c r="AP13" s="281" t="s">
        <v>822</v>
      </c>
      <c r="AQ13" s="281" t="s">
        <v>470</v>
      </c>
      <c r="AR13" s="281" t="s">
        <v>2</v>
      </c>
      <c r="AS13" s="281" t="s">
        <v>413</v>
      </c>
      <c r="AT13" s="281" t="s">
        <v>1111</v>
      </c>
      <c r="AU13" s="281" t="s">
        <v>2</v>
      </c>
      <c r="AV13" s="243" t="s">
        <v>2</v>
      </c>
    </row>
    <row r="14" spans="1:66" ht="15" customHeight="1">
      <c r="A14" s="90"/>
      <c r="B14" s="280" t="str">
        <f t="shared" si="0"/>
        <v/>
      </c>
      <c r="D14" s="237">
        <v>23288</v>
      </c>
      <c r="E14" s="244">
        <v>783902</v>
      </c>
      <c r="F14" s="238">
        <v>12754</v>
      </c>
      <c r="G14" s="239" t="s">
        <v>140</v>
      </c>
      <c r="H14" s="239" t="s">
        <v>411</v>
      </c>
      <c r="I14" s="239" t="s">
        <v>4</v>
      </c>
      <c r="J14" s="239" t="s">
        <v>394</v>
      </c>
      <c r="K14" s="275">
        <v>0.33333333333333331</v>
      </c>
      <c r="L14" s="275">
        <v>0.70833333333333337</v>
      </c>
      <c r="M14" s="275">
        <v>0.375</v>
      </c>
      <c r="N14" s="275">
        <v>0.44444444444444442</v>
      </c>
      <c r="O14" s="275">
        <v>0.5</v>
      </c>
      <c r="P14" s="275">
        <v>0.64583333333333337</v>
      </c>
      <c r="Q14" s="241">
        <v>41199</v>
      </c>
      <c r="R14" s="245" t="str">
        <f t="shared" ca="1" si="1"/>
        <v>W4+</v>
      </c>
      <c r="S14" s="241">
        <v>41222</v>
      </c>
      <c r="T14" s="245">
        <f t="shared" ca="1" si="2"/>
        <v>1498</v>
      </c>
      <c r="U14" s="239" t="s">
        <v>2217</v>
      </c>
      <c r="V14" s="241">
        <v>42562</v>
      </c>
      <c r="W14" s="241">
        <v>42559</v>
      </c>
      <c r="X14" s="241" t="s">
        <v>2</v>
      </c>
      <c r="Y14" s="239" t="s">
        <v>2</v>
      </c>
      <c r="Z14" s="239" t="s">
        <v>2</v>
      </c>
      <c r="AA14" s="239" t="s">
        <v>2</v>
      </c>
      <c r="AB14" s="241" t="s">
        <v>2</v>
      </c>
      <c r="AC14" s="239" t="s">
        <v>1250</v>
      </c>
      <c r="AD14" s="239" t="s">
        <v>2</v>
      </c>
      <c r="AE14" s="51">
        <v>2860001</v>
      </c>
      <c r="AF14" s="239" t="s">
        <v>2</v>
      </c>
      <c r="AG14" s="239" t="s">
        <v>2</v>
      </c>
      <c r="AH14" s="216">
        <v>32926</v>
      </c>
      <c r="AI14" s="239" t="s">
        <v>2189</v>
      </c>
      <c r="AJ14" s="278" t="s">
        <v>2</v>
      </c>
      <c r="AK14" s="279" t="s">
        <v>2</v>
      </c>
      <c r="AL14" s="239" t="s">
        <v>775</v>
      </c>
      <c r="AM14" s="239" t="s">
        <v>68</v>
      </c>
      <c r="AN14" s="239" t="s">
        <v>89</v>
      </c>
      <c r="AO14" s="242" t="s">
        <v>2</v>
      </c>
      <c r="AP14" s="281" t="s">
        <v>827</v>
      </c>
      <c r="AQ14" s="281" t="s">
        <v>475</v>
      </c>
      <c r="AR14" s="281" t="s">
        <v>2</v>
      </c>
      <c r="AS14" s="281" t="s">
        <v>413</v>
      </c>
      <c r="AT14" s="281" t="s">
        <v>1116</v>
      </c>
      <c r="AU14" s="281" t="s">
        <v>1249</v>
      </c>
      <c r="AV14" s="243" t="s">
        <v>2</v>
      </c>
    </row>
    <row r="15" spans="1:66" ht="15" customHeight="1">
      <c r="A15" s="90"/>
      <c r="B15" s="280" t="str">
        <f t="shared" si="0"/>
        <v>x</v>
      </c>
      <c r="D15" s="272">
        <v>20732</v>
      </c>
      <c r="E15" s="244">
        <v>761487</v>
      </c>
      <c r="F15" s="238">
        <v>12553</v>
      </c>
      <c r="G15" s="239" t="s">
        <v>137</v>
      </c>
      <c r="H15" s="239" t="s">
        <v>411</v>
      </c>
      <c r="I15" s="239" t="s">
        <v>4</v>
      </c>
      <c r="J15" s="239" t="s">
        <v>394</v>
      </c>
      <c r="K15" s="275">
        <v>0.33333333333333331</v>
      </c>
      <c r="L15" s="275">
        <v>0.70833333333333337</v>
      </c>
      <c r="M15" s="275">
        <v>0.375</v>
      </c>
      <c r="N15" s="275">
        <v>0.41666666666666669</v>
      </c>
      <c r="O15" s="275">
        <v>0.5</v>
      </c>
      <c r="P15" s="275">
        <v>0.58333333333333337</v>
      </c>
      <c r="Q15" s="241">
        <v>40952</v>
      </c>
      <c r="R15" s="245" t="str">
        <f t="shared" ca="1" si="1"/>
        <v>W4+</v>
      </c>
      <c r="S15" s="241">
        <v>40975</v>
      </c>
      <c r="T15" s="245">
        <f t="shared" ca="1" si="2"/>
        <v>1745</v>
      </c>
      <c r="U15" s="239" t="s">
        <v>2218</v>
      </c>
      <c r="V15" s="241">
        <v>42461</v>
      </c>
      <c r="W15" s="241">
        <v>42464</v>
      </c>
      <c r="X15" s="276" t="s">
        <v>2</v>
      </c>
      <c r="Y15" s="239" t="s">
        <v>2</v>
      </c>
      <c r="Z15" s="274" t="s">
        <v>2</v>
      </c>
      <c r="AA15" s="274" t="s">
        <v>2</v>
      </c>
      <c r="AB15" s="241" t="s">
        <v>2</v>
      </c>
      <c r="AC15" s="239" t="s">
        <v>1250</v>
      </c>
      <c r="AD15" s="239" t="s">
        <v>2</v>
      </c>
      <c r="AE15" s="51">
        <v>4252000</v>
      </c>
      <c r="AF15" s="274" t="s">
        <v>2</v>
      </c>
      <c r="AG15" s="274" t="s">
        <v>2</v>
      </c>
      <c r="AH15" s="216">
        <v>30659</v>
      </c>
      <c r="AI15" s="274" t="s">
        <v>2188</v>
      </c>
      <c r="AJ15" s="278" t="s">
        <v>2</v>
      </c>
      <c r="AK15" s="279" t="s">
        <v>2</v>
      </c>
      <c r="AL15" s="239" t="s">
        <v>775</v>
      </c>
      <c r="AM15" s="239" t="s">
        <v>68</v>
      </c>
      <c r="AN15" s="239" t="s">
        <v>89</v>
      </c>
      <c r="AO15" s="242" t="s">
        <v>2</v>
      </c>
      <c r="AP15" s="246" t="s">
        <v>824</v>
      </c>
      <c r="AQ15" s="153" t="s">
        <v>472</v>
      </c>
      <c r="AR15" s="154" t="s">
        <v>2</v>
      </c>
      <c r="AS15" s="154" t="s">
        <v>413</v>
      </c>
      <c r="AT15" s="154" t="s">
        <v>1113</v>
      </c>
      <c r="AU15" s="154" t="s">
        <v>1249</v>
      </c>
      <c r="AV15" s="162" t="s">
        <v>2</v>
      </c>
    </row>
    <row r="16" spans="1:66" ht="15" customHeight="1">
      <c r="A16" s="90"/>
      <c r="B16" s="280" t="str">
        <f t="shared" si="0"/>
        <v/>
      </c>
      <c r="D16" s="237">
        <v>15491</v>
      </c>
      <c r="E16" s="244">
        <v>720610</v>
      </c>
      <c r="F16" s="238">
        <v>12430</v>
      </c>
      <c r="G16" s="239" t="s">
        <v>138</v>
      </c>
      <c r="H16" s="239" t="s">
        <v>411</v>
      </c>
      <c r="I16" s="239" t="s">
        <v>5</v>
      </c>
      <c r="J16" s="239" t="s">
        <v>394</v>
      </c>
      <c r="K16" s="275">
        <v>0.33333333333333331</v>
      </c>
      <c r="L16" s="275">
        <v>0.67499999999999993</v>
      </c>
      <c r="M16" s="275">
        <v>0.34166666666666662</v>
      </c>
      <c r="N16" s="275">
        <v>0.3888888888888889</v>
      </c>
      <c r="O16" s="275">
        <v>0.4513888888888889</v>
      </c>
      <c r="P16" s="275">
        <v>0.54166666666666663</v>
      </c>
      <c r="Q16" s="241">
        <v>40603</v>
      </c>
      <c r="R16" s="245" t="str">
        <f t="shared" ca="1" si="1"/>
        <v>W4+</v>
      </c>
      <c r="S16" s="241">
        <v>40626</v>
      </c>
      <c r="T16" s="245">
        <f t="shared" ca="1" si="2"/>
        <v>2094</v>
      </c>
      <c r="U16" s="239" t="s">
        <v>2219</v>
      </c>
      <c r="V16" s="241">
        <v>42719</v>
      </c>
      <c r="W16" s="241">
        <v>42719</v>
      </c>
      <c r="X16" s="276">
        <v>42748</v>
      </c>
      <c r="Y16" s="239" t="s">
        <v>2</v>
      </c>
      <c r="Z16" s="239" t="s">
        <v>2</v>
      </c>
      <c r="AA16" s="239" t="s">
        <v>2</v>
      </c>
      <c r="AB16" s="241" t="s">
        <v>2</v>
      </c>
      <c r="AC16" s="239" t="s">
        <v>1250</v>
      </c>
      <c r="AD16" s="239" t="s">
        <v>2</v>
      </c>
      <c r="AE16" s="51">
        <v>4474160</v>
      </c>
      <c r="AF16" s="239" t="s">
        <v>2</v>
      </c>
      <c r="AG16" s="239" t="s">
        <v>2</v>
      </c>
      <c r="AH16" s="216">
        <v>32945</v>
      </c>
      <c r="AI16" s="239" t="s">
        <v>2188</v>
      </c>
      <c r="AJ16" s="53" t="s">
        <v>2</v>
      </c>
      <c r="AK16" s="54" t="s">
        <v>2</v>
      </c>
      <c r="AL16" s="239" t="s">
        <v>775</v>
      </c>
      <c r="AM16" s="239" t="s">
        <v>68</v>
      </c>
      <c r="AN16" s="239" t="s">
        <v>89</v>
      </c>
      <c r="AO16" s="242" t="s">
        <v>2</v>
      </c>
      <c r="AP16" s="281" t="s">
        <v>825</v>
      </c>
      <c r="AQ16" s="281" t="s">
        <v>473</v>
      </c>
      <c r="AR16" s="281" t="s">
        <v>2</v>
      </c>
      <c r="AS16" s="281" t="s">
        <v>413</v>
      </c>
      <c r="AT16" s="281" t="s">
        <v>1114</v>
      </c>
      <c r="AU16" s="281" t="s">
        <v>1249</v>
      </c>
      <c r="AV16" s="282" t="s">
        <v>2</v>
      </c>
    </row>
    <row r="17" spans="1:48" ht="15" customHeight="1">
      <c r="A17" s="90"/>
      <c r="B17" s="280" t="str">
        <f t="shared" si="0"/>
        <v>x</v>
      </c>
      <c r="D17" s="237">
        <v>12959</v>
      </c>
      <c r="E17" s="244">
        <v>699672</v>
      </c>
      <c r="F17" s="238">
        <v>12588</v>
      </c>
      <c r="G17" s="239" t="s">
        <v>142</v>
      </c>
      <c r="H17" s="239" t="s">
        <v>411</v>
      </c>
      <c r="I17" s="239" t="s">
        <v>4</v>
      </c>
      <c r="J17" s="239" t="s">
        <v>394</v>
      </c>
      <c r="K17" s="275">
        <v>0.33333333333333331</v>
      </c>
      <c r="L17" s="275">
        <v>0.70833333333333337</v>
      </c>
      <c r="M17" s="275">
        <v>0.375</v>
      </c>
      <c r="N17" s="275" t="s">
        <v>2</v>
      </c>
      <c r="O17" s="275" t="s">
        <v>2</v>
      </c>
      <c r="P17" s="275" t="s">
        <v>2</v>
      </c>
      <c r="Q17" s="241">
        <v>40338</v>
      </c>
      <c r="R17" s="245" t="str">
        <f t="shared" ca="1" si="1"/>
        <v>W4+</v>
      </c>
      <c r="S17" s="241">
        <v>40361</v>
      </c>
      <c r="T17" s="245">
        <f t="shared" ca="1" si="2"/>
        <v>2359</v>
      </c>
      <c r="U17" s="239" t="s">
        <v>2217</v>
      </c>
      <c r="V17" s="241">
        <v>42408</v>
      </c>
      <c r="W17" s="241">
        <v>42410</v>
      </c>
      <c r="X17" s="241" t="s">
        <v>2</v>
      </c>
      <c r="Y17" s="239" t="s">
        <v>2</v>
      </c>
      <c r="Z17" s="274" t="s">
        <v>2</v>
      </c>
      <c r="AA17" s="274" t="s">
        <v>2</v>
      </c>
      <c r="AB17" s="241" t="s">
        <v>2</v>
      </c>
      <c r="AC17" s="274" t="s">
        <v>1250</v>
      </c>
      <c r="AD17" s="274" t="s">
        <v>2</v>
      </c>
      <c r="AE17" s="51">
        <v>8042280</v>
      </c>
      <c r="AF17" s="279" t="s">
        <v>2</v>
      </c>
      <c r="AG17" s="279" t="s">
        <v>2</v>
      </c>
      <c r="AH17" s="216">
        <v>28276</v>
      </c>
      <c r="AI17" s="279" t="s">
        <v>2194</v>
      </c>
      <c r="AJ17" s="279" t="s">
        <v>2</v>
      </c>
      <c r="AK17" s="279" t="s">
        <v>2</v>
      </c>
      <c r="AL17" s="239" t="s">
        <v>775</v>
      </c>
      <c r="AM17" s="239" t="s">
        <v>68</v>
      </c>
      <c r="AN17" s="239" t="s">
        <v>89</v>
      </c>
      <c r="AO17" s="242" t="s">
        <v>2</v>
      </c>
      <c r="AP17" s="246" t="s">
        <v>829</v>
      </c>
      <c r="AQ17" s="153" t="s">
        <v>477</v>
      </c>
      <c r="AR17" s="154" t="s">
        <v>2</v>
      </c>
      <c r="AS17" s="154" t="s">
        <v>413</v>
      </c>
      <c r="AT17" s="154" t="s">
        <v>1118</v>
      </c>
      <c r="AU17" s="154" t="s">
        <v>1249</v>
      </c>
      <c r="AV17" s="162" t="s">
        <v>2</v>
      </c>
    </row>
    <row r="18" spans="1:48" ht="15" customHeight="1">
      <c r="A18" s="90"/>
      <c r="B18" s="280" t="str">
        <f t="shared" si="0"/>
        <v/>
      </c>
      <c r="D18" s="237">
        <v>28283</v>
      </c>
      <c r="E18" s="244">
        <v>839988</v>
      </c>
      <c r="F18" s="238">
        <v>12587</v>
      </c>
      <c r="G18" s="239" t="s">
        <v>378</v>
      </c>
      <c r="H18" s="48" t="s">
        <v>411</v>
      </c>
      <c r="I18" s="274" t="s">
        <v>4</v>
      </c>
      <c r="J18" s="239" t="s">
        <v>394</v>
      </c>
      <c r="K18" s="275">
        <v>0.33333333333333331</v>
      </c>
      <c r="L18" s="275">
        <v>0.67499999999999993</v>
      </c>
      <c r="M18" s="275">
        <v>0.34166666666666662</v>
      </c>
      <c r="N18" s="275" t="s">
        <v>2</v>
      </c>
      <c r="O18" s="275" t="s">
        <v>2</v>
      </c>
      <c r="P18" s="275" t="s">
        <v>2</v>
      </c>
      <c r="Q18" s="241">
        <v>41765</v>
      </c>
      <c r="R18" s="245" t="str">
        <f t="shared" ca="1" si="1"/>
        <v>W4+</v>
      </c>
      <c r="S18" s="241">
        <v>41796</v>
      </c>
      <c r="T18" s="245">
        <f t="shared" ca="1" si="2"/>
        <v>924</v>
      </c>
      <c r="U18" s="239" t="s">
        <v>2217</v>
      </c>
      <c r="V18" s="241">
        <v>42596</v>
      </c>
      <c r="W18" s="276">
        <v>42597</v>
      </c>
      <c r="X18" s="276" t="s">
        <v>2</v>
      </c>
      <c r="Y18" s="239" t="s">
        <v>2</v>
      </c>
      <c r="Z18" s="274" t="s">
        <v>2</v>
      </c>
      <c r="AA18" s="274" t="s">
        <v>2</v>
      </c>
      <c r="AB18" s="241" t="s">
        <v>2</v>
      </c>
      <c r="AC18" s="239" t="s">
        <v>1250</v>
      </c>
      <c r="AD18" s="239" t="s">
        <v>2</v>
      </c>
      <c r="AE18" s="51" t="s">
        <v>774</v>
      </c>
      <c r="AF18" s="239" t="s">
        <v>2</v>
      </c>
      <c r="AG18" s="239" t="s">
        <v>2</v>
      </c>
      <c r="AH18" s="216" t="s">
        <v>2</v>
      </c>
      <c r="AI18" s="239" t="s">
        <v>2195</v>
      </c>
      <c r="AJ18" s="278" t="s">
        <v>2</v>
      </c>
      <c r="AK18" s="279" t="s">
        <v>2</v>
      </c>
      <c r="AL18" s="239" t="s">
        <v>775</v>
      </c>
      <c r="AM18" s="239" t="s">
        <v>68</v>
      </c>
      <c r="AN18" s="239" t="s">
        <v>89</v>
      </c>
      <c r="AO18" s="96" t="s">
        <v>2</v>
      </c>
      <c r="AP18" s="281" t="s">
        <v>1052</v>
      </c>
      <c r="AQ18" s="281" t="s">
        <v>703</v>
      </c>
      <c r="AR18" s="281" t="s">
        <v>2</v>
      </c>
      <c r="AS18" s="281" t="s">
        <v>413</v>
      </c>
      <c r="AT18" s="281" t="s">
        <v>1235</v>
      </c>
      <c r="AU18" s="281" t="s">
        <v>1249</v>
      </c>
      <c r="AV18" s="243" t="s">
        <v>2</v>
      </c>
    </row>
    <row r="19" spans="1:48" ht="15" customHeight="1">
      <c r="A19" s="90"/>
      <c r="B19" s="280" t="str">
        <f t="shared" si="0"/>
        <v>x</v>
      </c>
      <c r="D19" s="237">
        <v>29317</v>
      </c>
      <c r="E19" s="244">
        <v>858695</v>
      </c>
      <c r="F19" s="238">
        <v>12338</v>
      </c>
      <c r="G19" s="239" t="s">
        <v>139</v>
      </c>
      <c r="H19" s="239" t="s">
        <v>411</v>
      </c>
      <c r="I19" s="314" t="s">
        <v>4</v>
      </c>
      <c r="J19" s="239" t="s">
        <v>394</v>
      </c>
      <c r="K19" s="275">
        <v>0.33333333333333331</v>
      </c>
      <c r="L19" s="275">
        <v>0.67499999999999993</v>
      </c>
      <c r="M19" s="275">
        <v>0.34166666666666662</v>
      </c>
      <c r="N19" s="275">
        <v>0.43055555555555558</v>
      </c>
      <c r="O19" s="275">
        <v>0.54166666666666663</v>
      </c>
      <c r="P19" s="275">
        <v>0.65277777777777779</v>
      </c>
      <c r="Q19" s="241">
        <v>41918</v>
      </c>
      <c r="R19" s="245" t="str">
        <f t="shared" ca="1" si="1"/>
        <v>W4+</v>
      </c>
      <c r="S19" s="241">
        <v>41944</v>
      </c>
      <c r="T19" s="245">
        <f t="shared" ca="1" si="2"/>
        <v>776</v>
      </c>
      <c r="U19" s="239" t="s">
        <v>2217</v>
      </c>
      <c r="V19" s="241">
        <v>42320</v>
      </c>
      <c r="W19" s="241" t="s">
        <v>2</v>
      </c>
      <c r="X19" s="241" t="s">
        <v>2</v>
      </c>
      <c r="Y19" s="239" t="s">
        <v>2</v>
      </c>
      <c r="Z19" s="239" t="s">
        <v>2</v>
      </c>
      <c r="AA19" s="239" t="s">
        <v>2</v>
      </c>
      <c r="AB19" s="241" t="s">
        <v>2</v>
      </c>
      <c r="AC19" s="239" t="s">
        <v>1250</v>
      </c>
      <c r="AD19" s="239" t="s">
        <v>2</v>
      </c>
      <c r="AE19" s="51" t="s">
        <v>709</v>
      </c>
      <c r="AF19" s="239" t="s">
        <v>2</v>
      </c>
      <c r="AG19" s="239" t="s">
        <v>2</v>
      </c>
      <c r="AH19" s="216">
        <v>35275</v>
      </c>
      <c r="AI19" s="239" t="s">
        <v>2194</v>
      </c>
      <c r="AJ19" s="314" t="s">
        <v>2</v>
      </c>
      <c r="AK19" s="314" t="s">
        <v>2</v>
      </c>
      <c r="AL19" s="239" t="s">
        <v>775</v>
      </c>
      <c r="AM19" s="239" t="s">
        <v>68</v>
      </c>
      <c r="AN19" s="239" t="s">
        <v>89</v>
      </c>
      <c r="AO19" s="96" t="s">
        <v>2</v>
      </c>
      <c r="AP19" s="281" t="s">
        <v>826</v>
      </c>
      <c r="AQ19" s="281" t="s">
        <v>474</v>
      </c>
      <c r="AR19" s="281" t="s">
        <v>2</v>
      </c>
      <c r="AS19" s="281" t="s">
        <v>413</v>
      </c>
      <c r="AT19" s="281" t="s">
        <v>1115</v>
      </c>
      <c r="AU19" s="281" t="s">
        <v>1249</v>
      </c>
      <c r="AV19" s="243" t="s">
        <v>2</v>
      </c>
    </row>
    <row r="20" spans="1:48" ht="15" customHeight="1">
      <c r="A20" s="90"/>
      <c r="B20" s="280" t="str">
        <f t="shared" si="0"/>
        <v/>
      </c>
      <c r="D20" s="237">
        <v>30465</v>
      </c>
      <c r="E20" s="244">
        <v>876678</v>
      </c>
      <c r="F20" s="238">
        <v>12812</v>
      </c>
      <c r="G20" s="239" t="s">
        <v>244</v>
      </c>
      <c r="H20" s="239" t="s">
        <v>411</v>
      </c>
      <c r="I20" s="239" t="s">
        <v>4</v>
      </c>
      <c r="J20" s="239" t="s">
        <v>394</v>
      </c>
      <c r="K20" s="275">
        <v>0.375</v>
      </c>
      <c r="L20" s="275">
        <v>0.71666666666666667</v>
      </c>
      <c r="M20" s="275">
        <v>0.34166666666666662</v>
      </c>
      <c r="N20" s="275" t="s">
        <v>2</v>
      </c>
      <c r="O20" s="275" t="s">
        <v>2</v>
      </c>
      <c r="P20" s="275" t="s">
        <v>2</v>
      </c>
      <c r="Q20" s="241">
        <v>42079</v>
      </c>
      <c r="R20" s="245" t="str">
        <f t="shared" ca="1" si="1"/>
        <v>W4+</v>
      </c>
      <c r="S20" s="241">
        <v>42100</v>
      </c>
      <c r="T20" s="245">
        <f t="shared" ca="1" si="2"/>
        <v>620</v>
      </c>
      <c r="U20" s="239" t="s">
        <v>2217</v>
      </c>
      <c r="V20" s="241">
        <v>42587</v>
      </c>
      <c r="W20" s="241">
        <v>42586</v>
      </c>
      <c r="X20" s="241">
        <v>42615</v>
      </c>
      <c r="Y20" s="239" t="s">
        <v>2</v>
      </c>
      <c r="Z20" s="274" t="s">
        <v>398</v>
      </c>
      <c r="AA20" s="274" t="s">
        <v>394</v>
      </c>
      <c r="AB20" s="276">
        <v>42402</v>
      </c>
      <c r="AC20" s="239" t="s">
        <v>1250</v>
      </c>
      <c r="AD20" s="239" t="s">
        <v>2</v>
      </c>
      <c r="AE20" s="51" t="s">
        <v>743</v>
      </c>
      <c r="AF20" s="239" t="s">
        <v>2</v>
      </c>
      <c r="AG20" s="239" t="s">
        <v>2</v>
      </c>
      <c r="AH20" s="216">
        <v>35074</v>
      </c>
      <c r="AI20" s="239" t="s">
        <v>2192</v>
      </c>
      <c r="AJ20" s="278" t="s">
        <v>2</v>
      </c>
      <c r="AK20" s="279" t="s">
        <v>2</v>
      </c>
      <c r="AL20" s="239" t="s">
        <v>775</v>
      </c>
      <c r="AM20" s="239" t="s">
        <v>68</v>
      </c>
      <c r="AN20" s="239" t="s">
        <v>89</v>
      </c>
      <c r="AO20" s="242" t="s">
        <v>2</v>
      </c>
      <c r="AP20" s="281" t="s">
        <v>927</v>
      </c>
      <c r="AQ20" s="281" t="s">
        <v>576</v>
      </c>
      <c r="AR20" s="281" t="s">
        <v>2</v>
      </c>
      <c r="AS20" s="281" t="s">
        <v>413</v>
      </c>
      <c r="AT20" s="281" t="s">
        <v>2547</v>
      </c>
      <c r="AU20" s="281" t="s">
        <v>1249</v>
      </c>
      <c r="AV20" s="243" t="s">
        <v>2</v>
      </c>
    </row>
    <row r="21" spans="1:48" ht="15" customHeight="1">
      <c r="B21" s="280" t="str">
        <f t="shared" si="0"/>
        <v>x</v>
      </c>
      <c r="D21" s="237">
        <v>27124</v>
      </c>
      <c r="E21" s="244">
        <v>826341</v>
      </c>
      <c r="F21" s="238">
        <v>12974</v>
      </c>
      <c r="G21" s="239" t="s">
        <v>136</v>
      </c>
      <c r="H21" s="239" t="s">
        <v>411</v>
      </c>
      <c r="I21" s="239" t="s">
        <v>4</v>
      </c>
      <c r="J21" s="239" t="s">
        <v>394</v>
      </c>
      <c r="K21" s="275">
        <v>0.375</v>
      </c>
      <c r="L21" s="275">
        <v>0.75</v>
      </c>
      <c r="M21" s="275">
        <v>0.375</v>
      </c>
      <c r="N21" s="275">
        <v>0.4375</v>
      </c>
      <c r="O21" s="275">
        <v>0.52083333333333337</v>
      </c>
      <c r="P21" s="275">
        <v>0.60416666666666663</v>
      </c>
      <c r="Q21" s="241">
        <v>41610</v>
      </c>
      <c r="R21" s="245" t="str">
        <f t="shared" ca="1" si="1"/>
        <v>W4+</v>
      </c>
      <c r="S21" s="241">
        <v>41641</v>
      </c>
      <c r="T21" s="245">
        <f t="shared" ca="1" si="2"/>
        <v>1079</v>
      </c>
      <c r="U21" s="239" t="s">
        <v>2217</v>
      </c>
      <c r="V21" s="241">
        <v>42485</v>
      </c>
      <c r="W21" s="241" t="s">
        <v>2</v>
      </c>
      <c r="X21" s="241" t="s">
        <v>2</v>
      </c>
      <c r="Y21" s="239" t="s">
        <v>2</v>
      </c>
      <c r="Z21" s="314" t="s">
        <v>2</v>
      </c>
      <c r="AA21" s="314" t="s">
        <v>2</v>
      </c>
      <c r="AB21" s="241" t="s">
        <v>2</v>
      </c>
      <c r="AC21" s="239" t="s">
        <v>1250</v>
      </c>
      <c r="AD21" s="239" t="s">
        <v>2</v>
      </c>
      <c r="AE21" s="51" t="s">
        <v>2</v>
      </c>
      <c r="AF21" s="239" t="s">
        <v>2</v>
      </c>
      <c r="AG21" s="239" t="s">
        <v>2</v>
      </c>
      <c r="AH21" s="216" t="s">
        <v>2</v>
      </c>
      <c r="AI21" s="239" t="s">
        <v>2</v>
      </c>
      <c r="AJ21" s="278" t="s">
        <v>2</v>
      </c>
      <c r="AK21" s="279" t="s">
        <v>2</v>
      </c>
      <c r="AL21" s="239" t="s">
        <v>775</v>
      </c>
      <c r="AM21" s="239" t="s">
        <v>68</v>
      </c>
      <c r="AN21" s="239" t="s">
        <v>89</v>
      </c>
      <c r="AO21" s="242" t="s">
        <v>2</v>
      </c>
      <c r="AP21" s="281" t="s">
        <v>823</v>
      </c>
      <c r="AQ21" s="281" t="s">
        <v>471</v>
      </c>
      <c r="AR21" s="281" t="s">
        <v>2</v>
      </c>
      <c r="AS21" s="281" t="s">
        <v>413</v>
      </c>
      <c r="AT21" s="281" t="s">
        <v>1112</v>
      </c>
      <c r="AU21" s="281" t="s">
        <v>1249</v>
      </c>
      <c r="AV21" s="243" t="s">
        <v>2</v>
      </c>
    </row>
    <row r="22" spans="1:48" ht="15" customHeight="1">
      <c r="B22" s="280" t="str">
        <f t="shared" si="0"/>
        <v/>
      </c>
      <c r="D22" s="237">
        <v>16940</v>
      </c>
      <c r="E22" s="244">
        <v>727327</v>
      </c>
      <c r="F22" s="238">
        <v>17059</v>
      </c>
      <c r="G22" s="239" t="s">
        <v>144</v>
      </c>
      <c r="H22" s="239" t="s">
        <v>411</v>
      </c>
      <c r="I22" s="239" t="s">
        <v>4</v>
      </c>
      <c r="J22" s="239" t="s">
        <v>394</v>
      </c>
      <c r="K22" s="275">
        <v>0.375</v>
      </c>
      <c r="L22" s="275">
        <v>0.71666666666666656</v>
      </c>
      <c r="M22" s="275">
        <v>0.34166666666666662</v>
      </c>
      <c r="N22" s="275" t="s">
        <v>2</v>
      </c>
      <c r="O22" s="275" t="s">
        <v>2</v>
      </c>
      <c r="P22" s="275" t="s">
        <v>2</v>
      </c>
      <c r="Q22" s="241">
        <v>40665</v>
      </c>
      <c r="R22" s="245" t="str">
        <f t="shared" ca="1" si="1"/>
        <v>W4+</v>
      </c>
      <c r="S22" s="241">
        <v>40688</v>
      </c>
      <c r="T22" s="245">
        <f t="shared" ca="1" si="2"/>
        <v>2032</v>
      </c>
      <c r="U22" s="239" t="s">
        <v>2217</v>
      </c>
      <c r="V22" s="241">
        <v>42716</v>
      </c>
      <c r="W22" s="241">
        <v>42716</v>
      </c>
      <c r="X22" s="241" t="s">
        <v>2</v>
      </c>
      <c r="Y22" s="239" t="s">
        <v>2</v>
      </c>
      <c r="Z22" s="239" t="s">
        <v>2</v>
      </c>
      <c r="AA22" s="239" t="s">
        <v>2</v>
      </c>
      <c r="AB22" s="314" t="s">
        <v>2</v>
      </c>
      <c r="AC22" s="239" t="s">
        <v>1250</v>
      </c>
      <c r="AD22" s="239" t="s">
        <v>2</v>
      </c>
      <c r="AE22" s="51">
        <v>8220340</v>
      </c>
      <c r="AF22" s="239" t="s">
        <v>2</v>
      </c>
      <c r="AG22" s="239" t="s">
        <v>2</v>
      </c>
      <c r="AH22" s="216">
        <v>33197</v>
      </c>
      <c r="AI22" s="239" t="s">
        <v>2194</v>
      </c>
      <c r="AJ22" s="314" t="s">
        <v>2</v>
      </c>
      <c r="AK22" s="314" t="s">
        <v>2</v>
      </c>
      <c r="AL22" s="239" t="s">
        <v>775</v>
      </c>
      <c r="AM22" s="239" t="s">
        <v>68</v>
      </c>
      <c r="AN22" s="239" t="s">
        <v>89</v>
      </c>
      <c r="AO22" s="242" t="s">
        <v>2</v>
      </c>
      <c r="AP22" s="281" t="s">
        <v>831</v>
      </c>
      <c r="AQ22" s="281" t="s">
        <v>479</v>
      </c>
      <c r="AR22" s="281" t="s">
        <v>2</v>
      </c>
      <c r="AS22" s="281" t="s">
        <v>413</v>
      </c>
      <c r="AT22" s="281" t="s">
        <v>1120</v>
      </c>
      <c r="AU22" s="281" t="s">
        <v>1249</v>
      </c>
      <c r="AV22" s="243" t="s">
        <v>2</v>
      </c>
    </row>
    <row r="23" spans="1:48" ht="15" customHeight="1">
      <c r="B23" s="280" t="str">
        <f t="shared" si="0"/>
        <v>x</v>
      </c>
      <c r="D23" s="237">
        <v>27398</v>
      </c>
      <c r="E23" s="101">
        <v>829343</v>
      </c>
      <c r="F23" s="47">
        <v>12591</v>
      </c>
      <c r="G23" s="48" t="s">
        <v>147</v>
      </c>
      <c r="H23" s="48" t="s">
        <v>411</v>
      </c>
      <c r="I23" s="48" t="s">
        <v>4</v>
      </c>
      <c r="J23" s="48" t="s">
        <v>394</v>
      </c>
      <c r="K23" s="275">
        <v>0.39583333333333331</v>
      </c>
      <c r="L23" s="275">
        <v>0.73749999999999993</v>
      </c>
      <c r="M23" s="275">
        <v>0.34166666666666662</v>
      </c>
      <c r="N23" s="275">
        <v>0.41666666666666669</v>
      </c>
      <c r="O23" s="275">
        <v>0.54166666666666663</v>
      </c>
      <c r="P23" s="275">
        <v>0.66666666666666663</v>
      </c>
      <c r="Q23" s="50">
        <v>41655</v>
      </c>
      <c r="R23" s="245" t="str">
        <f t="shared" ca="1" si="1"/>
        <v>W4+</v>
      </c>
      <c r="S23" s="50">
        <v>41792</v>
      </c>
      <c r="T23" s="245">
        <f t="shared" ca="1" si="2"/>
        <v>928</v>
      </c>
      <c r="U23" s="48" t="s">
        <v>2217</v>
      </c>
      <c r="V23" s="50">
        <v>42704</v>
      </c>
      <c r="W23" s="50">
        <v>42705</v>
      </c>
      <c r="X23" s="276" t="s">
        <v>2</v>
      </c>
      <c r="Y23" s="48" t="s">
        <v>2</v>
      </c>
      <c r="Z23" s="131" t="s">
        <v>2</v>
      </c>
      <c r="AA23" s="131" t="s">
        <v>2</v>
      </c>
      <c r="AB23" s="276" t="s">
        <v>2</v>
      </c>
      <c r="AC23" s="48" t="s">
        <v>1250</v>
      </c>
      <c r="AD23" s="48" t="s">
        <v>2</v>
      </c>
      <c r="AE23" s="51" t="s">
        <v>2</v>
      </c>
      <c r="AF23" s="48" t="s">
        <v>2</v>
      </c>
      <c r="AG23" s="239" t="s">
        <v>2</v>
      </c>
      <c r="AH23" s="216">
        <v>34897</v>
      </c>
      <c r="AI23" s="239" t="s">
        <v>2</v>
      </c>
      <c r="AJ23" s="314" t="s">
        <v>2</v>
      </c>
      <c r="AK23" s="314" t="s">
        <v>2</v>
      </c>
      <c r="AL23" s="48" t="s">
        <v>775</v>
      </c>
      <c r="AM23" s="48" t="s">
        <v>68</v>
      </c>
      <c r="AN23" s="48" t="s">
        <v>89</v>
      </c>
      <c r="AO23" s="242" t="s">
        <v>2</v>
      </c>
      <c r="AP23" s="281" t="s">
        <v>834</v>
      </c>
      <c r="AQ23" s="281" t="s">
        <v>482</v>
      </c>
      <c r="AR23" s="281" t="s">
        <v>2</v>
      </c>
      <c r="AS23" s="281" t="s">
        <v>413</v>
      </c>
      <c r="AT23" s="281" t="s">
        <v>1123</v>
      </c>
      <c r="AU23" s="281" t="s">
        <v>1249</v>
      </c>
      <c r="AV23" s="97" t="s">
        <v>2</v>
      </c>
    </row>
    <row r="24" spans="1:48" ht="15" customHeight="1">
      <c r="B24" s="280" t="str">
        <f t="shared" si="0"/>
        <v/>
      </c>
      <c r="D24" s="46">
        <v>27208</v>
      </c>
      <c r="E24" s="101">
        <v>827433</v>
      </c>
      <c r="F24" s="47">
        <v>12697</v>
      </c>
      <c r="G24" s="48" t="s">
        <v>146</v>
      </c>
      <c r="H24" s="48" t="s">
        <v>411</v>
      </c>
      <c r="I24" s="48" t="s">
        <v>9</v>
      </c>
      <c r="J24" s="48" t="s">
        <v>394</v>
      </c>
      <c r="K24" s="275">
        <v>0.39583333333333331</v>
      </c>
      <c r="L24" s="275">
        <v>0.73749999999999993</v>
      </c>
      <c r="M24" s="275">
        <v>0.34166666666666662</v>
      </c>
      <c r="N24" s="275" t="s">
        <v>2</v>
      </c>
      <c r="O24" s="275" t="s">
        <v>2</v>
      </c>
      <c r="P24" s="275" t="s">
        <v>2</v>
      </c>
      <c r="Q24" s="50">
        <v>41620</v>
      </c>
      <c r="R24" s="245" t="str">
        <f t="shared" ca="1" si="1"/>
        <v>W4+</v>
      </c>
      <c r="S24" s="50">
        <v>41653</v>
      </c>
      <c r="T24" s="245">
        <f t="shared" ca="1" si="2"/>
        <v>1067</v>
      </c>
      <c r="U24" s="48" t="s">
        <v>2217</v>
      </c>
      <c r="V24" s="50">
        <v>42706</v>
      </c>
      <c r="W24" s="50">
        <v>42402</v>
      </c>
      <c r="X24" s="50" t="s">
        <v>2</v>
      </c>
      <c r="Y24" s="48" t="s">
        <v>2245</v>
      </c>
      <c r="Z24" s="48" t="s">
        <v>2</v>
      </c>
      <c r="AA24" s="48" t="s">
        <v>2</v>
      </c>
      <c r="AB24" s="276" t="s">
        <v>2</v>
      </c>
      <c r="AC24" s="48" t="s">
        <v>1250</v>
      </c>
      <c r="AD24" s="48" t="s">
        <v>2</v>
      </c>
      <c r="AE24" s="51" t="s">
        <v>2</v>
      </c>
      <c r="AF24" s="48" t="s">
        <v>2</v>
      </c>
      <c r="AG24" s="48" t="s">
        <v>2</v>
      </c>
      <c r="AH24" s="216" t="s">
        <v>2</v>
      </c>
      <c r="AI24" s="48" t="s">
        <v>2</v>
      </c>
      <c r="AJ24" s="278" t="s">
        <v>2</v>
      </c>
      <c r="AK24" s="279" t="s">
        <v>2</v>
      </c>
      <c r="AL24" s="48" t="s">
        <v>775</v>
      </c>
      <c r="AM24" s="48" t="s">
        <v>68</v>
      </c>
      <c r="AN24" s="48" t="s">
        <v>89</v>
      </c>
      <c r="AO24" s="96" t="s">
        <v>2</v>
      </c>
      <c r="AP24" s="281" t="s">
        <v>833</v>
      </c>
      <c r="AQ24" s="281" t="s">
        <v>481</v>
      </c>
      <c r="AR24" s="281" t="s">
        <v>2</v>
      </c>
      <c r="AS24" s="281" t="s">
        <v>413</v>
      </c>
      <c r="AT24" s="281" t="s">
        <v>1122</v>
      </c>
      <c r="AU24" s="281" t="s">
        <v>1249</v>
      </c>
      <c r="AV24" s="97" t="s">
        <v>2</v>
      </c>
    </row>
    <row r="25" spans="1:48" ht="15" customHeight="1">
      <c r="B25" s="280" t="str">
        <f t="shared" si="0"/>
        <v>x</v>
      </c>
      <c r="D25" s="46">
        <v>25803</v>
      </c>
      <c r="E25" s="101">
        <v>810620</v>
      </c>
      <c r="F25" s="47">
        <v>12292</v>
      </c>
      <c r="G25" s="48" t="s">
        <v>149</v>
      </c>
      <c r="H25" s="48" t="s">
        <v>411</v>
      </c>
      <c r="I25" s="274" t="s">
        <v>4</v>
      </c>
      <c r="J25" s="48" t="s">
        <v>394</v>
      </c>
      <c r="K25" s="275">
        <v>0.39583333333333331</v>
      </c>
      <c r="L25" s="275">
        <v>0.73750000000000004</v>
      </c>
      <c r="M25" s="275">
        <v>0.34166666666666662</v>
      </c>
      <c r="N25" s="275" t="s">
        <v>2</v>
      </c>
      <c r="O25" s="275" t="s">
        <v>2</v>
      </c>
      <c r="P25" s="275" t="s">
        <v>2</v>
      </c>
      <c r="Q25" s="50">
        <v>41459</v>
      </c>
      <c r="R25" s="245" t="str">
        <f t="shared" ca="1" si="1"/>
        <v>W4+</v>
      </c>
      <c r="S25" s="50">
        <v>41482</v>
      </c>
      <c r="T25" s="245">
        <f t="shared" ca="1" si="2"/>
        <v>1238</v>
      </c>
      <c r="U25" s="48" t="s">
        <v>2217</v>
      </c>
      <c r="V25" s="50">
        <v>42508</v>
      </c>
      <c r="W25" s="50">
        <v>42508</v>
      </c>
      <c r="X25" s="50">
        <v>42538</v>
      </c>
      <c r="Y25" s="48" t="s">
        <v>2</v>
      </c>
      <c r="Z25" s="48" t="s">
        <v>2</v>
      </c>
      <c r="AA25" s="48" t="s">
        <v>2</v>
      </c>
      <c r="AB25" s="50" t="s">
        <v>2</v>
      </c>
      <c r="AC25" s="48" t="s">
        <v>1250</v>
      </c>
      <c r="AD25" s="48" t="s">
        <v>2</v>
      </c>
      <c r="AE25" s="51">
        <v>6340350</v>
      </c>
      <c r="AF25" s="48" t="s">
        <v>2</v>
      </c>
      <c r="AG25" s="48" t="s">
        <v>2</v>
      </c>
      <c r="AH25" s="216">
        <v>33575</v>
      </c>
      <c r="AI25" s="48" t="s">
        <v>2193</v>
      </c>
      <c r="AJ25" s="53" t="s">
        <v>2</v>
      </c>
      <c r="AK25" s="54" t="s">
        <v>2</v>
      </c>
      <c r="AL25" s="48" t="s">
        <v>775</v>
      </c>
      <c r="AM25" s="48" t="s">
        <v>68</v>
      </c>
      <c r="AN25" s="48" t="s">
        <v>89</v>
      </c>
      <c r="AO25" s="96" t="s">
        <v>2</v>
      </c>
      <c r="AP25" s="242" t="s">
        <v>836</v>
      </c>
      <c r="AQ25" s="242" t="s">
        <v>483</v>
      </c>
      <c r="AR25" s="242" t="s">
        <v>2</v>
      </c>
      <c r="AS25" s="242" t="s">
        <v>413</v>
      </c>
      <c r="AT25" s="242" t="s">
        <v>1125</v>
      </c>
      <c r="AU25" s="242" t="s">
        <v>1249</v>
      </c>
      <c r="AV25" s="97" t="s">
        <v>2</v>
      </c>
    </row>
    <row r="26" spans="1:48" ht="15" customHeight="1">
      <c r="B26" s="280" t="str">
        <f t="shared" si="0"/>
        <v/>
      </c>
      <c r="D26" s="46">
        <v>28116</v>
      </c>
      <c r="E26" s="101">
        <v>836318</v>
      </c>
      <c r="F26" s="47">
        <v>12665</v>
      </c>
      <c r="G26" s="48" t="s">
        <v>154</v>
      </c>
      <c r="H26" s="48" t="s">
        <v>412</v>
      </c>
      <c r="I26" s="48" t="s">
        <v>5</v>
      </c>
      <c r="J26" s="48" t="s">
        <v>395</v>
      </c>
      <c r="K26" s="275">
        <v>0.375</v>
      </c>
      <c r="L26" s="275">
        <v>0.63888888888888884</v>
      </c>
      <c r="M26" s="275">
        <v>0.2638888888888889</v>
      </c>
      <c r="N26" s="275" t="s">
        <v>2</v>
      </c>
      <c r="O26" s="275" t="s">
        <v>2</v>
      </c>
      <c r="P26" s="275" t="s">
        <v>2</v>
      </c>
      <c r="Q26" s="50">
        <v>41731</v>
      </c>
      <c r="R26" s="245" t="str">
        <f t="shared" ca="1" si="1"/>
        <v>W4+</v>
      </c>
      <c r="S26" s="50">
        <v>41762</v>
      </c>
      <c r="T26" s="245">
        <f t="shared" ca="1" si="2"/>
        <v>958</v>
      </c>
      <c r="U26" s="48" t="s">
        <v>2218</v>
      </c>
      <c r="V26" s="50">
        <v>42716</v>
      </c>
      <c r="W26" s="50">
        <v>42716</v>
      </c>
      <c r="X26" s="50">
        <v>42745</v>
      </c>
      <c r="Y26" s="48" t="s">
        <v>2</v>
      </c>
      <c r="Z26" s="48" t="s">
        <v>2</v>
      </c>
      <c r="AA26" s="48" t="s">
        <v>2</v>
      </c>
      <c r="AB26" s="241" t="s">
        <v>2</v>
      </c>
      <c r="AC26" s="48">
        <v>171</v>
      </c>
      <c r="AD26" s="48" t="s">
        <v>2</v>
      </c>
      <c r="AE26" s="51" t="s">
        <v>2</v>
      </c>
      <c r="AF26" s="48" t="s">
        <v>2</v>
      </c>
      <c r="AG26" s="48" t="s">
        <v>2</v>
      </c>
      <c r="AH26" s="216" t="s">
        <v>2</v>
      </c>
      <c r="AI26" s="48" t="s">
        <v>2</v>
      </c>
      <c r="AJ26" s="53" t="s">
        <v>2</v>
      </c>
      <c r="AK26" s="54" t="s">
        <v>2</v>
      </c>
      <c r="AL26" s="48" t="s">
        <v>775</v>
      </c>
      <c r="AM26" s="48" t="s">
        <v>68</v>
      </c>
      <c r="AN26" s="48" t="s">
        <v>89</v>
      </c>
      <c r="AO26" s="96" t="s">
        <v>2</v>
      </c>
      <c r="AP26" s="242" t="s">
        <v>841</v>
      </c>
      <c r="AQ26" s="242" t="s">
        <v>488</v>
      </c>
      <c r="AR26" s="242" t="s">
        <v>2</v>
      </c>
      <c r="AS26" s="242" t="s">
        <v>413</v>
      </c>
      <c r="AT26" s="242" t="s">
        <v>1129</v>
      </c>
      <c r="AU26" s="242" t="s">
        <v>1249</v>
      </c>
      <c r="AV26" s="97" t="s">
        <v>2</v>
      </c>
    </row>
    <row r="27" spans="1:48" ht="15" customHeight="1">
      <c r="B27" s="280" t="str">
        <f t="shared" si="0"/>
        <v>x</v>
      </c>
      <c r="D27" s="132">
        <v>30475</v>
      </c>
      <c r="E27" s="101">
        <v>876688</v>
      </c>
      <c r="F27" s="47">
        <v>17002</v>
      </c>
      <c r="G27" s="48" t="s">
        <v>165</v>
      </c>
      <c r="H27" s="48" t="s">
        <v>412</v>
      </c>
      <c r="I27" s="48" t="s">
        <v>4</v>
      </c>
      <c r="J27" s="48" t="s">
        <v>395</v>
      </c>
      <c r="K27" s="275">
        <v>0.40277777777777773</v>
      </c>
      <c r="L27" s="275">
        <v>0.66666666666666663</v>
      </c>
      <c r="M27" s="275">
        <v>0.2638888888888889</v>
      </c>
      <c r="N27" s="275" t="s">
        <v>2</v>
      </c>
      <c r="O27" s="275" t="s">
        <v>2</v>
      </c>
      <c r="P27" s="275" t="s">
        <v>2</v>
      </c>
      <c r="Q27" s="50">
        <v>42079</v>
      </c>
      <c r="R27" s="245" t="str">
        <f t="shared" ca="1" si="1"/>
        <v>W4+</v>
      </c>
      <c r="S27" s="50">
        <v>42100</v>
      </c>
      <c r="T27" s="245">
        <f t="shared" ca="1" si="2"/>
        <v>620</v>
      </c>
      <c r="U27" s="48" t="s">
        <v>2218</v>
      </c>
      <c r="V27" s="50">
        <v>42590</v>
      </c>
      <c r="W27" s="50">
        <v>42589</v>
      </c>
      <c r="X27" s="50" t="s">
        <v>2</v>
      </c>
      <c r="Y27" s="48" t="s">
        <v>2</v>
      </c>
      <c r="Z27" s="131" t="s">
        <v>2</v>
      </c>
      <c r="AA27" s="131" t="s">
        <v>2</v>
      </c>
      <c r="AB27" s="241" t="s">
        <v>2</v>
      </c>
      <c r="AC27" s="48">
        <v>171</v>
      </c>
      <c r="AD27" s="48" t="s">
        <v>2</v>
      </c>
      <c r="AE27" s="51" t="s">
        <v>716</v>
      </c>
      <c r="AF27" s="48" t="s">
        <v>2</v>
      </c>
      <c r="AG27" s="52" t="s">
        <v>2</v>
      </c>
      <c r="AH27" s="216">
        <v>35383</v>
      </c>
      <c r="AI27" s="278" t="s">
        <v>2190</v>
      </c>
      <c r="AJ27" s="279" t="s">
        <v>2</v>
      </c>
      <c r="AK27" s="131" t="s">
        <v>2</v>
      </c>
      <c r="AL27" s="48" t="s">
        <v>775</v>
      </c>
      <c r="AM27" s="48" t="s">
        <v>68</v>
      </c>
      <c r="AN27" s="48" t="s">
        <v>89</v>
      </c>
      <c r="AO27" s="96" t="s">
        <v>2</v>
      </c>
      <c r="AP27" s="281" t="s">
        <v>851</v>
      </c>
      <c r="AQ27" s="281" t="s">
        <v>499</v>
      </c>
      <c r="AR27" s="281" t="s">
        <v>2</v>
      </c>
      <c r="AS27" s="281" t="s">
        <v>413</v>
      </c>
      <c r="AT27" s="281" t="s">
        <v>1139</v>
      </c>
      <c r="AU27" s="281" t="s">
        <v>1249</v>
      </c>
      <c r="AV27" s="97" t="s">
        <v>2</v>
      </c>
    </row>
    <row r="28" spans="1:48" ht="15" customHeight="1">
      <c r="B28" s="280" t="str">
        <f>IF(Termed!B486="x","","x")</f>
        <v>x</v>
      </c>
      <c r="D28" s="46">
        <v>27197</v>
      </c>
      <c r="E28" s="101">
        <v>827422</v>
      </c>
      <c r="F28" s="273">
        <v>12644</v>
      </c>
      <c r="G28" s="48" t="s">
        <v>215</v>
      </c>
      <c r="H28" s="48" t="s">
        <v>412</v>
      </c>
      <c r="I28" s="48" t="s">
        <v>4</v>
      </c>
      <c r="J28" s="48" t="s">
        <v>395</v>
      </c>
      <c r="K28" s="275">
        <v>0.40277777777777773</v>
      </c>
      <c r="L28" s="275">
        <v>0.66666666666666663</v>
      </c>
      <c r="M28" s="275">
        <v>0.2638888888888889</v>
      </c>
      <c r="N28" s="275" t="s">
        <v>2</v>
      </c>
      <c r="O28" s="275" t="s">
        <v>2</v>
      </c>
      <c r="P28" s="275" t="s">
        <v>2</v>
      </c>
      <c r="Q28" s="50">
        <v>41620</v>
      </c>
      <c r="R28" s="245" t="str">
        <f t="shared" ca="1" si="1"/>
        <v>W4+</v>
      </c>
      <c r="S28" s="50">
        <v>41653</v>
      </c>
      <c r="T28" s="245">
        <f t="shared" ca="1" si="2"/>
        <v>1067</v>
      </c>
      <c r="U28" s="48" t="s">
        <v>2218</v>
      </c>
      <c r="V28" s="50">
        <v>42464</v>
      </c>
      <c r="W28" s="50">
        <v>42464</v>
      </c>
      <c r="X28" s="50" t="s">
        <v>2</v>
      </c>
      <c r="Y28" s="48" t="s">
        <v>2</v>
      </c>
      <c r="Z28" s="48" t="s">
        <v>2</v>
      </c>
      <c r="AA28" s="48" t="s">
        <v>2</v>
      </c>
      <c r="AB28" s="276" t="s">
        <v>2</v>
      </c>
      <c r="AC28" s="48">
        <v>171</v>
      </c>
      <c r="AD28" s="48" t="s">
        <v>2</v>
      </c>
      <c r="AE28" s="51" t="s">
        <v>2</v>
      </c>
      <c r="AF28" s="48" t="s">
        <v>2</v>
      </c>
      <c r="AG28" s="48" t="s">
        <v>2</v>
      </c>
      <c r="AH28" s="216" t="s">
        <v>2</v>
      </c>
      <c r="AI28" s="48" t="s">
        <v>2</v>
      </c>
      <c r="AJ28" s="278" t="s">
        <v>2</v>
      </c>
      <c r="AK28" s="279" t="s">
        <v>2</v>
      </c>
      <c r="AL28" s="48" t="s">
        <v>775</v>
      </c>
      <c r="AM28" s="48" t="s">
        <v>68</v>
      </c>
      <c r="AN28" s="48" t="s">
        <v>89</v>
      </c>
      <c r="AO28" s="96" t="s">
        <v>2</v>
      </c>
      <c r="AP28" s="281" t="s">
        <v>898</v>
      </c>
      <c r="AQ28" s="281" t="s">
        <v>548</v>
      </c>
      <c r="AR28" s="281" t="s">
        <v>2</v>
      </c>
      <c r="AS28" s="281" t="s">
        <v>413</v>
      </c>
      <c r="AT28" s="281" t="s">
        <v>1170</v>
      </c>
      <c r="AU28" s="281" t="s">
        <v>1249</v>
      </c>
      <c r="AV28" s="97" t="s">
        <v>2</v>
      </c>
    </row>
    <row r="29" spans="1:48" ht="15" customHeight="1">
      <c r="B29" s="280" t="str">
        <f>IF(B28="x","","x")</f>
        <v/>
      </c>
      <c r="D29" s="272">
        <v>31191</v>
      </c>
      <c r="E29" s="244">
        <v>897566</v>
      </c>
      <c r="F29" s="238">
        <v>12012</v>
      </c>
      <c r="G29" s="239" t="s">
        <v>2335</v>
      </c>
      <c r="H29" s="239" t="s">
        <v>412</v>
      </c>
      <c r="I29" s="239" t="s">
        <v>4</v>
      </c>
      <c r="J29" s="239" t="s">
        <v>395</v>
      </c>
      <c r="K29" s="275">
        <v>0.40277777777777773</v>
      </c>
      <c r="L29" s="275">
        <v>0.66666666666666663</v>
      </c>
      <c r="M29" s="275">
        <v>0.2638888888888889</v>
      </c>
      <c r="N29" s="275" t="s">
        <v>2</v>
      </c>
      <c r="O29" s="275" t="s">
        <v>2</v>
      </c>
      <c r="P29" s="275" t="s">
        <v>2</v>
      </c>
      <c r="Q29" s="241">
        <v>42256</v>
      </c>
      <c r="R29" s="245" t="str">
        <f t="shared" ca="1" si="1"/>
        <v>W4+</v>
      </c>
      <c r="S29" s="241">
        <v>42282</v>
      </c>
      <c r="T29" s="245">
        <f t="shared" ca="1" si="2"/>
        <v>438</v>
      </c>
      <c r="U29" s="239" t="s">
        <v>2218</v>
      </c>
      <c r="V29" s="241">
        <v>42646</v>
      </c>
      <c r="W29" s="241">
        <v>42646</v>
      </c>
      <c r="X29" s="241" t="s">
        <v>2</v>
      </c>
      <c r="Y29" s="239" t="s">
        <v>2</v>
      </c>
      <c r="Z29" s="274" t="s">
        <v>398</v>
      </c>
      <c r="AA29" s="274" t="s">
        <v>395</v>
      </c>
      <c r="AB29" s="276">
        <v>42376</v>
      </c>
      <c r="AC29" s="239">
        <v>171</v>
      </c>
      <c r="AD29" s="239"/>
      <c r="AE29" s="51" t="s">
        <v>2</v>
      </c>
      <c r="AF29" s="239"/>
      <c r="AG29" s="274"/>
      <c r="AH29" s="216">
        <v>29245</v>
      </c>
      <c r="AI29" s="274" t="s">
        <v>2</v>
      </c>
      <c r="AJ29" s="278"/>
      <c r="AK29" s="279"/>
      <c r="AL29" s="239" t="s">
        <v>775</v>
      </c>
      <c r="AM29" s="239" t="s">
        <v>68</v>
      </c>
      <c r="AN29" s="239" t="s">
        <v>89</v>
      </c>
      <c r="AO29" s="96" t="s">
        <v>2</v>
      </c>
      <c r="AP29" s="281" t="s">
        <v>2374</v>
      </c>
      <c r="AQ29" s="281" t="s">
        <v>2358</v>
      </c>
      <c r="AR29" s="281" t="s">
        <v>2</v>
      </c>
      <c r="AS29" s="281" t="s">
        <v>413</v>
      </c>
      <c r="AT29" s="281" t="s">
        <v>2386</v>
      </c>
      <c r="AU29" s="281" t="s">
        <v>1249</v>
      </c>
      <c r="AV29" s="243" t="s">
        <v>2</v>
      </c>
    </row>
    <row r="30" spans="1:48" ht="15" customHeight="1">
      <c r="B30" s="280" t="str">
        <f>IF(B29="x","","x")</f>
        <v>x</v>
      </c>
      <c r="D30" s="46">
        <v>22161</v>
      </c>
      <c r="E30" s="101">
        <v>770988</v>
      </c>
      <c r="F30" s="47">
        <v>12545</v>
      </c>
      <c r="G30" s="48" t="s">
        <v>160</v>
      </c>
      <c r="H30" s="48" t="s">
        <v>412</v>
      </c>
      <c r="I30" s="314" t="s">
        <v>4</v>
      </c>
      <c r="J30" s="48" t="s">
        <v>395</v>
      </c>
      <c r="K30" s="275">
        <v>0.40277777777777773</v>
      </c>
      <c r="L30" s="275">
        <v>0.66666666666666663</v>
      </c>
      <c r="M30" s="275">
        <v>0.2638888888888889</v>
      </c>
      <c r="N30" s="275" t="s">
        <v>2</v>
      </c>
      <c r="O30" s="275" t="s">
        <v>2</v>
      </c>
      <c r="P30" s="275" t="s">
        <v>2</v>
      </c>
      <c r="Q30" s="50">
        <v>41075</v>
      </c>
      <c r="R30" s="245" t="str">
        <f t="shared" ca="1" si="1"/>
        <v>W4+</v>
      </c>
      <c r="S30" s="50">
        <v>41098</v>
      </c>
      <c r="T30" s="245">
        <f t="shared" ca="1" si="2"/>
        <v>1622</v>
      </c>
      <c r="U30" s="48" t="s">
        <v>2218</v>
      </c>
      <c r="V30" s="50">
        <v>42646</v>
      </c>
      <c r="W30" s="50">
        <v>42646</v>
      </c>
      <c r="X30" s="241" t="s">
        <v>2</v>
      </c>
      <c r="Y30" s="48" t="s">
        <v>2</v>
      </c>
      <c r="Z30" s="48" t="s">
        <v>2</v>
      </c>
      <c r="AA30" s="239" t="s">
        <v>2</v>
      </c>
      <c r="AB30" s="241" t="s">
        <v>2</v>
      </c>
      <c r="AC30" s="48">
        <v>171</v>
      </c>
      <c r="AD30" s="48" t="s">
        <v>2</v>
      </c>
      <c r="AE30" s="51">
        <v>2979100</v>
      </c>
      <c r="AF30" s="48" t="s">
        <v>2</v>
      </c>
      <c r="AG30" s="48" t="s">
        <v>2</v>
      </c>
      <c r="AH30" s="216">
        <v>34211</v>
      </c>
      <c r="AI30" s="48" t="s">
        <v>2189</v>
      </c>
      <c r="AJ30" s="53" t="s">
        <v>2</v>
      </c>
      <c r="AK30" s="54" t="s">
        <v>2</v>
      </c>
      <c r="AL30" s="48" t="s">
        <v>775</v>
      </c>
      <c r="AM30" s="48" t="s">
        <v>68</v>
      </c>
      <c r="AN30" s="48" t="s">
        <v>89</v>
      </c>
      <c r="AO30" s="96" t="s">
        <v>2</v>
      </c>
      <c r="AP30" s="281" t="s">
        <v>846</v>
      </c>
      <c r="AQ30" s="281" t="s">
        <v>494</v>
      </c>
      <c r="AR30" s="281" t="s">
        <v>2</v>
      </c>
      <c r="AS30" s="281" t="s">
        <v>413</v>
      </c>
      <c r="AT30" s="281" t="s">
        <v>1134</v>
      </c>
      <c r="AU30" s="281" t="s">
        <v>1249</v>
      </c>
      <c r="AV30" s="97" t="s">
        <v>2</v>
      </c>
    </row>
    <row r="31" spans="1:48" ht="15" customHeight="1">
      <c r="B31" s="280" t="str">
        <f>IF(B30="x","","x")</f>
        <v/>
      </c>
      <c r="D31" s="46">
        <v>27230</v>
      </c>
      <c r="E31" s="101">
        <v>827455</v>
      </c>
      <c r="F31" s="47">
        <v>12415</v>
      </c>
      <c r="G31" s="48" t="s">
        <v>174</v>
      </c>
      <c r="H31" s="48" t="s">
        <v>412</v>
      </c>
      <c r="I31" s="48" t="s">
        <v>4</v>
      </c>
      <c r="J31" s="48" t="s">
        <v>2853</v>
      </c>
      <c r="K31" s="275">
        <v>0.375</v>
      </c>
      <c r="L31" s="275">
        <v>0.71666666666666656</v>
      </c>
      <c r="M31" s="275">
        <v>0.34166666666666662</v>
      </c>
      <c r="N31" s="275" t="s">
        <v>2</v>
      </c>
      <c r="O31" s="275" t="s">
        <v>2</v>
      </c>
      <c r="P31" s="275" t="s">
        <v>2</v>
      </c>
      <c r="Q31" s="50">
        <v>41620</v>
      </c>
      <c r="R31" s="245" t="str">
        <f t="shared" ca="1" si="1"/>
        <v>W4+</v>
      </c>
      <c r="S31" s="50">
        <v>41653</v>
      </c>
      <c r="T31" s="245">
        <f t="shared" ca="1" si="2"/>
        <v>1067</v>
      </c>
      <c r="U31" s="48" t="s">
        <v>2220</v>
      </c>
      <c r="V31" s="50">
        <v>42398</v>
      </c>
      <c r="W31" s="50">
        <v>42401</v>
      </c>
      <c r="X31" s="50" t="s">
        <v>2</v>
      </c>
      <c r="Y31" s="48" t="s">
        <v>2</v>
      </c>
      <c r="Z31" s="239" t="s">
        <v>2</v>
      </c>
      <c r="AA31" s="239" t="s">
        <v>2</v>
      </c>
      <c r="AB31" s="276" t="s">
        <v>2</v>
      </c>
      <c r="AC31" s="48">
        <v>171</v>
      </c>
      <c r="AD31" s="48" t="s">
        <v>2</v>
      </c>
      <c r="AE31" s="51" t="s">
        <v>2</v>
      </c>
      <c r="AF31" s="48" t="s">
        <v>2</v>
      </c>
      <c r="AG31" s="48" t="s">
        <v>2</v>
      </c>
      <c r="AH31" s="216" t="s">
        <v>2</v>
      </c>
      <c r="AI31" s="48" t="s">
        <v>2</v>
      </c>
      <c r="AJ31" s="278" t="s">
        <v>2</v>
      </c>
      <c r="AK31" s="279" t="s">
        <v>2</v>
      </c>
      <c r="AL31" s="48" t="s">
        <v>775</v>
      </c>
      <c r="AM31" s="48" t="s">
        <v>68</v>
      </c>
      <c r="AN31" s="48" t="s">
        <v>89</v>
      </c>
      <c r="AO31" s="96" t="s">
        <v>2</v>
      </c>
      <c r="AP31" s="281" t="s">
        <v>859</v>
      </c>
      <c r="AQ31" s="281" t="s">
        <v>507</v>
      </c>
      <c r="AR31" s="281" t="s">
        <v>2</v>
      </c>
      <c r="AS31" s="281" t="s">
        <v>413</v>
      </c>
      <c r="AT31" s="281" t="s">
        <v>1145</v>
      </c>
      <c r="AU31" s="281" t="s">
        <v>1249</v>
      </c>
      <c r="AV31" s="97" t="s">
        <v>1249</v>
      </c>
    </row>
    <row r="32" spans="1:48" ht="15" customHeight="1">
      <c r="B32" s="280" t="str">
        <f>IF(B31="x","","x")</f>
        <v>x</v>
      </c>
      <c r="D32" s="46">
        <v>26049</v>
      </c>
      <c r="E32" s="101">
        <v>813622</v>
      </c>
      <c r="F32" s="47">
        <v>12406</v>
      </c>
      <c r="G32" s="48" t="s">
        <v>182</v>
      </c>
      <c r="H32" s="48" t="s">
        <v>412</v>
      </c>
      <c r="I32" s="314" t="s">
        <v>4</v>
      </c>
      <c r="J32" s="48" t="s">
        <v>2853</v>
      </c>
      <c r="K32" s="275">
        <v>0.45</v>
      </c>
      <c r="L32" s="275">
        <v>0.79166666666666663</v>
      </c>
      <c r="M32" s="275">
        <v>0.34166666666666662</v>
      </c>
      <c r="N32" s="275">
        <v>0.41666666666666669</v>
      </c>
      <c r="O32" s="275">
        <v>0.5</v>
      </c>
      <c r="P32" s="275">
        <v>0.61805555555555558</v>
      </c>
      <c r="Q32" s="50">
        <v>41494</v>
      </c>
      <c r="R32" s="245" t="str">
        <f t="shared" ca="1" si="1"/>
        <v>W4+</v>
      </c>
      <c r="S32" s="50">
        <v>41517</v>
      </c>
      <c r="T32" s="245">
        <f t="shared" ca="1" si="2"/>
        <v>1203</v>
      </c>
      <c r="U32" s="48" t="s">
        <v>2220</v>
      </c>
      <c r="V32" s="50">
        <v>42647</v>
      </c>
      <c r="W32" s="50">
        <v>42648</v>
      </c>
      <c r="X32" s="276" t="s">
        <v>2</v>
      </c>
      <c r="Y32" s="48" t="s">
        <v>2</v>
      </c>
      <c r="Z32" s="239" t="s">
        <v>398</v>
      </c>
      <c r="AA32" s="239" t="s">
        <v>395</v>
      </c>
      <c r="AB32" s="276">
        <v>42496</v>
      </c>
      <c r="AC32" s="48">
        <v>171</v>
      </c>
      <c r="AD32" s="48" t="s">
        <v>2</v>
      </c>
      <c r="AE32" s="277" t="s">
        <v>2</v>
      </c>
      <c r="AF32" s="48" t="s">
        <v>2</v>
      </c>
      <c r="AG32" s="48" t="s">
        <v>2</v>
      </c>
      <c r="AH32" s="216" t="s">
        <v>2</v>
      </c>
      <c r="AI32" s="48" t="s">
        <v>2</v>
      </c>
      <c r="AJ32" s="274" t="s">
        <v>2</v>
      </c>
      <c r="AK32" s="274" t="s">
        <v>2</v>
      </c>
      <c r="AL32" s="48" t="s">
        <v>775</v>
      </c>
      <c r="AM32" s="48" t="s">
        <v>68</v>
      </c>
      <c r="AN32" s="48" t="s">
        <v>89</v>
      </c>
      <c r="AO32" s="96">
        <v>810156</v>
      </c>
      <c r="AP32" s="281" t="s">
        <v>868</v>
      </c>
      <c r="AQ32" s="281" t="s">
        <v>516</v>
      </c>
      <c r="AR32" s="281" t="s">
        <v>2</v>
      </c>
      <c r="AS32" s="281" t="s">
        <v>413</v>
      </c>
      <c r="AT32" s="281" t="s">
        <v>1153</v>
      </c>
      <c r="AU32" s="281" t="s">
        <v>1249</v>
      </c>
      <c r="AV32" s="97" t="s">
        <v>1249</v>
      </c>
    </row>
    <row r="33" spans="2:48" ht="15" customHeight="1">
      <c r="B33" s="280" t="str">
        <f>IF(Termed!B487="x","","x")</f>
        <v>x</v>
      </c>
      <c r="D33" s="46">
        <v>30448</v>
      </c>
      <c r="E33" s="312">
        <v>876653</v>
      </c>
      <c r="F33" s="47">
        <v>12544</v>
      </c>
      <c r="G33" s="48" t="s">
        <v>214</v>
      </c>
      <c r="H33" s="314" t="s">
        <v>416</v>
      </c>
      <c r="I33" s="48" t="s">
        <v>4</v>
      </c>
      <c r="J33" s="48" t="s">
        <v>396</v>
      </c>
      <c r="K33" s="275">
        <v>0.375</v>
      </c>
      <c r="L33" s="275">
        <v>0.71666666666666667</v>
      </c>
      <c r="M33" s="275">
        <v>0.34166666666666662</v>
      </c>
      <c r="N33" s="275" t="s">
        <v>2</v>
      </c>
      <c r="O33" s="275" t="s">
        <v>2</v>
      </c>
      <c r="P33" s="275" t="s">
        <v>2</v>
      </c>
      <c r="Q33" s="50">
        <v>42079</v>
      </c>
      <c r="R33" s="245" t="str">
        <f t="shared" ca="1" si="1"/>
        <v>W4+</v>
      </c>
      <c r="S33" s="50">
        <v>42100</v>
      </c>
      <c r="T33" s="245">
        <f t="shared" ca="1" si="2"/>
        <v>620</v>
      </c>
      <c r="U33" s="48" t="s">
        <v>2218</v>
      </c>
      <c r="V33" s="50">
        <v>42552</v>
      </c>
      <c r="W33" s="50">
        <v>42552</v>
      </c>
      <c r="X33" s="276" t="s">
        <v>2</v>
      </c>
      <c r="Y33" s="48" t="s">
        <v>2</v>
      </c>
      <c r="Z33" s="239" t="s">
        <v>2</v>
      </c>
      <c r="AA33" s="231" t="s">
        <v>2</v>
      </c>
      <c r="AB33" s="50" t="s">
        <v>2</v>
      </c>
      <c r="AC33" s="48">
        <v>264</v>
      </c>
      <c r="AD33" s="48" t="s">
        <v>2</v>
      </c>
      <c r="AE33" s="51" t="s">
        <v>730</v>
      </c>
      <c r="AF33" s="48" t="s">
        <v>2</v>
      </c>
      <c r="AG33" s="239" t="s">
        <v>2</v>
      </c>
      <c r="AH33" s="216">
        <v>34876</v>
      </c>
      <c r="AI33" s="239" t="s">
        <v>2194</v>
      </c>
      <c r="AJ33" s="53" t="s">
        <v>2</v>
      </c>
      <c r="AK33" s="54" t="s">
        <v>2</v>
      </c>
      <c r="AL33" s="48" t="s">
        <v>775</v>
      </c>
      <c r="AM33" s="48" t="s">
        <v>68</v>
      </c>
      <c r="AN33" s="48" t="s">
        <v>89</v>
      </c>
      <c r="AO33" s="96" t="s">
        <v>2</v>
      </c>
      <c r="AP33" s="281" t="s">
        <v>897</v>
      </c>
      <c r="AQ33" s="281" t="s">
        <v>547</v>
      </c>
      <c r="AR33" s="281" t="s">
        <v>2</v>
      </c>
      <c r="AS33" s="281" t="s">
        <v>414</v>
      </c>
      <c r="AT33" s="281" t="s">
        <v>2529</v>
      </c>
      <c r="AU33" s="281" t="s">
        <v>1249</v>
      </c>
      <c r="AV33" s="97" t="s">
        <v>1249</v>
      </c>
    </row>
    <row r="34" spans="2:48" ht="15" customHeight="1">
      <c r="B34" s="280" t="str">
        <f>IF(B33="x","","x")</f>
        <v/>
      </c>
      <c r="D34" s="46">
        <v>31392</v>
      </c>
      <c r="E34" s="101">
        <v>909805</v>
      </c>
      <c r="F34" s="47">
        <v>12278</v>
      </c>
      <c r="G34" s="48" t="s">
        <v>2422</v>
      </c>
      <c r="H34" s="314" t="s">
        <v>418</v>
      </c>
      <c r="I34" s="314" t="s">
        <v>4</v>
      </c>
      <c r="J34" s="48" t="s">
        <v>396</v>
      </c>
      <c r="K34" s="275">
        <v>0.375</v>
      </c>
      <c r="L34" s="275">
        <v>0.71666666666666667</v>
      </c>
      <c r="M34" s="275">
        <v>0.34166666666666662</v>
      </c>
      <c r="N34" s="275">
        <v>0.41666666666666669</v>
      </c>
      <c r="O34" s="275">
        <v>0.4861111111111111</v>
      </c>
      <c r="P34" s="275">
        <v>0.58333333333333337</v>
      </c>
      <c r="Q34" s="50">
        <v>42340</v>
      </c>
      <c r="R34" s="245" t="str">
        <f t="shared" ca="1" si="1"/>
        <v>W4+</v>
      </c>
      <c r="S34" s="50">
        <v>42362</v>
      </c>
      <c r="T34" s="245">
        <f t="shared" ca="1" si="2"/>
        <v>358</v>
      </c>
      <c r="U34" s="48" t="s">
        <v>2218</v>
      </c>
      <c r="V34" s="50">
        <v>42707</v>
      </c>
      <c r="W34" s="50">
        <v>42709</v>
      </c>
      <c r="X34" s="227" t="s">
        <v>2</v>
      </c>
      <c r="Y34" s="48" t="s">
        <v>2</v>
      </c>
      <c r="Z34" s="274" t="s">
        <v>2</v>
      </c>
      <c r="AA34" s="314" t="s">
        <v>2</v>
      </c>
      <c r="AB34" s="50" t="s">
        <v>2</v>
      </c>
      <c r="AC34" s="48">
        <v>264</v>
      </c>
      <c r="AD34" s="48"/>
      <c r="AE34" s="51" t="s">
        <v>2506</v>
      </c>
      <c r="AF34" s="48"/>
      <c r="AG34" s="239"/>
      <c r="AH34" s="216">
        <v>35266</v>
      </c>
      <c r="AI34" s="239" t="s">
        <v>2189</v>
      </c>
      <c r="AJ34" s="278"/>
      <c r="AK34" s="279"/>
      <c r="AL34" s="48" t="s">
        <v>775</v>
      </c>
      <c r="AM34" s="48" t="s">
        <v>68</v>
      </c>
      <c r="AN34" s="48" t="s">
        <v>89</v>
      </c>
      <c r="AO34" s="96">
        <v>24220</v>
      </c>
      <c r="AP34" s="242" t="s">
        <v>2432</v>
      </c>
      <c r="AQ34" s="242" t="s">
        <v>2456</v>
      </c>
      <c r="AR34" s="242" t="s">
        <v>2</v>
      </c>
      <c r="AS34" s="242" t="s">
        <v>414</v>
      </c>
      <c r="AT34" s="242" t="s">
        <v>2477</v>
      </c>
      <c r="AU34" s="242" t="s">
        <v>2</v>
      </c>
      <c r="AV34" s="97" t="s">
        <v>1249</v>
      </c>
    </row>
    <row r="35" spans="2:48" ht="15" customHeight="1">
      <c r="B35" s="280" t="str">
        <f>IF(B34="x","","x")</f>
        <v>x</v>
      </c>
      <c r="D35" s="237">
        <v>31437</v>
      </c>
      <c r="E35" s="244">
        <v>911888</v>
      </c>
      <c r="F35" s="47">
        <v>17105</v>
      </c>
      <c r="G35" s="239" t="s">
        <v>2643</v>
      </c>
      <c r="H35" s="314" t="s">
        <v>414</v>
      </c>
      <c r="I35" s="239" t="s">
        <v>4</v>
      </c>
      <c r="J35" s="239" t="s">
        <v>396</v>
      </c>
      <c r="K35" s="275">
        <v>0.41666666666666669</v>
      </c>
      <c r="L35" s="275">
        <v>0.7583333333333333</v>
      </c>
      <c r="M35" s="275">
        <v>0.34166666666666662</v>
      </c>
      <c r="N35" s="275" t="s">
        <v>2</v>
      </c>
      <c r="O35" s="275" t="s">
        <v>2</v>
      </c>
      <c r="P35" s="275" t="s">
        <v>2</v>
      </c>
      <c r="Q35" s="241">
        <v>42373</v>
      </c>
      <c r="R35" s="245" t="str">
        <f t="shared" ca="1" si="1"/>
        <v>W4+</v>
      </c>
      <c r="S35" s="241">
        <v>42401</v>
      </c>
      <c r="T35" s="245">
        <f t="shared" ca="1" si="2"/>
        <v>319</v>
      </c>
      <c r="U35" s="239" t="s">
        <v>2218</v>
      </c>
      <c r="V35" s="241">
        <v>42685</v>
      </c>
      <c r="W35" s="241">
        <v>42685</v>
      </c>
      <c r="X35" s="276" t="s">
        <v>2</v>
      </c>
      <c r="Y35" s="239" t="s">
        <v>2</v>
      </c>
      <c r="Z35" s="239" t="s">
        <v>2</v>
      </c>
      <c r="AA35" s="239" t="s">
        <v>2</v>
      </c>
      <c r="AB35" s="241" t="s">
        <v>2</v>
      </c>
      <c r="AC35" s="239">
        <v>264</v>
      </c>
      <c r="AD35" s="239"/>
      <c r="AE35" s="51" t="s">
        <v>2</v>
      </c>
      <c r="AF35" s="239" t="s">
        <v>2</v>
      </c>
      <c r="AG35" s="239" t="s">
        <v>2</v>
      </c>
      <c r="AH35" s="216">
        <v>32430</v>
      </c>
      <c r="AI35" s="239" t="s">
        <v>2</v>
      </c>
      <c r="AJ35" s="278"/>
      <c r="AK35" s="279"/>
      <c r="AL35" s="239" t="s">
        <v>775</v>
      </c>
      <c r="AM35" s="239" t="s">
        <v>68</v>
      </c>
      <c r="AN35" s="239" t="s">
        <v>89</v>
      </c>
      <c r="AO35" s="96">
        <v>810409</v>
      </c>
      <c r="AP35" s="281" t="s">
        <v>2652</v>
      </c>
      <c r="AQ35" s="281" t="s">
        <v>2659</v>
      </c>
      <c r="AR35" s="281" t="s">
        <v>2</v>
      </c>
      <c r="AS35" s="281" t="s">
        <v>414</v>
      </c>
      <c r="AT35" s="281" t="s">
        <v>2667</v>
      </c>
      <c r="AU35" s="281" t="s">
        <v>1249</v>
      </c>
      <c r="AV35" s="243" t="s">
        <v>1249</v>
      </c>
    </row>
    <row r="36" spans="2:48" ht="15" customHeight="1">
      <c r="B36" s="280" t="str">
        <f>IF(B35="x","","x")</f>
        <v/>
      </c>
      <c r="D36" s="237">
        <v>30190</v>
      </c>
      <c r="E36" s="244">
        <v>873196</v>
      </c>
      <c r="F36" s="47">
        <v>12301</v>
      </c>
      <c r="G36" s="239" t="s">
        <v>327</v>
      </c>
      <c r="H36" s="314" t="s">
        <v>420</v>
      </c>
      <c r="I36" s="239" t="s">
        <v>4</v>
      </c>
      <c r="J36" s="239" t="s">
        <v>396</v>
      </c>
      <c r="K36" s="275">
        <v>0.5</v>
      </c>
      <c r="L36" s="275">
        <v>0.875</v>
      </c>
      <c r="M36" s="275">
        <v>0.375</v>
      </c>
      <c r="N36" s="275" t="s">
        <v>2</v>
      </c>
      <c r="O36" s="275" t="s">
        <v>2</v>
      </c>
      <c r="P36" s="275" t="s">
        <v>2</v>
      </c>
      <c r="Q36" s="241">
        <v>42044</v>
      </c>
      <c r="R36" s="245" t="str">
        <f t="shared" ca="1" si="1"/>
        <v>W4+</v>
      </c>
      <c r="S36" s="241">
        <v>42068</v>
      </c>
      <c r="T36" s="245">
        <f t="shared" ca="1" si="2"/>
        <v>652</v>
      </c>
      <c r="U36" s="239" t="s">
        <v>2218</v>
      </c>
      <c r="V36" s="241">
        <v>42707</v>
      </c>
      <c r="W36" s="241">
        <v>42709</v>
      </c>
      <c r="X36" s="241">
        <v>42738</v>
      </c>
      <c r="Y36" s="239" t="s">
        <v>2</v>
      </c>
      <c r="Z36" s="274" t="s">
        <v>403</v>
      </c>
      <c r="AA36" s="274" t="s">
        <v>396</v>
      </c>
      <c r="AB36" s="241">
        <v>42423</v>
      </c>
      <c r="AC36" s="239">
        <v>264</v>
      </c>
      <c r="AD36" s="239" t="s">
        <v>2</v>
      </c>
      <c r="AE36" s="51" t="s">
        <v>765</v>
      </c>
      <c r="AF36" s="239" t="s">
        <v>2</v>
      </c>
      <c r="AG36" s="274" t="s">
        <v>2</v>
      </c>
      <c r="AH36" s="216">
        <v>35408</v>
      </c>
      <c r="AI36" s="274" t="s">
        <v>2191</v>
      </c>
      <c r="AJ36" s="278" t="s">
        <v>2</v>
      </c>
      <c r="AK36" s="279" t="s">
        <v>2</v>
      </c>
      <c r="AL36" s="239" t="s">
        <v>775</v>
      </c>
      <c r="AM36" s="239" t="s">
        <v>68</v>
      </c>
      <c r="AN36" s="239" t="s">
        <v>89</v>
      </c>
      <c r="AO36" s="96">
        <v>810254</v>
      </c>
      <c r="AP36" s="281" t="s">
        <v>1005</v>
      </c>
      <c r="AQ36" s="281" t="s">
        <v>654</v>
      </c>
      <c r="AR36" s="281" t="s">
        <v>2</v>
      </c>
      <c r="AS36" s="281" t="s">
        <v>414</v>
      </c>
      <c r="AT36" s="281" t="s">
        <v>2604</v>
      </c>
      <c r="AU36" s="281" t="s">
        <v>1249</v>
      </c>
      <c r="AV36" s="243" t="s">
        <v>1249</v>
      </c>
    </row>
    <row r="37" spans="2:48" ht="15" customHeight="1">
      <c r="B37" s="280" t="str">
        <f>IF(B36="x","","x")</f>
        <v>x</v>
      </c>
      <c r="D37" s="237">
        <v>29866</v>
      </c>
      <c r="E37" s="315">
        <v>868182</v>
      </c>
      <c r="F37" s="238">
        <v>12694</v>
      </c>
      <c r="G37" s="239" t="s">
        <v>314</v>
      </c>
      <c r="H37" s="314" t="s">
        <v>417</v>
      </c>
      <c r="I37" s="314" t="s">
        <v>4</v>
      </c>
      <c r="J37" s="239" t="s">
        <v>396</v>
      </c>
      <c r="K37" s="275">
        <v>0.53333333333333333</v>
      </c>
      <c r="L37" s="275">
        <v>0.875</v>
      </c>
      <c r="M37" s="275">
        <v>0.34166666666666662</v>
      </c>
      <c r="N37" s="275">
        <v>0.63194444444444442</v>
      </c>
      <c r="O37" s="275">
        <v>0.70833333333333337</v>
      </c>
      <c r="P37" s="275">
        <v>0.82638888888888884</v>
      </c>
      <c r="Q37" s="241">
        <v>41983</v>
      </c>
      <c r="R37" s="245" t="str">
        <f t="shared" ca="1" si="1"/>
        <v>W4+</v>
      </c>
      <c r="S37" s="241">
        <v>42009</v>
      </c>
      <c r="T37" s="245">
        <f t="shared" ca="1" si="2"/>
        <v>711</v>
      </c>
      <c r="U37" s="239" t="s">
        <v>2218</v>
      </c>
      <c r="V37" s="241">
        <v>42681</v>
      </c>
      <c r="W37" s="241">
        <v>42682</v>
      </c>
      <c r="X37" s="227" t="s">
        <v>2</v>
      </c>
      <c r="Y37" s="239" t="s">
        <v>2</v>
      </c>
      <c r="Z37" s="274" t="s">
        <v>2</v>
      </c>
      <c r="AA37" s="274" t="s">
        <v>2</v>
      </c>
      <c r="AB37" s="241" t="s">
        <v>2</v>
      </c>
      <c r="AC37" s="239">
        <v>264</v>
      </c>
      <c r="AD37" s="239" t="s">
        <v>2</v>
      </c>
      <c r="AE37" s="51">
        <v>8290280</v>
      </c>
      <c r="AF37" s="239" t="s">
        <v>2</v>
      </c>
      <c r="AG37" s="274" t="s">
        <v>2</v>
      </c>
      <c r="AH37" s="216" t="s">
        <v>2</v>
      </c>
      <c r="AI37" s="274" t="s">
        <v>2194</v>
      </c>
      <c r="AJ37" s="278" t="s">
        <v>2</v>
      </c>
      <c r="AK37" s="279" t="s">
        <v>2</v>
      </c>
      <c r="AL37" s="239" t="s">
        <v>775</v>
      </c>
      <c r="AM37" s="239" t="s">
        <v>68</v>
      </c>
      <c r="AN37" s="239" t="s">
        <v>89</v>
      </c>
      <c r="AO37" s="96">
        <v>810258</v>
      </c>
      <c r="AP37" s="281" t="s">
        <v>992</v>
      </c>
      <c r="AQ37" s="281" t="s">
        <v>641</v>
      </c>
      <c r="AR37" s="281" t="s">
        <v>2</v>
      </c>
      <c r="AS37" s="281" t="s">
        <v>414</v>
      </c>
      <c r="AT37" s="281" t="s">
        <v>2630</v>
      </c>
      <c r="AU37" s="281" t="s">
        <v>1249</v>
      </c>
      <c r="AV37" s="243" t="s">
        <v>1249</v>
      </c>
    </row>
    <row r="38" spans="2:48" ht="15" customHeight="1">
      <c r="B38" s="280" t="str">
        <f>IF(Termed!B488="x","","x")</f>
        <v>x</v>
      </c>
      <c r="D38" s="46">
        <v>31202</v>
      </c>
      <c r="E38" s="315">
        <v>897652</v>
      </c>
      <c r="F38" s="238">
        <v>17162</v>
      </c>
      <c r="G38" s="48" t="s">
        <v>2341</v>
      </c>
      <c r="H38" s="314" t="s">
        <v>420</v>
      </c>
      <c r="I38" s="274" t="s">
        <v>4</v>
      </c>
      <c r="J38" s="48" t="s">
        <v>396</v>
      </c>
      <c r="K38" s="275">
        <v>0.57500000000000007</v>
      </c>
      <c r="L38" s="275">
        <v>0.91666666666666663</v>
      </c>
      <c r="M38" s="275">
        <v>0.34166666666666662</v>
      </c>
      <c r="N38" s="275">
        <v>0.70138888888888884</v>
      </c>
      <c r="O38" s="275">
        <v>0.75</v>
      </c>
      <c r="P38" s="275">
        <v>0.84027777777777779</v>
      </c>
      <c r="Q38" s="50">
        <v>42256</v>
      </c>
      <c r="R38" s="245" t="str">
        <f t="shared" ca="1" si="1"/>
        <v>W4+</v>
      </c>
      <c r="S38" s="50">
        <v>42282</v>
      </c>
      <c r="T38" s="245">
        <f t="shared" ca="1" si="2"/>
        <v>438</v>
      </c>
      <c r="U38" s="48" t="s">
        <v>2218</v>
      </c>
      <c r="V38" s="50">
        <v>42704</v>
      </c>
      <c r="W38" s="50">
        <v>42705</v>
      </c>
      <c r="X38" s="276" t="s">
        <v>2</v>
      </c>
      <c r="Y38" s="48" t="s">
        <v>2</v>
      </c>
      <c r="Z38" s="48" t="s">
        <v>2</v>
      </c>
      <c r="AA38" s="48" t="s">
        <v>2</v>
      </c>
      <c r="AB38" s="50" t="s">
        <v>2</v>
      </c>
      <c r="AC38" s="48">
        <v>264</v>
      </c>
      <c r="AD38" s="48"/>
      <c r="AE38" s="51" t="s">
        <v>2</v>
      </c>
      <c r="AF38" s="48"/>
      <c r="AG38" s="48"/>
      <c r="AH38" s="216">
        <v>31654</v>
      </c>
      <c r="AI38" s="48" t="s">
        <v>2</v>
      </c>
      <c r="AJ38" s="278"/>
      <c r="AK38" s="279"/>
      <c r="AL38" s="48" t="s">
        <v>775</v>
      </c>
      <c r="AM38" s="48" t="s">
        <v>68</v>
      </c>
      <c r="AN38" s="48" t="s">
        <v>89</v>
      </c>
      <c r="AO38" s="96">
        <v>23699</v>
      </c>
      <c r="AP38" s="281" t="s">
        <v>2377</v>
      </c>
      <c r="AQ38" s="281" t="s">
        <v>2360</v>
      </c>
      <c r="AR38" s="281" t="s">
        <v>2</v>
      </c>
      <c r="AS38" s="281" t="s">
        <v>414</v>
      </c>
      <c r="AT38" s="281" t="s">
        <v>2388</v>
      </c>
      <c r="AU38" s="281" t="s">
        <v>1249</v>
      </c>
      <c r="AV38" s="282" t="s">
        <v>1249</v>
      </c>
    </row>
    <row r="39" spans="2:48" ht="15" customHeight="1">
      <c r="B39" s="280" t="str">
        <f>IF(B38="x","","x")</f>
        <v/>
      </c>
      <c r="D39" s="46">
        <v>31394</v>
      </c>
      <c r="E39" s="312">
        <v>909807</v>
      </c>
      <c r="F39" s="47">
        <v>12275</v>
      </c>
      <c r="G39" s="48" t="s">
        <v>2406</v>
      </c>
      <c r="H39" s="314" t="s">
        <v>416</v>
      </c>
      <c r="I39" s="314" t="s">
        <v>4</v>
      </c>
      <c r="J39" s="48" t="s">
        <v>398</v>
      </c>
      <c r="K39" s="275">
        <v>0.33333333333333331</v>
      </c>
      <c r="L39" s="275">
        <v>0.59722222222222221</v>
      </c>
      <c r="M39" s="275">
        <v>0.2638888888888889</v>
      </c>
      <c r="N39" s="275">
        <v>0.375</v>
      </c>
      <c r="O39" s="275">
        <v>0.43055555555555558</v>
      </c>
      <c r="P39" s="275">
        <v>0.5</v>
      </c>
      <c r="Q39" s="50">
        <v>42340</v>
      </c>
      <c r="R39" s="245" t="str">
        <f t="shared" ca="1" si="1"/>
        <v>W4+</v>
      </c>
      <c r="S39" s="50">
        <v>42362</v>
      </c>
      <c r="T39" s="245">
        <f t="shared" ca="1" si="2"/>
        <v>358</v>
      </c>
      <c r="U39" s="48" t="s">
        <v>2218</v>
      </c>
      <c r="V39" s="276" t="s">
        <v>2</v>
      </c>
      <c r="W39" s="276" t="s">
        <v>2</v>
      </c>
      <c r="X39" s="276" t="s">
        <v>2</v>
      </c>
      <c r="Y39" s="48" t="s">
        <v>2</v>
      </c>
      <c r="Z39" s="48" t="s">
        <v>2</v>
      </c>
      <c r="AA39" s="48" t="s">
        <v>2</v>
      </c>
      <c r="AB39" s="50" t="s">
        <v>2</v>
      </c>
      <c r="AC39" s="48" t="s">
        <v>2889</v>
      </c>
      <c r="AD39" s="48"/>
      <c r="AE39" s="51" t="s">
        <v>2502</v>
      </c>
      <c r="AF39" s="48"/>
      <c r="AG39" s="48"/>
      <c r="AH39" s="216">
        <v>35103</v>
      </c>
      <c r="AI39" s="48" t="s">
        <v>2193</v>
      </c>
      <c r="AJ39" s="53"/>
      <c r="AK39" s="54"/>
      <c r="AL39" s="48" t="s">
        <v>775</v>
      </c>
      <c r="AM39" s="48" t="s">
        <v>68</v>
      </c>
      <c r="AN39" s="48" t="s">
        <v>89</v>
      </c>
      <c r="AO39" s="96">
        <v>24202</v>
      </c>
      <c r="AP39" s="281" t="s">
        <v>2429</v>
      </c>
      <c r="AQ39" s="281" t="s">
        <v>2453</v>
      </c>
      <c r="AR39" s="281" t="s">
        <v>2</v>
      </c>
      <c r="AS39" s="281" t="s">
        <v>414</v>
      </c>
      <c r="AT39" s="281" t="s">
        <v>2474</v>
      </c>
      <c r="AU39" s="281" t="s">
        <v>2</v>
      </c>
      <c r="AV39" s="282" t="s">
        <v>1249</v>
      </c>
    </row>
    <row r="40" spans="2:48" ht="15" customHeight="1">
      <c r="B40" s="280" t="str">
        <f>IF(B39="x","","x")</f>
        <v>x</v>
      </c>
      <c r="D40" s="46">
        <v>31056</v>
      </c>
      <c r="E40" s="101">
        <v>893771</v>
      </c>
      <c r="F40" s="47">
        <v>17097</v>
      </c>
      <c r="G40" s="48" t="s">
        <v>2256</v>
      </c>
      <c r="H40" s="314" t="s">
        <v>416</v>
      </c>
      <c r="I40" s="48" t="s">
        <v>4</v>
      </c>
      <c r="J40" s="48" t="s">
        <v>398</v>
      </c>
      <c r="K40" s="275">
        <v>0.33333333333333331</v>
      </c>
      <c r="L40" s="275">
        <v>0.59722222222222221</v>
      </c>
      <c r="M40" s="275">
        <v>0.2638888888888889</v>
      </c>
      <c r="N40" s="275">
        <v>0.375</v>
      </c>
      <c r="O40" s="275">
        <v>0.4375</v>
      </c>
      <c r="P40" s="275">
        <v>0.50694444444444442</v>
      </c>
      <c r="Q40" s="50">
        <v>42227</v>
      </c>
      <c r="R40" s="245" t="str">
        <f t="shared" ref="R40:R71" ca="1" si="3">IF(T40&lt;0,"TRN",IF(AND(T40&gt;=0,T40&lt;7),"OCP W1",IF(AND(T40&gt;=7,T40&lt;14),"OCP W2",IF(AND(T40&gt;=14,T40&lt;21),"OCP W3",IF(T40&gt;=21,"W4+")))))</f>
        <v>W4+</v>
      </c>
      <c r="S40" s="50">
        <v>42254</v>
      </c>
      <c r="T40" s="245">
        <f t="shared" ref="T40:T71" ca="1" si="4">TODAY()-S40</f>
        <v>466</v>
      </c>
      <c r="U40" s="48" t="s">
        <v>2218</v>
      </c>
      <c r="V40" s="50">
        <v>42662</v>
      </c>
      <c r="W40" s="50">
        <v>42662</v>
      </c>
      <c r="X40" s="50" t="s">
        <v>2</v>
      </c>
      <c r="Y40" s="48" t="s">
        <v>2</v>
      </c>
      <c r="Z40" s="48" t="s">
        <v>2</v>
      </c>
      <c r="AA40" s="48" t="s">
        <v>2</v>
      </c>
      <c r="AB40" s="50" t="s">
        <v>2</v>
      </c>
      <c r="AC40" s="48" t="s">
        <v>2889</v>
      </c>
      <c r="AD40" s="48"/>
      <c r="AE40" s="51" t="s">
        <v>2</v>
      </c>
      <c r="AF40" s="48"/>
      <c r="AG40" s="48"/>
      <c r="AH40" s="216">
        <v>34826</v>
      </c>
      <c r="AI40" s="48" t="s">
        <v>2</v>
      </c>
      <c r="AJ40" s="53"/>
      <c r="AK40" s="54"/>
      <c r="AL40" s="48" t="s">
        <v>775</v>
      </c>
      <c r="AM40" s="48" t="s">
        <v>68</v>
      </c>
      <c r="AN40" s="48" t="s">
        <v>89</v>
      </c>
      <c r="AO40" s="96">
        <v>23469</v>
      </c>
      <c r="AP40" s="281" t="s">
        <v>2276</v>
      </c>
      <c r="AQ40" s="281" t="s">
        <v>2293</v>
      </c>
      <c r="AR40" s="281" t="s">
        <v>2</v>
      </c>
      <c r="AS40" s="281" t="s">
        <v>414</v>
      </c>
      <c r="AT40" s="281" t="s">
        <v>2311</v>
      </c>
      <c r="AU40" s="281" t="s">
        <v>2</v>
      </c>
      <c r="AV40" s="282" t="s">
        <v>1249</v>
      </c>
    </row>
    <row r="41" spans="2:48" ht="15" customHeight="1">
      <c r="B41" s="280" t="str">
        <f>IF(B40="x","","x")</f>
        <v/>
      </c>
      <c r="D41" s="46">
        <v>30175</v>
      </c>
      <c r="E41" s="101">
        <v>873180</v>
      </c>
      <c r="F41" s="238">
        <v>17047</v>
      </c>
      <c r="G41" s="48" t="s">
        <v>248</v>
      </c>
      <c r="H41" s="314" t="s">
        <v>416</v>
      </c>
      <c r="I41" s="314" t="s">
        <v>4</v>
      </c>
      <c r="J41" s="48" t="s">
        <v>398</v>
      </c>
      <c r="K41" s="275">
        <v>0.33333333333333331</v>
      </c>
      <c r="L41" s="275">
        <v>0.59722222222222221</v>
      </c>
      <c r="M41" s="275">
        <v>0.2638888888888889</v>
      </c>
      <c r="N41" s="275">
        <v>0.38194444444444442</v>
      </c>
      <c r="O41" s="275">
        <v>0.4513888888888889</v>
      </c>
      <c r="P41" s="275">
        <v>0.51388888888888895</v>
      </c>
      <c r="Q41" s="50">
        <v>42044</v>
      </c>
      <c r="R41" s="245" t="str">
        <f t="shared" ca="1" si="3"/>
        <v>W4+</v>
      </c>
      <c r="S41" s="50">
        <v>42068</v>
      </c>
      <c r="T41" s="245">
        <f t="shared" ca="1" si="4"/>
        <v>652</v>
      </c>
      <c r="U41" s="48" t="s">
        <v>2218</v>
      </c>
      <c r="V41" s="50">
        <v>42654</v>
      </c>
      <c r="W41" s="50">
        <v>42655</v>
      </c>
      <c r="X41" s="276" t="s">
        <v>2</v>
      </c>
      <c r="Y41" s="48" t="s">
        <v>2</v>
      </c>
      <c r="Z41" s="274" t="s">
        <v>2</v>
      </c>
      <c r="AA41" s="274" t="s">
        <v>2</v>
      </c>
      <c r="AB41" s="50" t="s">
        <v>2</v>
      </c>
      <c r="AC41" s="48" t="s">
        <v>2889</v>
      </c>
      <c r="AD41" s="48" t="s">
        <v>2</v>
      </c>
      <c r="AE41" s="51" t="s">
        <v>747</v>
      </c>
      <c r="AF41" s="48" t="s">
        <v>2</v>
      </c>
      <c r="AG41" s="48" t="s">
        <v>2</v>
      </c>
      <c r="AH41" s="216">
        <v>31767</v>
      </c>
      <c r="AI41" s="48" t="s">
        <v>2188</v>
      </c>
      <c r="AJ41" s="278" t="s">
        <v>2</v>
      </c>
      <c r="AK41" s="279" t="s">
        <v>2</v>
      </c>
      <c r="AL41" s="48" t="s">
        <v>775</v>
      </c>
      <c r="AM41" s="48" t="s">
        <v>68</v>
      </c>
      <c r="AN41" s="48" t="s">
        <v>89</v>
      </c>
      <c r="AO41" s="96">
        <v>810329</v>
      </c>
      <c r="AP41" s="316" t="s">
        <v>931</v>
      </c>
      <c r="AQ41" s="316" t="s">
        <v>580</v>
      </c>
      <c r="AR41" s="316" t="s">
        <v>2</v>
      </c>
      <c r="AS41" s="316" t="s">
        <v>414</v>
      </c>
      <c r="AT41" s="316" t="s">
        <v>1182</v>
      </c>
      <c r="AU41" s="316" t="s">
        <v>2</v>
      </c>
      <c r="AV41" s="282" t="s">
        <v>1249</v>
      </c>
    </row>
    <row r="42" spans="2:48" ht="15" customHeight="1">
      <c r="B42" s="280" t="str">
        <f>IF(B41="x","","x")</f>
        <v>x</v>
      </c>
      <c r="D42" s="46">
        <v>31433</v>
      </c>
      <c r="E42" s="101">
        <v>911880</v>
      </c>
      <c r="F42" s="47">
        <v>17093</v>
      </c>
      <c r="G42" s="48" t="s">
        <v>2639</v>
      </c>
      <c r="H42" s="314" t="s">
        <v>416</v>
      </c>
      <c r="I42" s="314" t="s">
        <v>4</v>
      </c>
      <c r="J42" s="48" t="s">
        <v>398</v>
      </c>
      <c r="K42" s="275">
        <v>0.33333333333333331</v>
      </c>
      <c r="L42" s="275">
        <v>0.59722222222222221</v>
      </c>
      <c r="M42" s="275">
        <v>0.2638888888888889</v>
      </c>
      <c r="N42" s="275">
        <v>0.38194444444444442</v>
      </c>
      <c r="O42" s="275">
        <v>0.45833333333333331</v>
      </c>
      <c r="P42" s="275">
        <v>0.51388888888888895</v>
      </c>
      <c r="Q42" s="50">
        <v>42373</v>
      </c>
      <c r="R42" s="245" t="str">
        <f t="shared" ca="1" si="3"/>
        <v>W4+</v>
      </c>
      <c r="S42" s="50">
        <v>42401</v>
      </c>
      <c r="T42" s="245">
        <f t="shared" ca="1" si="4"/>
        <v>319</v>
      </c>
      <c r="U42" s="48" t="s">
        <v>2218</v>
      </c>
      <c r="V42" s="50" t="s">
        <v>2</v>
      </c>
      <c r="W42" s="50" t="s">
        <v>2</v>
      </c>
      <c r="X42" s="276" t="s">
        <v>2</v>
      </c>
      <c r="Y42" s="48" t="s">
        <v>2</v>
      </c>
      <c r="Z42" s="48" t="s">
        <v>2</v>
      </c>
      <c r="AA42" s="48" t="s">
        <v>2</v>
      </c>
      <c r="AB42" s="50" t="s">
        <v>2</v>
      </c>
      <c r="AC42" s="48" t="s">
        <v>2889</v>
      </c>
      <c r="AD42" s="48"/>
      <c r="AE42" s="51" t="s">
        <v>2</v>
      </c>
      <c r="AF42" s="48" t="s">
        <v>2</v>
      </c>
      <c r="AG42" s="48" t="s">
        <v>2</v>
      </c>
      <c r="AH42" s="216" t="s">
        <v>2</v>
      </c>
      <c r="AI42" s="48" t="s">
        <v>2</v>
      </c>
      <c r="AJ42" s="53"/>
      <c r="AK42" s="54"/>
      <c r="AL42" s="48" t="s">
        <v>775</v>
      </c>
      <c r="AM42" s="48" t="s">
        <v>68</v>
      </c>
      <c r="AN42" s="48" t="s">
        <v>89</v>
      </c>
      <c r="AO42" s="96">
        <v>810392</v>
      </c>
      <c r="AP42" s="316" t="s">
        <v>2648</v>
      </c>
      <c r="AQ42" s="316" t="s">
        <v>2655</v>
      </c>
      <c r="AR42" s="316" t="s">
        <v>2</v>
      </c>
      <c r="AS42" s="316" t="s">
        <v>414</v>
      </c>
      <c r="AT42" s="316" t="s">
        <v>2663</v>
      </c>
      <c r="AU42" s="316" t="s">
        <v>2</v>
      </c>
      <c r="AV42" s="282" t="s">
        <v>1249</v>
      </c>
    </row>
    <row r="43" spans="2:48" ht="15" customHeight="1">
      <c r="B43" s="280" t="str">
        <f>IF(Termed!B489="x","","x")</f>
        <v>x</v>
      </c>
      <c r="D43" s="237">
        <v>30609</v>
      </c>
      <c r="E43" s="244">
        <v>879251</v>
      </c>
      <c r="F43" s="273">
        <v>12792</v>
      </c>
      <c r="G43" s="239" t="s">
        <v>206</v>
      </c>
      <c r="H43" s="314" t="s">
        <v>416</v>
      </c>
      <c r="I43" s="239" t="s">
        <v>4</v>
      </c>
      <c r="J43" s="239" t="s">
        <v>398</v>
      </c>
      <c r="K43" s="275">
        <v>0.33333333333333331</v>
      </c>
      <c r="L43" s="275">
        <v>0.59722222222222221</v>
      </c>
      <c r="M43" s="275">
        <v>0.2638888888888889</v>
      </c>
      <c r="N43" s="275">
        <v>0.39583333333333331</v>
      </c>
      <c r="O43" s="275">
        <v>0.47222222222222227</v>
      </c>
      <c r="P43" s="275">
        <v>0.53472222222222221</v>
      </c>
      <c r="Q43" s="241">
        <v>42107</v>
      </c>
      <c r="R43" s="245" t="str">
        <f t="shared" ca="1" si="3"/>
        <v>W4+</v>
      </c>
      <c r="S43" s="241">
        <v>42128</v>
      </c>
      <c r="T43" s="245">
        <f t="shared" ca="1" si="4"/>
        <v>592</v>
      </c>
      <c r="U43" s="239" t="s">
        <v>2218</v>
      </c>
      <c r="V43" s="241">
        <v>42583</v>
      </c>
      <c r="W43" s="241">
        <v>42612</v>
      </c>
      <c r="X43" s="276" t="s">
        <v>2</v>
      </c>
      <c r="Y43" s="239" t="s">
        <v>2</v>
      </c>
      <c r="Z43" s="314" t="s">
        <v>2</v>
      </c>
      <c r="AA43" s="314" t="s">
        <v>2</v>
      </c>
      <c r="AB43" s="241" t="s">
        <v>2</v>
      </c>
      <c r="AC43" s="239" t="s">
        <v>2889</v>
      </c>
      <c r="AD43" s="239" t="s">
        <v>2</v>
      </c>
      <c r="AE43" s="51">
        <v>9402620</v>
      </c>
      <c r="AF43" s="239" t="s">
        <v>2</v>
      </c>
      <c r="AG43" s="239" t="s">
        <v>2</v>
      </c>
      <c r="AH43" s="216">
        <v>35062</v>
      </c>
      <c r="AI43" s="239" t="s">
        <v>2190</v>
      </c>
      <c r="AJ43" s="278" t="s">
        <v>2</v>
      </c>
      <c r="AK43" s="279" t="s">
        <v>2</v>
      </c>
      <c r="AL43" s="239" t="s">
        <v>775</v>
      </c>
      <c r="AM43" s="239" t="s">
        <v>68</v>
      </c>
      <c r="AN43" s="239" t="s">
        <v>89</v>
      </c>
      <c r="AO43" s="242">
        <v>810325</v>
      </c>
      <c r="AP43" s="152" t="s">
        <v>890</v>
      </c>
      <c r="AQ43" s="152" t="s">
        <v>539</v>
      </c>
      <c r="AR43" s="152" t="s">
        <v>2</v>
      </c>
      <c r="AS43" s="152" t="s">
        <v>414</v>
      </c>
      <c r="AT43" s="152" t="s">
        <v>1165</v>
      </c>
      <c r="AU43" s="152" t="s">
        <v>1249</v>
      </c>
      <c r="AV43" s="282" t="s">
        <v>1249</v>
      </c>
    </row>
    <row r="44" spans="2:48" ht="15" customHeight="1">
      <c r="B44" s="280" t="str">
        <f>IF(Termed!B490="x","","x")</f>
        <v/>
      </c>
      <c r="D44" s="46">
        <v>32620</v>
      </c>
      <c r="E44" s="312">
        <v>930891</v>
      </c>
      <c r="F44" s="47">
        <v>17183</v>
      </c>
      <c r="G44" s="48" t="s">
        <v>2805</v>
      </c>
      <c r="H44" s="314" t="s">
        <v>416</v>
      </c>
      <c r="I44" s="314" t="s">
        <v>4</v>
      </c>
      <c r="J44" s="48" t="s">
        <v>398</v>
      </c>
      <c r="K44" s="275">
        <v>0.33333333333333331</v>
      </c>
      <c r="L44" s="275">
        <v>0.59722222222222221</v>
      </c>
      <c r="M44" s="275">
        <v>0.2638888888888889</v>
      </c>
      <c r="N44" s="275">
        <v>0.40277777777777773</v>
      </c>
      <c r="O44" s="275">
        <v>0.46527777777777773</v>
      </c>
      <c r="P44" s="275">
        <v>0.54166666666666663</v>
      </c>
      <c r="Q44" s="50">
        <v>42529</v>
      </c>
      <c r="R44" s="245" t="str">
        <f t="shared" ca="1" si="3"/>
        <v>W4+</v>
      </c>
      <c r="S44" s="50">
        <v>42555</v>
      </c>
      <c r="T44" s="245">
        <f t="shared" ca="1" si="4"/>
        <v>165</v>
      </c>
      <c r="U44" s="48" t="s">
        <v>2218</v>
      </c>
      <c r="V44" s="50">
        <v>42529</v>
      </c>
      <c r="W44" s="50">
        <v>42529</v>
      </c>
      <c r="X44" s="227">
        <v>42524</v>
      </c>
      <c r="Y44" s="48" t="s">
        <v>2</v>
      </c>
      <c r="Z44" s="48" t="s">
        <v>2</v>
      </c>
      <c r="AA44" s="48" t="s">
        <v>2</v>
      </c>
      <c r="AB44" s="50" t="s">
        <v>2</v>
      </c>
      <c r="AC44" s="48" t="s">
        <v>2889</v>
      </c>
      <c r="AD44" s="48"/>
      <c r="AE44" s="51" t="s">
        <v>2</v>
      </c>
      <c r="AF44" s="48"/>
      <c r="AG44" s="48"/>
      <c r="AH44" s="216" t="s">
        <v>2</v>
      </c>
      <c r="AI44" s="48" t="s">
        <v>2</v>
      </c>
      <c r="AJ44" s="53"/>
      <c r="AK44" s="54"/>
      <c r="AL44" s="48" t="s">
        <v>775</v>
      </c>
      <c r="AM44" s="48" t="s">
        <v>68</v>
      </c>
      <c r="AN44" s="48" t="s">
        <v>89</v>
      </c>
      <c r="AO44" s="96">
        <v>24677</v>
      </c>
      <c r="AP44" s="152" t="s">
        <v>2819</v>
      </c>
      <c r="AQ44" s="152" t="s">
        <v>2841</v>
      </c>
      <c r="AR44" s="152" t="s">
        <v>2</v>
      </c>
      <c r="AS44" s="152" t="s">
        <v>414</v>
      </c>
      <c r="AT44" s="152" t="s">
        <v>2830</v>
      </c>
      <c r="AU44" s="152" t="s">
        <v>2</v>
      </c>
      <c r="AV44" s="282" t="s">
        <v>1249</v>
      </c>
    </row>
    <row r="45" spans="2:48" ht="15" customHeight="1">
      <c r="B45" s="280" t="str">
        <f t="shared" ref="B45:B74" si="5">IF(B44="x","","x")</f>
        <v>x</v>
      </c>
      <c r="D45" s="46">
        <v>32627</v>
      </c>
      <c r="E45" s="283">
        <v>930898</v>
      </c>
      <c r="F45" s="313">
        <v>17190</v>
      </c>
      <c r="G45" s="48" t="s">
        <v>2812</v>
      </c>
      <c r="H45" s="314" t="s">
        <v>416</v>
      </c>
      <c r="I45" s="48" t="s">
        <v>4</v>
      </c>
      <c r="J45" s="48" t="s">
        <v>398</v>
      </c>
      <c r="K45" s="275">
        <v>0.33333333333333331</v>
      </c>
      <c r="L45" s="275">
        <v>0.59722222222222221</v>
      </c>
      <c r="M45" s="275">
        <v>0.2638888888888889</v>
      </c>
      <c r="N45" s="275">
        <v>0.3888888888888889</v>
      </c>
      <c r="O45" s="275">
        <v>0.45833333333333331</v>
      </c>
      <c r="P45" s="275">
        <v>0.51388888888888895</v>
      </c>
      <c r="Q45" s="50">
        <v>42529</v>
      </c>
      <c r="R45" s="245" t="str">
        <f t="shared" ca="1" si="3"/>
        <v>W4+</v>
      </c>
      <c r="S45" s="50">
        <v>42555</v>
      </c>
      <c r="T45" s="245">
        <f t="shared" ca="1" si="4"/>
        <v>165</v>
      </c>
      <c r="U45" s="48" t="s">
        <v>2218</v>
      </c>
      <c r="V45" s="50">
        <v>42663</v>
      </c>
      <c r="W45" s="50">
        <v>42663</v>
      </c>
      <c r="X45" s="276" t="s">
        <v>2</v>
      </c>
      <c r="Y45" s="48" t="s">
        <v>2</v>
      </c>
      <c r="Z45" s="48" t="s">
        <v>2</v>
      </c>
      <c r="AA45" s="48" t="s">
        <v>2</v>
      </c>
      <c r="AB45" s="50" t="s">
        <v>2</v>
      </c>
      <c r="AC45" s="48" t="s">
        <v>2889</v>
      </c>
      <c r="AD45" s="48"/>
      <c r="AE45" s="51" t="s">
        <v>2</v>
      </c>
      <c r="AF45" s="48"/>
      <c r="AG45" s="48"/>
      <c r="AH45" s="216">
        <v>42585</v>
      </c>
      <c r="AI45" s="48" t="s">
        <v>2</v>
      </c>
      <c r="AJ45" s="53"/>
      <c r="AK45" s="54"/>
      <c r="AL45" s="48" t="s">
        <v>775</v>
      </c>
      <c r="AM45" s="48" t="s">
        <v>68</v>
      </c>
      <c r="AN45" s="48" t="s">
        <v>89</v>
      </c>
      <c r="AO45" s="96">
        <v>24680</v>
      </c>
      <c r="AP45" s="152" t="s">
        <v>2823</v>
      </c>
      <c r="AQ45" s="152" t="s">
        <v>2845</v>
      </c>
      <c r="AR45" s="152" t="s">
        <v>2</v>
      </c>
      <c r="AS45" s="152" t="s">
        <v>414</v>
      </c>
      <c r="AT45" s="152" t="s">
        <v>2834</v>
      </c>
      <c r="AU45" s="152" t="s">
        <v>2</v>
      </c>
      <c r="AV45" s="282" t="s">
        <v>1249</v>
      </c>
    </row>
    <row r="46" spans="2:48" ht="15" customHeight="1">
      <c r="B46" s="280" t="str">
        <f t="shared" si="5"/>
        <v/>
      </c>
      <c r="D46" s="46">
        <v>33993</v>
      </c>
      <c r="E46" s="315">
        <v>998994</v>
      </c>
      <c r="F46" s="47">
        <v>17000</v>
      </c>
      <c r="G46" s="48" t="s">
        <v>3056</v>
      </c>
      <c r="H46" s="314" t="s">
        <v>418</v>
      </c>
      <c r="I46" s="48" t="s">
        <v>7</v>
      </c>
      <c r="J46" s="48" t="s">
        <v>398</v>
      </c>
      <c r="K46" s="275">
        <v>0.33333333333333331</v>
      </c>
      <c r="L46" s="275">
        <v>0.58333333333333337</v>
      </c>
      <c r="M46" s="275">
        <v>0.25</v>
      </c>
      <c r="N46" s="275" t="s">
        <v>2</v>
      </c>
      <c r="O46" s="275" t="s">
        <v>2</v>
      </c>
      <c r="P46" s="275" t="s">
        <v>2</v>
      </c>
      <c r="Q46" s="50">
        <v>42713</v>
      </c>
      <c r="R46" s="245" t="str">
        <f t="shared" ca="1" si="3"/>
        <v>TRN</v>
      </c>
      <c r="S46" s="50">
        <v>42744</v>
      </c>
      <c r="T46" s="245">
        <f t="shared" ca="1" si="4"/>
        <v>-24</v>
      </c>
      <c r="U46" s="48" t="s">
        <v>2218</v>
      </c>
      <c r="V46" s="50">
        <v>42713</v>
      </c>
      <c r="W46" s="50">
        <v>42713</v>
      </c>
      <c r="X46" s="276">
        <v>42741</v>
      </c>
      <c r="Y46" s="48" t="s">
        <v>2</v>
      </c>
      <c r="Z46" s="48" t="s">
        <v>2</v>
      </c>
      <c r="AA46" s="48" t="s">
        <v>2</v>
      </c>
      <c r="AB46" s="50" t="s">
        <v>2</v>
      </c>
      <c r="AC46" s="48" t="s">
        <v>2891</v>
      </c>
      <c r="AD46" s="48" t="s">
        <v>2</v>
      </c>
      <c r="AE46" s="314" t="s">
        <v>2</v>
      </c>
      <c r="AF46" s="48" t="s">
        <v>2</v>
      </c>
      <c r="AG46" s="48" t="s">
        <v>3052</v>
      </c>
      <c r="AH46" s="216">
        <v>36090</v>
      </c>
      <c r="AI46" s="48" t="s">
        <v>2</v>
      </c>
      <c r="AJ46" s="314" t="s">
        <v>2</v>
      </c>
      <c r="AK46" s="314" t="s">
        <v>3054</v>
      </c>
      <c r="AL46" s="48" t="s">
        <v>775</v>
      </c>
      <c r="AM46" s="48" t="s">
        <v>68</v>
      </c>
      <c r="AN46" s="48" t="s">
        <v>89</v>
      </c>
      <c r="AO46" s="96">
        <v>810411</v>
      </c>
      <c r="AP46" s="316" t="s">
        <v>3059</v>
      </c>
      <c r="AQ46" s="314" t="s">
        <v>2</v>
      </c>
      <c r="AR46" s="314" t="s">
        <v>2</v>
      </c>
      <c r="AS46" s="314" t="s">
        <v>414</v>
      </c>
      <c r="AT46" s="314" t="s">
        <v>2</v>
      </c>
      <c r="AU46" s="314" t="s">
        <v>2</v>
      </c>
      <c r="AV46" s="282" t="s">
        <v>1249</v>
      </c>
    </row>
    <row r="47" spans="2:48" ht="15" customHeight="1">
      <c r="B47" s="280" t="str">
        <f t="shared" si="5"/>
        <v>x</v>
      </c>
      <c r="D47" s="46">
        <v>33992</v>
      </c>
      <c r="E47" s="315">
        <v>998992</v>
      </c>
      <c r="F47" s="313">
        <v>17001</v>
      </c>
      <c r="G47" s="48" t="s">
        <v>3057</v>
      </c>
      <c r="H47" s="314" t="s">
        <v>418</v>
      </c>
      <c r="I47" s="239" t="s">
        <v>7</v>
      </c>
      <c r="J47" s="48" t="s">
        <v>398</v>
      </c>
      <c r="K47" s="275">
        <v>0.33333333333333331</v>
      </c>
      <c r="L47" s="275">
        <v>0.58333333333333337</v>
      </c>
      <c r="M47" s="275">
        <v>0.25</v>
      </c>
      <c r="N47" s="275" t="s">
        <v>2</v>
      </c>
      <c r="O47" s="275" t="s">
        <v>2</v>
      </c>
      <c r="P47" s="275" t="s">
        <v>2</v>
      </c>
      <c r="Q47" s="50">
        <v>42713</v>
      </c>
      <c r="R47" s="245" t="str">
        <f t="shared" ca="1" si="3"/>
        <v>TRN</v>
      </c>
      <c r="S47" s="50">
        <v>42744</v>
      </c>
      <c r="T47" s="245">
        <f t="shared" ca="1" si="4"/>
        <v>-24</v>
      </c>
      <c r="U47" s="48" t="s">
        <v>2218</v>
      </c>
      <c r="V47" s="50">
        <v>42713</v>
      </c>
      <c r="W47" s="50">
        <v>42713</v>
      </c>
      <c r="X47" s="276">
        <v>42741</v>
      </c>
      <c r="Y47" s="48" t="s">
        <v>2</v>
      </c>
      <c r="Z47" s="48" t="s">
        <v>2</v>
      </c>
      <c r="AA47" s="48" t="s">
        <v>2</v>
      </c>
      <c r="AB47" s="50" t="s">
        <v>2</v>
      </c>
      <c r="AC47" s="48" t="s">
        <v>2891</v>
      </c>
      <c r="AD47" s="48" t="s">
        <v>2</v>
      </c>
      <c r="AE47" s="314" t="s">
        <v>2</v>
      </c>
      <c r="AF47" s="48" t="s">
        <v>2</v>
      </c>
      <c r="AG47" s="48" t="s">
        <v>3053</v>
      </c>
      <c r="AH47" s="216">
        <v>35842</v>
      </c>
      <c r="AI47" s="48" t="s">
        <v>2</v>
      </c>
      <c r="AJ47" s="314" t="s">
        <v>2</v>
      </c>
      <c r="AK47" s="314" t="s">
        <v>3055</v>
      </c>
      <c r="AL47" s="48" t="s">
        <v>775</v>
      </c>
      <c r="AM47" s="48" t="s">
        <v>68</v>
      </c>
      <c r="AN47" s="48" t="s">
        <v>89</v>
      </c>
      <c r="AO47" s="96">
        <v>810412</v>
      </c>
      <c r="AP47" s="316" t="s">
        <v>3058</v>
      </c>
      <c r="AQ47" s="314" t="s">
        <v>2</v>
      </c>
      <c r="AR47" s="314" t="s">
        <v>2</v>
      </c>
      <c r="AS47" s="314" t="s">
        <v>414</v>
      </c>
      <c r="AT47" s="314" t="s">
        <v>2</v>
      </c>
      <c r="AU47" s="314" t="s">
        <v>2</v>
      </c>
      <c r="AV47" s="282" t="s">
        <v>1249</v>
      </c>
    </row>
    <row r="48" spans="2:48" ht="15" customHeight="1">
      <c r="B48" s="280" t="str">
        <f t="shared" si="5"/>
        <v/>
      </c>
      <c r="D48" s="46">
        <v>29305</v>
      </c>
      <c r="E48" s="283">
        <v>858683</v>
      </c>
      <c r="F48" s="313">
        <v>17005</v>
      </c>
      <c r="G48" s="48" t="s">
        <v>207</v>
      </c>
      <c r="H48" s="314" t="s">
        <v>416</v>
      </c>
      <c r="I48" s="48" t="s">
        <v>4</v>
      </c>
      <c r="J48" s="48" t="s">
        <v>398</v>
      </c>
      <c r="K48" s="275">
        <v>0.35416666666666669</v>
      </c>
      <c r="L48" s="275">
        <v>0.6958333333333333</v>
      </c>
      <c r="M48" s="275">
        <v>0.34166666666666662</v>
      </c>
      <c r="N48" s="275">
        <v>0.40972222222222227</v>
      </c>
      <c r="O48" s="275">
        <v>0.52083333333333337</v>
      </c>
      <c r="P48" s="275">
        <v>0.625</v>
      </c>
      <c r="Q48" s="50">
        <v>41918</v>
      </c>
      <c r="R48" s="245" t="str">
        <f t="shared" ca="1" si="3"/>
        <v>W4+</v>
      </c>
      <c r="S48" s="50">
        <v>41944</v>
      </c>
      <c r="T48" s="245">
        <f t="shared" ca="1" si="4"/>
        <v>776</v>
      </c>
      <c r="U48" s="48" t="s">
        <v>2218</v>
      </c>
      <c r="V48" s="50">
        <v>42683</v>
      </c>
      <c r="W48" s="50">
        <v>42683</v>
      </c>
      <c r="X48" s="227" t="s">
        <v>2</v>
      </c>
      <c r="Y48" s="48" t="s">
        <v>2</v>
      </c>
      <c r="Z48" s="48" t="s">
        <v>2</v>
      </c>
      <c r="AA48" s="48" t="s">
        <v>2</v>
      </c>
      <c r="AB48" s="50" t="s">
        <v>2</v>
      </c>
      <c r="AC48" s="48" t="s">
        <v>2889</v>
      </c>
      <c r="AD48" s="48" t="s">
        <v>2</v>
      </c>
      <c r="AE48" s="277" t="s">
        <v>726</v>
      </c>
      <c r="AF48" s="48" t="s">
        <v>2</v>
      </c>
      <c r="AG48" s="48" t="s">
        <v>2</v>
      </c>
      <c r="AH48" s="216">
        <v>29710</v>
      </c>
      <c r="AI48" s="48" t="s">
        <v>2192</v>
      </c>
      <c r="AJ48" s="278" t="s">
        <v>2</v>
      </c>
      <c r="AK48" s="279" t="s">
        <v>2</v>
      </c>
      <c r="AL48" s="48" t="s">
        <v>775</v>
      </c>
      <c r="AM48" s="48" t="s">
        <v>68</v>
      </c>
      <c r="AN48" s="48" t="s">
        <v>89</v>
      </c>
      <c r="AO48" s="96">
        <v>810125</v>
      </c>
      <c r="AP48" s="152" t="s">
        <v>891</v>
      </c>
      <c r="AQ48" s="152" t="s">
        <v>540</v>
      </c>
      <c r="AR48" s="152" t="s">
        <v>2</v>
      </c>
      <c r="AS48" s="152" t="s">
        <v>414</v>
      </c>
      <c r="AT48" s="152" t="s">
        <v>1166</v>
      </c>
      <c r="AU48" s="152" t="s">
        <v>2</v>
      </c>
      <c r="AV48" s="282" t="s">
        <v>1249</v>
      </c>
    </row>
    <row r="49" spans="2:48" ht="15" customHeight="1">
      <c r="B49" s="280" t="str">
        <f t="shared" si="5"/>
        <v>x</v>
      </c>
      <c r="D49" s="46">
        <v>27525</v>
      </c>
      <c r="E49" s="283">
        <v>831259</v>
      </c>
      <c r="F49" s="230">
        <v>17085</v>
      </c>
      <c r="G49" s="274" t="s">
        <v>193</v>
      </c>
      <c r="H49" s="314" t="s">
        <v>418</v>
      </c>
      <c r="I49" s="48" t="s">
        <v>4</v>
      </c>
      <c r="J49" s="48" t="s">
        <v>398</v>
      </c>
      <c r="K49" s="275">
        <v>0.35416666666666669</v>
      </c>
      <c r="L49" s="275">
        <v>0.6958333333333333</v>
      </c>
      <c r="M49" s="275">
        <v>0.34166666666666662</v>
      </c>
      <c r="N49" s="275">
        <v>0.40972222222222227</v>
      </c>
      <c r="O49" s="275">
        <v>0.52083333333333337</v>
      </c>
      <c r="P49" s="275">
        <v>0.625</v>
      </c>
      <c r="Q49" s="50">
        <v>41676</v>
      </c>
      <c r="R49" s="245" t="str">
        <f t="shared" ca="1" si="3"/>
        <v>W4+</v>
      </c>
      <c r="S49" s="50">
        <v>41705</v>
      </c>
      <c r="T49" s="245">
        <f t="shared" ca="1" si="4"/>
        <v>1015</v>
      </c>
      <c r="U49" s="274" t="s">
        <v>2218</v>
      </c>
      <c r="V49" s="276">
        <v>42522</v>
      </c>
      <c r="W49" s="276" t="s">
        <v>2</v>
      </c>
      <c r="X49" s="276" t="s">
        <v>2</v>
      </c>
      <c r="Y49" s="274" t="s">
        <v>2</v>
      </c>
      <c r="Z49" s="274" t="s">
        <v>2</v>
      </c>
      <c r="AA49" s="274" t="s">
        <v>2</v>
      </c>
      <c r="AB49" s="276" t="s">
        <v>2</v>
      </c>
      <c r="AC49" s="274" t="s">
        <v>2889</v>
      </c>
      <c r="AD49" s="274" t="s">
        <v>2</v>
      </c>
      <c r="AE49" s="277" t="s">
        <v>723</v>
      </c>
      <c r="AF49" s="274" t="s">
        <v>2</v>
      </c>
      <c r="AG49" s="274" t="s">
        <v>2</v>
      </c>
      <c r="AH49" s="216">
        <v>29441</v>
      </c>
      <c r="AI49" s="274" t="s">
        <v>2191</v>
      </c>
      <c r="AJ49" s="278" t="s">
        <v>2</v>
      </c>
      <c r="AK49" s="279" t="s">
        <v>2</v>
      </c>
      <c r="AL49" s="274" t="s">
        <v>775</v>
      </c>
      <c r="AM49" s="274" t="s">
        <v>68</v>
      </c>
      <c r="AN49" s="274" t="s">
        <v>89</v>
      </c>
      <c r="AO49" s="96">
        <v>810151</v>
      </c>
      <c r="AP49" s="152" t="s">
        <v>878</v>
      </c>
      <c r="AQ49" s="152" t="s">
        <v>526</v>
      </c>
      <c r="AR49" s="152" t="s">
        <v>2</v>
      </c>
      <c r="AS49" s="152" t="s">
        <v>414</v>
      </c>
      <c r="AT49" s="152" t="s">
        <v>1158</v>
      </c>
      <c r="AU49" s="152" t="s">
        <v>2</v>
      </c>
      <c r="AV49" s="282" t="s">
        <v>1249</v>
      </c>
    </row>
    <row r="50" spans="2:48" ht="15" customHeight="1">
      <c r="B50" s="280" t="str">
        <f t="shared" si="5"/>
        <v/>
      </c>
      <c r="D50" s="46">
        <v>29316</v>
      </c>
      <c r="E50" s="283">
        <v>858694</v>
      </c>
      <c r="F50" s="47">
        <v>12402</v>
      </c>
      <c r="G50" s="48" t="s">
        <v>239</v>
      </c>
      <c r="H50" s="314" t="s">
        <v>418</v>
      </c>
      <c r="I50" s="48" t="s">
        <v>4</v>
      </c>
      <c r="J50" s="48" t="s">
        <v>398</v>
      </c>
      <c r="K50" s="275">
        <v>0.35416666666666669</v>
      </c>
      <c r="L50" s="275">
        <v>0.6958333333333333</v>
      </c>
      <c r="M50" s="275">
        <v>0.34166666666666662</v>
      </c>
      <c r="N50" s="275">
        <v>0.4236111111111111</v>
      </c>
      <c r="O50" s="275">
        <v>0.52777777777777779</v>
      </c>
      <c r="P50" s="275">
        <v>0.625</v>
      </c>
      <c r="Q50" s="50">
        <v>41918</v>
      </c>
      <c r="R50" s="245" t="str">
        <f t="shared" ca="1" si="3"/>
        <v>W4+</v>
      </c>
      <c r="S50" s="50">
        <v>41944</v>
      </c>
      <c r="T50" s="245">
        <f t="shared" ca="1" si="4"/>
        <v>776</v>
      </c>
      <c r="U50" s="48" t="s">
        <v>2218</v>
      </c>
      <c r="V50" s="50" t="s">
        <v>2</v>
      </c>
      <c r="W50" s="50" t="s">
        <v>2</v>
      </c>
      <c r="X50" s="276" t="s">
        <v>2</v>
      </c>
      <c r="Y50" s="48" t="s">
        <v>2</v>
      </c>
      <c r="Z50" s="48" t="s">
        <v>2</v>
      </c>
      <c r="AA50" s="48" t="s">
        <v>2</v>
      </c>
      <c r="AB50" s="50" t="s">
        <v>2</v>
      </c>
      <c r="AC50" s="48" t="s">
        <v>2889</v>
      </c>
      <c r="AD50" s="48" t="s">
        <v>2</v>
      </c>
      <c r="AE50" s="51" t="s">
        <v>740</v>
      </c>
      <c r="AF50" s="48" t="s">
        <v>2</v>
      </c>
      <c r="AG50" s="48" t="s">
        <v>2</v>
      </c>
      <c r="AH50" s="216">
        <v>31356</v>
      </c>
      <c r="AI50" s="48" t="s">
        <v>2190</v>
      </c>
      <c r="AJ50" s="53" t="s">
        <v>2</v>
      </c>
      <c r="AK50" s="54" t="s">
        <v>2</v>
      </c>
      <c r="AL50" s="48" t="s">
        <v>775</v>
      </c>
      <c r="AM50" s="48" t="s">
        <v>68</v>
      </c>
      <c r="AN50" s="48" t="s">
        <v>89</v>
      </c>
      <c r="AO50" s="96">
        <v>810189</v>
      </c>
      <c r="AP50" s="152" t="s">
        <v>922</v>
      </c>
      <c r="AQ50" s="152" t="s">
        <v>571</v>
      </c>
      <c r="AR50" s="152" t="s">
        <v>2</v>
      </c>
      <c r="AS50" s="152" t="s">
        <v>414</v>
      </c>
      <c r="AT50" s="152" t="s">
        <v>2543</v>
      </c>
      <c r="AU50" s="152" t="s">
        <v>2</v>
      </c>
      <c r="AV50" s="97" t="s">
        <v>1249</v>
      </c>
    </row>
    <row r="51" spans="2:48" ht="15" customHeight="1">
      <c r="B51" s="280" t="str">
        <f t="shared" si="5"/>
        <v>x</v>
      </c>
      <c r="D51" s="46">
        <v>29196</v>
      </c>
      <c r="E51" s="283">
        <v>854898</v>
      </c>
      <c r="F51" s="47">
        <v>17057</v>
      </c>
      <c r="G51" s="48" t="s">
        <v>151</v>
      </c>
      <c r="H51" s="314" t="s">
        <v>416</v>
      </c>
      <c r="I51" s="48" t="s">
        <v>4</v>
      </c>
      <c r="J51" s="48" t="s">
        <v>398</v>
      </c>
      <c r="K51" s="275">
        <v>0.375</v>
      </c>
      <c r="L51" s="275">
        <v>0.63888888888888895</v>
      </c>
      <c r="M51" s="275">
        <v>0.26388888888888895</v>
      </c>
      <c r="N51" s="275">
        <v>0.4236111111111111</v>
      </c>
      <c r="O51" s="275">
        <v>0.5</v>
      </c>
      <c r="P51" s="275">
        <v>0.56944444444444442</v>
      </c>
      <c r="Q51" s="50">
        <v>41891</v>
      </c>
      <c r="R51" s="245" t="str">
        <f t="shared" ca="1" si="3"/>
        <v>W4+</v>
      </c>
      <c r="S51" s="50">
        <v>41918</v>
      </c>
      <c r="T51" s="245">
        <f t="shared" ca="1" si="4"/>
        <v>802</v>
      </c>
      <c r="U51" s="48" t="s">
        <v>2218</v>
      </c>
      <c r="V51" s="50">
        <v>42656</v>
      </c>
      <c r="W51" s="50">
        <v>42656</v>
      </c>
      <c r="X51" s="50" t="s">
        <v>2</v>
      </c>
      <c r="Y51" s="48" t="s">
        <v>2</v>
      </c>
      <c r="Z51" s="48" t="s">
        <v>2</v>
      </c>
      <c r="AA51" s="48" t="s">
        <v>2</v>
      </c>
      <c r="AB51" s="50" t="s">
        <v>2</v>
      </c>
      <c r="AC51" s="48" t="s">
        <v>2889</v>
      </c>
      <c r="AD51" s="48" t="s">
        <v>2</v>
      </c>
      <c r="AE51" s="51" t="s">
        <v>2</v>
      </c>
      <c r="AF51" s="48" t="s">
        <v>2</v>
      </c>
      <c r="AG51" s="48" t="s">
        <v>2</v>
      </c>
      <c r="AH51" s="216">
        <v>33352</v>
      </c>
      <c r="AI51" s="48" t="s">
        <v>2</v>
      </c>
      <c r="AJ51" s="53" t="s">
        <v>2</v>
      </c>
      <c r="AK51" s="54" t="s">
        <v>2</v>
      </c>
      <c r="AL51" s="48" t="s">
        <v>775</v>
      </c>
      <c r="AM51" s="48" t="s">
        <v>68</v>
      </c>
      <c r="AN51" s="48" t="s">
        <v>89</v>
      </c>
      <c r="AO51" s="96">
        <v>810115</v>
      </c>
      <c r="AP51" s="152" t="s">
        <v>838</v>
      </c>
      <c r="AQ51" s="152" t="s">
        <v>485</v>
      </c>
      <c r="AR51" s="152" t="s">
        <v>2</v>
      </c>
      <c r="AS51" s="152" t="s">
        <v>414</v>
      </c>
      <c r="AT51" s="152" t="s">
        <v>2537</v>
      </c>
      <c r="AU51" s="152" t="s">
        <v>2</v>
      </c>
      <c r="AV51" s="282" t="s">
        <v>1249</v>
      </c>
    </row>
    <row r="52" spans="2:48" ht="15" customHeight="1">
      <c r="B52" s="280" t="str">
        <f t="shared" si="5"/>
        <v/>
      </c>
      <c r="D52" s="237">
        <v>28071</v>
      </c>
      <c r="E52" s="283">
        <v>836145</v>
      </c>
      <c r="F52" s="238">
        <v>17029</v>
      </c>
      <c r="G52" s="239" t="s">
        <v>255</v>
      </c>
      <c r="H52" s="314" t="s">
        <v>416</v>
      </c>
      <c r="I52" s="239" t="s">
        <v>4</v>
      </c>
      <c r="J52" s="239" t="s">
        <v>398</v>
      </c>
      <c r="K52" s="275">
        <v>0.375</v>
      </c>
      <c r="L52" s="275">
        <v>0.63888888888888895</v>
      </c>
      <c r="M52" s="275">
        <v>0.26388888888888895</v>
      </c>
      <c r="N52" s="275">
        <v>0.41666666666666669</v>
      </c>
      <c r="O52" s="275">
        <v>0.5</v>
      </c>
      <c r="P52" s="275">
        <v>0.57638888888888895</v>
      </c>
      <c r="Q52" s="241">
        <v>41731</v>
      </c>
      <c r="R52" s="245" t="str">
        <f t="shared" ca="1" si="3"/>
        <v>W4+</v>
      </c>
      <c r="S52" s="241">
        <v>41761</v>
      </c>
      <c r="T52" s="245">
        <f t="shared" ca="1" si="4"/>
        <v>959</v>
      </c>
      <c r="U52" s="239" t="s">
        <v>2218</v>
      </c>
      <c r="V52" s="241" t="s">
        <v>2</v>
      </c>
      <c r="W52" s="241" t="s">
        <v>2</v>
      </c>
      <c r="X52" s="276" t="s">
        <v>2</v>
      </c>
      <c r="Y52" s="239" t="s">
        <v>2</v>
      </c>
      <c r="Z52" s="239" t="s">
        <v>2</v>
      </c>
      <c r="AA52" s="239" t="s">
        <v>2</v>
      </c>
      <c r="AB52" s="241" t="s">
        <v>2</v>
      </c>
      <c r="AC52" s="239" t="s">
        <v>2889</v>
      </c>
      <c r="AD52" s="239" t="s">
        <v>2</v>
      </c>
      <c r="AE52" s="51" t="s">
        <v>2</v>
      </c>
      <c r="AF52" s="239" t="s">
        <v>2</v>
      </c>
      <c r="AG52" s="239" t="s">
        <v>2</v>
      </c>
      <c r="AH52" s="216">
        <v>33532</v>
      </c>
      <c r="AI52" s="239" t="s">
        <v>2</v>
      </c>
      <c r="AJ52" s="53" t="s">
        <v>2</v>
      </c>
      <c r="AK52" s="54" t="s">
        <v>2</v>
      </c>
      <c r="AL52" s="239" t="s">
        <v>775</v>
      </c>
      <c r="AM52" s="239" t="s">
        <v>68</v>
      </c>
      <c r="AN52" s="239" t="s">
        <v>89</v>
      </c>
      <c r="AO52" s="242">
        <v>810165</v>
      </c>
      <c r="AP52" s="152" t="s">
        <v>938</v>
      </c>
      <c r="AQ52" s="152" t="s">
        <v>587</v>
      </c>
      <c r="AR52" s="152" t="s">
        <v>2</v>
      </c>
      <c r="AS52" s="152" t="s">
        <v>414</v>
      </c>
      <c r="AT52" s="152" t="s">
        <v>2525</v>
      </c>
      <c r="AU52" s="152" t="s">
        <v>2</v>
      </c>
      <c r="AV52" s="243" t="s">
        <v>1249</v>
      </c>
    </row>
    <row r="53" spans="2:48" ht="15" customHeight="1">
      <c r="B53" s="280" t="str">
        <f t="shared" si="5"/>
        <v>x</v>
      </c>
      <c r="D53" s="46">
        <v>30173</v>
      </c>
      <c r="E53" s="283">
        <v>873178</v>
      </c>
      <c r="F53" s="47">
        <v>17037</v>
      </c>
      <c r="G53" s="48" t="s">
        <v>258</v>
      </c>
      <c r="H53" s="314" t="s">
        <v>416</v>
      </c>
      <c r="I53" s="48" t="s">
        <v>4</v>
      </c>
      <c r="J53" s="48" t="s">
        <v>398</v>
      </c>
      <c r="K53" s="275">
        <v>0.375</v>
      </c>
      <c r="L53" s="275">
        <v>0.63888888888888895</v>
      </c>
      <c r="M53" s="275">
        <v>0.2638888888888889</v>
      </c>
      <c r="N53" s="275">
        <v>0.4236111111111111</v>
      </c>
      <c r="O53" s="275">
        <v>0.54166666666666663</v>
      </c>
      <c r="P53" s="275">
        <v>0.65972222222222221</v>
      </c>
      <c r="Q53" s="50">
        <v>42044</v>
      </c>
      <c r="R53" s="245" t="str">
        <f t="shared" ca="1" si="3"/>
        <v>W4+</v>
      </c>
      <c r="S53" s="50">
        <v>42068</v>
      </c>
      <c r="T53" s="245">
        <f t="shared" ca="1" si="4"/>
        <v>652</v>
      </c>
      <c r="U53" s="48" t="s">
        <v>2218</v>
      </c>
      <c r="V53" s="50">
        <v>42710</v>
      </c>
      <c r="W53" s="50">
        <v>42710</v>
      </c>
      <c r="X53" s="50" t="s">
        <v>2</v>
      </c>
      <c r="Y53" s="48" t="s">
        <v>2</v>
      </c>
      <c r="Z53" s="48" t="s">
        <v>2</v>
      </c>
      <c r="AA53" s="48" t="s">
        <v>2</v>
      </c>
      <c r="AB53" s="50" t="s">
        <v>2</v>
      </c>
      <c r="AC53" s="48" t="s">
        <v>2889</v>
      </c>
      <c r="AD53" s="48" t="s">
        <v>2</v>
      </c>
      <c r="AE53" s="51" t="s">
        <v>753</v>
      </c>
      <c r="AF53" s="48" t="s">
        <v>2</v>
      </c>
      <c r="AG53" s="48" t="s">
        <v>2</v>
      </c>
      <c r="AH53" s="216">
        <v>33234</v>
      </c>
      <c r="AI53" s="48" t="s">
        <v>2194</v>
      </c>
      <c r="AJ53" s="53" t="s">
        <v>2</v>
      </c>
      <c r="AK53" s="54" t="s">
        <v>2</v>
      </c>
      <c r="AL53" s="48" t="s">
        <v>775</v>
      </c>
      <c r="AM53" s="48" t="s">
        <v>68</v>
      </c>
      <c r="AN53" s="48" t="s">
        <v>89</v>
      </c>
      <c r="AO53" s="242">
        <v>23492</v>
      </c>
      <c r="AP53" s="152" t="s">
        <v>941</v>
      </c>
      <c r="AQ53" s="152" t="s">
        <v>590</v>
      </c>
      <c r="AR53" s="152" t="s">
        <v>2</v>
      </c>
      <c r="AS53" s="152" t="s">
        <v>414</v>
      </c>
      <c r="AT53" s="152" t="s">
        <v>2523</v>
      </c>
      <c r="AU53" s="152" t="s">
        <v>2</v>
      </c>
      <c r="AV53" s="282" t="s">
        <v>1249</v>
      </c>
    </row>
    <row r="54" spans="2:48" ht="15" customHeight="1">
      <c r="B54" s="280" t="str">
        <f t="shared" si="5"/>
        <v/>
      </c>
      <c r="D54" s="46">
        <v>32623</v>
      </c>
      <c r="E54" s="101">
        <v>930894</v>
      </c>
      <c r="F54" s="47">
        <v>17167</v>
      </c>
      <c r="G54" s="48" t="s">
        <v>2808</v>
      </c>
      <c r="H54" s="314" t="s">
        <v>416</v>
      </c>
      <c r="I54" s="48" t="s">
        <v>4</v>
      </c>
      <c r="J54" s="48" t="s">
        <v>398</v>
      </c>
      <c r="K54" s="275">
        <v>0.375</v>
      </c>
      <c r="L54" s="275">
        <v>0.63888888888888895</v>
      </c>
      <c r="M54" s="275">
        <v>0.26388888888888895</v>
      </c>
      <c r="N54" s="275">
        <v>0.43055555555555558</v>
      </c>
      <c r="O54" s="275">
        <v>0.51388888888888895</v>
      </c>
      <c r="P54" s="275">
        <v>0.58333333333333337</v>
      </c>
      <c r="Q54" s="50">
        <v>42529</v>
      </c>
      <c r="R54" s="245" t="str">
        <f t="shared" ca="1" si="3"/>
        <v>W4+</v>
      </c>
      <c r="S54" s="50">
        <v>42555</v>
      </c>
      <c r="T54" s="245">
        <f t="shared" ca="1" si="4"/>
        <v>165</v>
      </c>
      <c r="U54" s="48" t="s">
        <v>2218</v>
      </c>
      <c r="V54" s="50">
        <v>42529</v>
      </c>
      <c r="W54" s="50">
        <v>42529</v>
      </c>
      <c r="X54" s="50">
        <v>42524</v>
      </c>
      <c r="Y54" s="48" t="s">
        <v>2</v>
      </c>
      <c r="Z54" s="48" t="s">
        <v>2</v>
      </c>
      <c r="AA54" s="48" t="s">
        <v>2</v>
      </c>
      <c r="AB54" s="50" t="s">
        <v>2</v>
      </c>
      <c r="AC54" s="48" t="s">
        <v>2889</v>
      </c>
      <c r="AD54" s="48"/>
      <c r="AE54" s="51" t="s">
        <v>2</v>
      </c>
      <c r="AF54" s="48"/>
      <c r="AG54" s="48"/>
      <c r="AH54" s="216" t="s">
        <v>2</v>
      </c>
      <c r="AI54" s="48" t="s">
        <v>2</v>
      </c>
      <c r="AJ54" s="53"/>
      <c r="AK54" s="54"/>
      <c r="AL54" s="48" t="s">
        <v>775</v>
      </c>
      <c r="AM54" s="48" t="s">
        <v>68</v>
      </c>
      <c r="AN54" s="48" t="s">
        <v>89</v>
      </c>
      <c r="AO54" s="242">
        <v>24679</v>
      </c>
      <c r="AP54" s="152" t="s">
        <v>2821</v>
      </c>
      <c r="AQ54" s="152" t="s">
        <v>2843</v>
      </c>
      <c r="AR54" s="152" t="s">
        <v>2</v>
      </c>
      <c r="AS54" s="152" t="s">
        <v>414</v>
      </c>
      <c r="AT54" s="152" t="s">
        <v>2832</v>
      </c>
      <c r="AU54" s="152" t="s">
        <v>2</v>
      </c>
      <c r="AV54" s="282" t="s">
        <v>1249</v>
      </c>
    </row>
    <row r="55" spans="2:48" ht="15" customHeight="1">
      <c r="B55" s="280" t="str">
        <f t="shared" si="5"/>
        <v>x</v>
      </c>
      <c r="D55" s="46">
        <v>30191</v>
      </c>
      <c r="E55" s="101">
        <v>873197</v>
      </c>
      <c r="F55" s="47">
        <v>12666</v>
      </c>
      <c r="G55" s="48" t="s">
        <v>251</v>
      </c>
      <c r="H55" s="314" t="s">
        <v>416</v>
      </c>
      <c r="I55" s="48" t="s">
        <v>10</v>
      </c>
      <c r="J55" s="48" t="s">
        <v>398</v>
      </c>
      <c r="K55" s="275">
        <v>0.375</v>
      </c>
      <c r="L55" s="275">
        <v>0.71666666666666667</v>
      </c>
      <c r="M55" s="275">
        <v>0.34166666666666662</v>
      </c>
      <c r="N55" s="275">
        <v>0.52777777777777779</v>
      </c>
      <c r="O55" s="275">
        <v>0.59722222222222221</v>
      </c>
      <c r="P55" s="275">
        <v>0.68055555555555547</v>
      </c>
      <c r="Q55" s="50">
        <v>42044</v>
      </c>
      <c r="R55" s="245" t="str">
        <f t="shared" ca="1" si="3"/>
        <v>W4+</v>
      </c>
      <c r="S55" s="50">
        <v>42068</v>
      </c>
      <c r="T55" s="245">
        <f t="shared" ca="1" si="4"/>
        <v>652</v>
      </c>
      <c r="U55" s="48" t="s">
        <v>2218</v>
      </c>
      <c r="V55" s="50">
        <v>42718</v>
      </c>
      <c r="W55" s="50">
        <v>42718</v>
      </c>
      <c r="X55" s="50" t="s">
        <v>2</v>
      </c>
      <c r="Y55" s="48" t="s">
        <v>2</v>
      </c>
      <c r="Z55" s="48" t="s">
        <v>2</v>
      </c>
      <c r="AA55" s="48" t="s">
        <v>2</v>
      </c>
      <c r="AB55" s="50" t="s">
        <v>2</v>
      </c>
      <c r="AC55" s="48" t="s">
        <v>2889</v>
      </c>
      <c r="AD55" s="48" t="s">
        <v>2</v>
      </c>
      <c r="AE55" s="277" t="s">
        <v>750</v>
      </c>
      <c r="AF55" s="48" t="s">
        <v>2</v>
      </c>
      <c r="AG55" s="48" t="s">
        <v>2</v>
      </c>
      <c r="AH55" s="216">
        <v>35378</v>
      </c>
      <c r="AI55" s="48" t="s">
        <v>2190</v>
      </c>
      <c r="AJ55" s="278" t="s">
        <v>2</v>
      </c>
      <c r="AK55" s="279" t="s">
        <v>2</v>
      </c>
      <c r="AL55" s="48" t="s">
        <v>775</v>
      </c>
      <c r="AM55" s="48" t="s">
        <v>68</v>
      </c>
      <c r="AN55" s="48" t="s">
        <v>89</v>
      </c>
      <c r="AO55" s="96">
        <v>810312</v>
      </c>
      <c r="AP55" s="152" t="s">
        <v>934</v>
      </c>
      <c r="AQ55" s="152" t="s">
        <v>583</v>
      </c>
      <c r="AR55" s="152" t="s">
        <v>2</v>
      </c>
      <c r="AS55" s="152" t="s">
        <v>414</v>
      </c>
      <c r="AT55" s="152" t="s">
        <v>2532</v>
      </c>
      <c r="AU55" s="152" t="s">
        <v>1249</v>
      </c>
      <c r="AV55" s="282" t="s">
        <v>1249</v>
      </c>
    </row>
    <row r="56" spans="2:48" ht="15" customHeight="1">
      <c r="B56" s="280" t="str">
        <f t="shared" si="5"/>
        <v/>
      </c>
      <c r="D56" s="46">
        <v>24423</v>
      </c>
      <c r="E56" s="312">
        <v>796363</v>
      </c>
      <c r="F56" s="313">
        <v>12088</v>
      </c>
      <c r="G56" s="314" t="s">
        <v>298</v>
      </c>
      <c r="H56" s="314" t="s">
        <v>418</v>
      </c>
      <c r="I56" s="314" t="s">
        <v>4</v>
      </c>
      <c r="J56" s="314" t="s">
        <v>398</v>
      </c>
      <c r="K56" s="275">
        <v>0.375</v>
      </c>
      <c r="L56" s="275">
        <v>0.63888888888888895</v>
      </c>
      <c r="M56" s="275">
        <v>0.26388888888888895</v>
      </c>
      <c r="N56" s="275">
        <v>0.43055555555555558</v>
      </c>
      <c r="O56" s="275">
        <v>0.51388888888888895</v>
      </c>
      <c r="P56" s="275">
        <v>0.58333333333333337</v>
      </c>
      <c r="Q56" s="276">
        <v>41319</v>
      </c>
      <c r="R56" s="284" t="str">
        <f t="shared" ca="1" si="3"/>
        <v>W4+</v>
      </c>
      <c r="S56" s="276">
        <v>41342</v>
      </c>
      <c r="T56" s="284">
        <f t="shared" ca="1" si="4"/>
        <v>1378</v>
      </c>
      <c r="U56" s="314" t="s">
        <v>2218</v>
      </c>
      <c r="V56" s="276">
        <v>42551</v>
      </c>
      <c r="W56" s="276">
        <v>42552</v>
      </c>
      <c r="X56" s="276" t="s">
        <v>2</v>
      </c>
      <c r="Y56" s="314" t="s">
        <v>2</v>
      </c>
      <c r="Z56" s="314" t="s">
        <v>2</v>
      </c>
      <c r="AA56" s="314" t="s">
        <v>2</v>
      </c>
      <c r="AB56" s="276" t="s">
        <v>2</v>
      </c>
      <c r="AC56" s="314" t="s">
        <v>2889</v>
      </c>
      <c r="AD56" s="314" t="s">
        <v>2</v>
      </c>
      <c r="AE56" s="277">
        <v>4939120</v>
      </c>
      <c r="AF56" s="314" t="s">
        <v>2</v>
      </c>
      <c r="AG56" s="314" t="s">
        <v>2</v>
      </c>
      <c r="AH56" s="216">
        <v>34048</v>
      </c>
      <c r="AI56" s="314" t="s">
        <v>2188</v>
      </c>
      <c r="AJ56" s="278" t="s">
        <v>2</v>
      </c>
      <c r="AK56" s="279" t="s">
        <v>2</v>
      </c>
      <c r="AL56" s="314" t="s">
        <v>775</v>
      </c>
      <c r="AM56" s="314" t="s">
        <v>68</v>
      </c>
      <c r="AN56" s="314" t="s">
        <v>89</v>
      </c>
      <c r="AO56" s="242">
        <v>810414</v>
      </c>
      <c r="AP56" s="152" t="s">
        <v>978</v>
      </c>
      <c r="AQ56" s="152" t="s">
        <v>626</v>
      </c>
      <c r="AR56" s="152" t="s">
        <v>2</v>
      </c>
      <c r="AS56" s="152" t="s">
        <v>414</v>
      </c>
      <c r="AT56" s="152" t="s">
        <v>2594</v>
      </c>
      <c r="AU56" s="152" t="s">
        <v>1249</v>
      </c>
      <c r="AV56" s="282" t="s">
        <v>1249</v>
      </c>
    </row>
    <row r="57" spans="2:48" ht="15" customHeight="1">
      <c r="B57" s="280" t="str">
        <f t="shared" si="5"/>
        <v>x</v>
      </c>
      <c r="D57" s="46">
        <v>28079</v>
      </c>
      <c r="E57" s="283">
        <v>836153</v>
      </c>
      <c r="F57" s="47">
        <v>12807</v>
      </c>
      <c r="G57" s="48" t="s">
        <v>218</v>
      </c>
      <c r="H57" s="314" t="s">
        <v>416</v>
      </c>
      <c r="I57" s="48" t="s">
        <v>4</v>
      </c>
      <c r="J57" s="48" t="s">
        <v>398</v>
      </c>
      <c r="K57" s="275">
        <v>0.39583333333333331</v>
      </c>
      <c r="L57" s="275">
        <v>0.73749999999999993</v>
      </c>
      <c r="M57" s="275">
        <v>0.34166666666666662</v>
      </c>
      <c r="N57" s="275">
        <v>0.44444444444444442</v>
      </c>
      <c r="O57" s="275">
        <v>0.54166666666666663</v>
      </c>
      <c r="P57" s="275">
        <v>0.625</v>
      </c>
      <c r="Q57" s="50">
        <v>41731</v>
      </c>
      <c r="R57" s="245" t="str">
        <f t="shared" ca="1" si="3"/>
        <v>W4+</v>
      </c>
      <c r="S57" s="50">
        <v>41761</v>
      </c>
      <c r="T57" s="245">
        <f t="shared" ca="1" si="4"/>
        <v>959</v>
      </c>
      <c r="U57" s="48" t="s">
        <v>2218</v>
      </c>
      <c r="V57" s="50">
        <v>42489</v>
      </c>
      <c r="W57" s="50">
        <v>42492</v>
      </c>
      <c r="X57" s="50">
        <v>42521</v>
      </c>
      <c r="Y57" s="48" t="s">
        <v>2</v>
      </c>
      <c r="Z57" s="48" t="s">
        <v>2</v>
      </c>
      <c r="AA57" s="48" t="s">
        <v>2</v>
      </c>
      <c r="AB57" s="50" t="s">
        <v>2</v>
      </c>
      <c r="AC57" s="48" t="s">
        <v>2889</v>
      </c>
      <c r="AD57" s="48" t="s">
        <v>2</v>
      </c>
      <c r="AE57" s="51" t="s">
        <v>2</v>
      </c>
      <c r="AF57" s="48" t="s">
        <v>2</v>
      </c>
      <c r="AG57" s="48" t="s">
        <v>2</v>
      </c>
      <c r="AH57" s="216" t="s">
        <v>2</v>
      </c>
      <c r="AI57" s="48" t="s">
        <v>2</v>
      </c>
      <c r="AJ57" s="278" t="s">
        <v>2</v>
      </c>
      <c r="AK57" s="54" t="s">
        <v>2</v>
      </c>
      <c r="AL57" s="48" t="s">
        <v>775</v>
      </c>
      <c r="AM57" s="48" t="s">
        <v>68</v>
      </c>
      <c r="AN57" s="48" t="s">
        <v>89</v>
      </c>
      <c r="AO57" s="96">
        <v>810192</v>
      </c>
      <c r="AP57" s="316" t="s">
        <v>901</v>
      </c>
      <c r="AQ57" s="152" t="s">
        <v>551</v>
      </c>
      <c r="AR57" s="152" t="s">
        <v>2</v>
      </c>
      <c r="AS57" s="152" t="s">
        <v>414</v>
      </c>
      <c r="AT57" s="152" t="s">
        <v>2524</v>
      </c>
      <c r="AU57" s="152" t="s">
        <v>2</v>
      </c>
      <c r="AV57" s="282" t="s">
        <v>1249</v>
      </c>
    </row>
    <row r="58" spans="2:48" ht="15" customHeight="1">
      <c r="B58" s="280" t="str">
        <f t="shared" si="5"/>
        <v/>
      </c>
      <c r="D58" s="46">
        <v>26951</v>
      </c>
      <c r="E58" s="283">
        <v>824001</v>
      </c>
      <c r="F58" s="47">
        <v>12416</v>
      </c>
      <c r="G58" s="48" t="s">
        <v>1454</v>
      </c>
      <c r="H58" s="314" t="s">
        <v>416</v>
      </c>
      <c r="I58" s="274" t="s">
        <v>5</v>
      </c>
      <c r="J58" s="48" t="s">
        <v>398</v>
      </c>
      <c r="K58" s="275">
        <v>0.39583333333333331</v>
      </c>
      <c r="L58" s="275">
        <v>0.73749999999999993</v>
      </c>
      <c r="M58" s="275">
        <v>0.34166666666666662</v>
      </c>
      <c r="N58" s="275">
        <v>0.44444444444444442</v>
      </c>
      <c r="O58" s="275">
        <v>0.54166666666666663</v>
      </c>
      <c r="P58" s="275">
        <v>0.63194444444444442</v>
      </c>
      <c r="Q58" s="50">
        <v>41584</v>
      </c>
      <c r="R58" s="245" t="str">
        <f t="shared" ca="1" si="3"/>
        <v>W4+</v>
      </c>
      <c r="S58" s="50">
        <v>41619</v>
      </c>
      <c r="T58" s="245">
        <f t="shared" ca="1" si="4"/>
        <v>1101</v>
      </c>
      <c r="U58" s="48" t="s">
        <v>2218</v>
      </c>
      <c r="V58" s="50">
        <v>42709</v>
      </c>
      <c r="W58" s="276">
        <v>42709</v>
      </c>
      <c r="X58" s="276">
        <v>42738</v>
      </c>
      <c r="Y58" s="48" t="s">
        <v>2</v>
      </c>
      <c r="Z58" s="48" t="s">
        <v>2</v>
      </c>
      <c r="AA58" s="48" t="s">
        <v>2</v>
      </c>
      <c r="AB58" s="50" t="s">
        <v>2</v>
      </c>
      <c r="AC58" s="48" t="s">
        <v>2889</v>
      </c>
      <c r="AD58" s="48"/>
      <c r="AE58" s="277" t="s">
        <v>2135</v>
      </c>
      <c r="AF58" s="48"/>
      <c r="AG58" s="48" t="s">
        <v>2189</v>
      </c>
      <c r="AH58" s="216" t="s">
        <v>2</v>
      </c>
      <c r="AI58" s="48" t="s">
        <v>2189</v>
      </c>
      <c r="AJ58" s="278" t="s">
        <v>89</v>
      </c>
      <c r="AK58" s="279">
        <v>810177</v>
      </c>
      <c r="AL58" s="48" t="s">
        <v>775</v>
      </c>
      <c r="AM58" s="48" t="s">
        <v>68</v>
      </c>
      <c r="AN58" s="48" t="s">
        <v>89</v>
      </c>
      <c r="AO58" s="96">
        <v>810394</v>
      </c>
      <c r="AP58" s="316" t="s">
        <v>1804</v>
      </c>
      <c r="AQ58" s="152" t="s">
        <v>1632</v>
      </c>
      <c r="AR58" s="152" t="s">
        <v>2</v>
      </c>
      <c r="AS58" s="152" t="s">
        <v>414</v>
      </c>
      <c r="AT58" s="152" t="s">
        <v>1974</v>
      </c>
      <c r="AU58" s="152" t="s">
        <v>1249</v>
      </c>
      <c r="AV58" s="282" t="s">
        <v>1249</v>
      </c>
    </row>
    <row r="59" spans="2:48" ht="15" customHeight="1">
      <c r="B59" s="280" t="str">
        <f t="shared" si="5"/>
        <v>x</v>
      </c>
      <c r="D59" s="46">
        <v>31508</v>
      </c>
      <c r="E59" s="312">
        <v>915108</v>
      </c>
      <c r="F59" s="273">
        <v>17016</v>
      </c>
      <c r="G59" s="274" t="s">
        <v>2687</v>
      </c>
      <c r="H59" s="314" t="s">
        <v>416</v>
      </c>
      <c r="I59" s="314" t="s">
        <v>4</v>
      </c>
      <c r="J59" s="274" t="s">
        <v>398</v>
      </c>
      <c r="K59" s="275">
        <v>0.39583333333333331</v>
      </c>
      <c r="L59" s="275">
        <v>0.73749999999999993</v>
      </c>
      <c r="M59" s="275">
        <v>0.34166666666666662</v>
      </c>
      <c r="N59" s="275">
        <v>0.4375</v>
      </c>
      <c r="O59" s="275">
        <v>0.55555555555555558</v>
      </c>
      <c r="P59" s="275">
        <v>0.66666666666666663</v>
      </c>
      <c r="Q59" s="276">
        <v>42404</v>
      </c>
      <c r="R59" s="284" t="str">
        <f t="shared" ca="1" si="3"/>
        <v>W4+</v>
      </c>
      <c r="S59" s="276">
        <v>42429</v>
      </c>
      <c r="T59" s="284">
        <f t="shared" ca="1" si="4"/>
        <v>291</v>
      </c>
      <c r="U59" s="274" t="s">
        <v>2218</v>
      </c>
      <c r="V59" s="276">
        <v>42506</v>
      </c>
      <c r="W59" s="276">
        <v>42506</v>
      </c>
      <c r="X59" s="276">
        <v>42535</v>
      </c>
      <c r="Y59" s="274" t="s">
        <v>2</v>
      </c>
      <c r="Z59" s="274" t="s">
        <v>2</v>
      </c>
      <c r="AA59" s="274" t="s">
        <v>2</v>
      </c>
      <c r="AB59" s="276" t="s">
        <v>2</v>
      </c>
      <c r="AC59" s="274" t="s">
        <v>2889</v>
      </c>
      <c r="AD59" s="274"/>
      <c r="AE59" s="277" t="s">
        <v>2</v>
      </c>
      <c r="AF59" s="274" t="s">
        <v>2</v>
      </c>
      <c r="AG59" s="274" t="s">
        <v>2</v>
      </c>
      <c r="AH59" s="216" t="s">
        <v>2</v>
      </c>
      <c r="AI59" s="274" t="s">
        <v>2</v>
      </c>
      <c r="AJ59" s="278" t="s">
        <v>2</v>
      </c>
      <c r="AK59" s="279" t="s">
        <v>2</v>
      </c>
      <c r="AL59" s="274" t="s">
        <v>775</v>
      </c>
      <c r="AM59" s="274" t="s">
        <v>68</v>
      </c>
      <c r="AN59" s="274" t="s">
        <v>89</v>
      </c>
      <c r="AO59" s="96">
        <v>410392</v>
      </c>
      <c r="AP59" s="316" t="s">
        <v>2707</v>
      </c>
      <c r="AQ59" s="316" t="s">
        <v>2727</v>
      </c>
      <c r="AR59" s="316" t="s">
        <v>2</v>
      </c>
      <c r="AS59" s="316" t="s">
        <v>414</v>
      </c>
      <c r="AT59" s="316" t="s">
        <v>2728</v>
      </c>
      <c r="AU59" s="316" t="s">
        <v>2</v>
      </c>
      <c r="AV59" s="282" t="s">
        <v>1249</v>
      </c>
    </row>
    <row r="60" spans="2:48" ht="15" customHeight="1">
      <c r="B60" s="280" t="str">
        <f t="shared" si="5"/>
        <v/>
      </c>
      <c r="D60" s="46">
        <v>20229</v>
      </c>
      <c r="E60" s="283">
        <v>758405</v>
      </c>
      <c r="F60" s="47">
        <v>12404</v>
      </c>
      <c r="G60" s="48" t="s">
        <v>217</v>
      </c>
      <c r="H60" s="314" t="s">
        <v>416</v>
      </c>
      <c r="I60" s="274" t="s">
        <v>6</v>
      </c>
      <c r="J60" s="48" t="s">
        <v>398</v>
      </c>
      <c r="K60" s="275">
        <v>0.39583333333333331</v>
      </c>
      <c r="L60" s="275">
        <v>0.73749999999999993</v>
      </c>
      <c r="M60" s="275">
        <v>0.34166666666666662</v>
      </c>
      <c r="N60" s="275" t="s">
        <v>2</v>
      </c>
      <c r="O60" s="275" t="s">
        <v>2</v>
      </c>
      <c r="P60" s="275" t="s">
        <v>2</v>
      </c>
      <c r="Q60" s="50">
        <v>40919</v>
      </c>
      <c r="R60" s="245" t="str">
        <f t="shared" ca="1" si="3"/>
        <v>W4+</v>
      </c>
      <c r="S60" s="50">
        <v>40942</v>
      </c>
      <c r="T60" s="245">
        <f t="shared" ca="1" si="4"/>
        <v>1778</v>
      </c>
      <c r="U60" s="48" t="s">
        <v>2218</v>
      </c>
      <c r="V60" s="50">
        <v>41087</v>
      </c>
      <c r="W60" s="50" t="s">
        <v>2</v>
      </c>
      <c r="X60" s="276" t="s">
        <v>2</v>
      </c>
      <c r="Y60" s="274" t="s">
        <v>2</v>
      </c>
      <c r="Z60" s="48" t="s">
        <v>2</v>
      </c>
      <c r="AA60" s="48" t="s">
        <v>2</v>
      </c>
      <c r="AB60" s="50" t="s">
        <v>2</v>
      </c>
      <c r="AC60" s="48" t="s">
        <v>2889</v>
      </c>
      <c r="AD60" s="48" t="s">
        <v>2</v>
      </c>
      <c r="AE60" s="51">
        <v>8330260</v>
      </c>
      <c r="AF60" s="48" t="s">
        <v>2</v>
      </c>
      <c r="AG60" s="48" t="s">
        <v>2</v>
      </c>
      <c r="AH60" s="216">
        <v>24007</v>
      </c>
      <c r="AI60" s="48" t="s">
        <v>2194</v>
      </c>
      <c r="AJ60" s="53" t="s">
        <v>2</v>
      </c>
      <c r="AK60" s="54" t="s">
        <v>2</v>
      </c>
      <c r="AL60" s="48" t="s">
        <v>775</v>
      </c>
      <c r="AM60" s="48" t="s">
        <v>68</v>
      </c>
      <c r="AN60" s="48" t="s">
        <v>89</v>
      </c>
      <c r="AO60" s="96">
        <v>810135</v>
      </c>
      <c r="AP60" s="152" t="s">
        <v>900</v>
      </c>
      <c r="AQ60" s="152" t="s">
        <v>550</v>
      </c>
      <c r="AR60" s="152" t="s">
        <v>2</v>
      </c>
      <c r="AS60" s="152" t="s">
        <v>414</v>
      </c>
      <c r="AT60" s="152" t="s">
        <v>2530</v>
      </c>
      <c r="AU60" s="152" t="s">
        <v>2</v>
      </c>
      <c r="AV60" s="282" t="s">
        <v>1249</v>
      </c>
    </row>
    <row r="61" spans="2:48" ht="15" customHeight="1">
      <c r="B61" s="280" t="str">
        <f t="shared" si="5"/>
        <v>x</v>
      </c>
      <c r="D61" s="46">
        <v>15509</v>
      </c>
      <c r="E61" s="312">
        <v>720640</v>
      </c>
      <c r="F61" s="47">
        <v>12819</v>
      </c>
      <c r="G61" s="48" t="s">
        <v>196</v>
      </c>
      <c r="H61" s="314" t="s">
        <v>417</v>
      </c>
      <c r="I61" s="48" t="s">
        <v>6</v>
      </c>
      <c r="J61" s="48" t="s">
        <v>398</v>
      </c>
      <c r="K61" s="275">
        <v>0.39583333333333331</v>
      </c>
      <c r="L61" s="275">
        <v>0.73749999999999993</v>
      </c>
      <c r="M61" s="275">
        <v>0.34166666666666662</v>
      </c>
      <c r="N61" s="275" t="s">
        <v>2</v>
      </c>
      <c r="O61" s="275" t="s">
        <v>2</v>
      </c>
      <c r="P61" s="275" t="s">
        <v>2</v>
      </c>
      <c r="Q61" s="50">
        <v>40603</v>
      </c>
      <c r="R61" s="245" t="str">
        <f t="shared" ca="1" si="3"/>
        <v>W4+</v>
      </c>
      <c r="S61" s="50">
        <v>40626</v>
      </c>
      <c r="T61" s="245">
        <f t="shared" ca="1" si="4"/>
        <v>2094</v>
      </c>
      <c r="U61" s="48" t="s">
        <v>2220</v>
      </c>
      <c r="V61" s="50">
        <v>42464</v>
      </c>
      <c r="W61" s="50">
        <v>42465</v>
      </c>
      <c r="X61" s="276" t="s">
        <v>2</v>
      </c>
      <c r="Y61" s="48" t="s">
        <v>2</v>
      </c>
      <c r="Z61" s="239" t="s">
        <v>2</v>
      </c>
      <c r="AA61" s="239" t="s">
        <v>2</v>
      </c>
      <c r="AB61" s="50" t="s">
        <v>2</v>
      </c>
      <c r="AC61" s="48" t="s">
        <v>2889</v>
      </c>
      <c r="AD61" s="48" t="s">
        <v>2</v>
      </c>
      <c r="AE61" s="277">
        <v>9360370</v>
      </c>
      <c r="AF61" s="48" t="s">
        <v>2</v>
      </c>
      <c r="AG61" s="48" t="s">
        <v>2</v>
      </c>
      <c r="AH61" s="216">
        <v>28724</v>
      </c>
      <c r="AI61" s="48" t="s">
        <v>2190</v>
      </c>
      <c r="AJ61" s="278" t="s">
        <v>2</v>
      </c>
      <c r="AK61" s="279" t="s">
        <v>2</v>
      </c>
      <c r="AL61" s="48" t="s">
        <v>775</v>
      </c>
      <c r="AM61" s="48" t="s">
        <v>68</v>
      </c>
      <c r="AN61" s="48" t="s">
        <v>89</v>
      </c>
      <c r="AO61" s="96">
        <v>810128</v>
      </c>
      <c r="AP61" s="316" t="s">
        <v>880</v>
      </c>
      <c r="AQ61" s="316" t="s">
        <v>529</v>
      </c>
      <c r="AR61" s="316" t="s">
        <v>2</v>
      </c>
      <c r="AS61" s="316" t="s">
        <v>414</v>
      </c>
      <c r="AT61" s="316" t="s">
        <v>2519</v>
      </c>
      <c r="AU61" s="316" t="s">
        <v>2</v>
      </c>
      <c r="AV61" s="282" t="s">
        <v>1249</v>
      </c>
    </row>
    <row r="62" spans="2:48" ht="15" customHeight="1">
      <c r="B62" s="280" t="str">
        <f t="shared" si="5"/>
        <v/>
      </c>
      <c r="D62" s="46">
        <v>28067</v>
      </c>
      <c r="E62" s="283">
        <v>836142</v>
      </c>
      <c r="F62" s="47">
        <v>17125</v>
      </c>
      <c r="G62" s="48" t="s">
        <v>200</v>
      </c>
      <c r="H62" s="314" t="s">
        <v>417</v>
      </c>
      <c r="I62" s="48" t="s">
        <v>4</v>
      </c>
      <c r="J62" s="48" t="s">
        <v>398</v>
      </c>
      <c r="K62" s="275">
        <v>0.41666666666666669</v>
      </c>
      <c r="L62" s="275">
        <v>0.7583333333333333</v>
      </c>
      <c r="M62" s="275">
        <v>0.34166666666666662</v>
      </c>
      <c r="N62" s="275">
        <v>0.4861111111111111</v>
      </c>
      <c r="O62" s="275">
        <v>0.5625</v>
      </c>
      <c r="P62" s="275">
        <v>0.6875</v>
      </c>
      <c r="Q62" s="50">
        <v>41731</v>
      </c>
      <c r="R62" s="245" t="str">
        <f t="shared" ca="1" si="3"/>
        <v>W4+</v>
      </c>
      <c r="S62" s="50">
        <v>41761</v>
      </c>
      <c r="T62" s="245">
        <f t="shared" ca="1" si="4"/>
        <v>959</v>
      </c>
      <c r="U62" s="48" t="s">
        <v>2218</v>
      </c>
      <c r="V62" s="50" t="s">
        <v>2</v>
      </c>
      <c r="W62" s="50" t="s">
        <v>2</v>
      </c>
      <c r="X62" s="50" t="s">
        <v>2</v>
      </c>
      <c r="Y62" s="48" t="s">
        <v>2</v>
      </c>
      <c r="Z62" s="48" t="s">
        <v>2</v>
      </c>
      <c r="AA62" s="48" t="s">
        <v>2</v>
      </c>
      <c r="AB62" s="50" t="s">
        <v>2</v>
      </c>
      <c r="AC62" s="48" t="s">
        <v>2889</v>
      </c>
      <c r="AD62" s="48" t="s">
        <v>2</v>
      </c>
      <c r="AE62" s="51" t="s">
        <v>2</v>
      </c>
      <c r="AF62" s="48" t="s">
        <v>2</v>
      </c>
      <c r="AG62" s="48" t="s">
        <v>2</v>
      </c>
      <c r="AH62" s="216" t="s">
        <v>2</v>
      </c>
      <c r="AI62" s="48" t="s">
        <v>2</v>
      </c>
      <c r="AJ62" s="278" t="s">
        <v>2</v>
      </c>
      <c r="AK62" s="279" t="s">
        <v>2</v>
      </c>
      <c r="AL62" s="48" t="s">
        <v>775</v>
      </c>
      <c r="AM62" s="48" t="s">
        <v>68</v>
      </c>
      <c r="AN62" s="48" t="s">
        <v>89</v>
      </c>
      <c r="AO62" s="96">
        <v>810148</v>
      </c>
      <c r="AP62" s="316" t="s">
        <v>884</v>
      </c>
      <c r="AQ62" s="316" t="s">
        <v>533</v>
      </c>
      <c r="AR62" s="316" t="s">
        <v>2</v>
      </c>
      <c r="AS62" s="316" t="s">
        <v>414</v>
      </c>
      <c r="AT62" s="316" t="s">
        <v>2536</v>
      </c>
      <c r="AU62" s="316" t="s">
        <v>2</v>
      </c>
      <c r="AV62" s="282" t="s">
        <v>1249</v>
      </c>
    </row>
    <row r="63" spans="2:48" ht="15" customHeight="1">
      <c r="B63" s="280" t="str">
        <f t="shared" si="5"/>
        <v>x</v>
      </c>
      <c r="D63" s="272">
        <v>31066</v>
      </c>
      <c r="E63" s="312">
        <v>893781</v>
      </c>
      <c r="F63" s="313">
        <v>12718</v>
      </c>
      <c r="G63" s="314" t="s">
        <v>2264</v>
      </c>
      <c r="H63" s="314" t="s">
        <v>418</v>
      </c>
      <c r="I63" s="314" t="s">
        <v>4</v>
      </c>
      <c r="J63" s="314" t="s">
        <v>398</v>
      </c>
      <c r="K63" s="275">
        <v>0.41666666666666669</v>
      </c>
      <c r="L63" s="275">
        <v>0.7583333333333333</v>
      </c>
      <c r="M63" s="275">
        <v>0.34166666666666662</v>
      </c>
      <c r="N63" s="275">
        <v>0.4861111111111111</v>
      </c>
      <c r="O63" s="275">
        <v>0.5625</v>
      </c>
      <c r="P63" s="275">
        <v>0.66666666666666663</v>
      </c>
      <c r="Q63" s="276">
        <v>42227</v>
      </c>
      <c r="R63" s="284" t="str">
        <f t="shared" ca="1" si="3"/>
        <v>W4+</v>
      </c>
      <c r="S63" s="276">
        <v>42254</v>
      </c>
      <c r="T63" s="284">
        <f t="shared" ca="1" si="4"/>
        <v>466</v>
      </c>
      <c r="U63" s="314" t="s">
        <v>2218</v>
      </c>
      <c r="V63" s="276">
        <v>42719</v>
      </c>
      <c r="W63" s="276">
        <v>42719</v>
      </c>
      <c r="X63" s="276" t="s">
        <v>2</v>
      </c>
      <c r="Y63" s="314" t="s">
        <v>2</v>
      </c>
      <c r="Z63" s="314" t="s">
        <v>2</v>
      </c>
      <c r="AA63" s="314" t="s">
        <v>2</v>
      </c>
      <c r="AB63" s="276" t="s">
        <v>2</v>
      </c>
      <c r="AC63" s="314" t="s">
        <v>2889</v>
      </c>
      <c r="AD63" s="314"/>
      <c r="AE63" s="277" t="s">
        <v>2</v>
      </c>
      <c r="AF63" s="314"/>
      <c r="AG63" s="314"/>
      <c r="AH63" s="216">
        <v>34434</v>
      </c>
      <c r="AI63" s="314" t="s">
        <v>2</v>
      </c>
      <c r="AJ63" s="278"/>
      <c r="AK63" s="279"/>
      <c r="AL63" s="314" t="s">
        <v>775</v>
      </c>
      <c r="AM63" s="314" t="s">
        <v>68</v>
      </c>
      <c r="AN63" s="314" t="s">
        <v>89</v>
      </c>
      <c r="AO63" s="281">
        <v>23472</v>
      </c>
      <c r="AP63" s="316" t="s">
        <v>2285</v>
      </c>
      <c r="AQ63" s="316" t="s">
        <v>2298</v>
      </c>
      <c r="AR63" s="316" t="s">
        <v>2</v>
      </c>
      <c r="AS63" s="316" t="s">
        <v>414</v>
      </c>
      <c r="AT63" s="316" t="s">
        <v>2553</v>
      </c>
      <c r="AU63" s="316" t="s">
        <v>1249</v>
      </c>
      <c r="AV63" s="282" t="s">
        <v>1249</v>
      </c>
    </row>
    <row r="64" spans="2:48" ht="15" customHeight="1">
      <c r="B64" s="280" t="str">
        <f t="shared" si="5"/>
        <v/>
      </c>
      <c r="D64" s="46">
        <v>30459</v>
      </c>
      <c r="E64" s="283">
        <v>876672</v>
      </c>
      <c r="F64" s="47">
        <v>12753</v>
      </c>
      <c r="G64" s="48" t="s">
        <v>245</v>
      </c>
      <c r="H64" s="314" t="s">
        <v>420</v>
      </c>
      <c r="I64" s="48" t="s">
        <v>4</v>
      </c>
      <c r="J64" s="48" t="s">
        <v>398</v>
      </c>
      <c r="K64" s="275">
        <v>0.41666666666666669</v>
      </c>
      <c r="L64" s="275">
        <v>0.7583333333333333</v>
      </c>
      <c r="M64" s="275">
        <v>0.34166666666666662</v>
      </c>
      <c r="N64" s="275">
        <v>0.52777777777777779</v>
      </c>
      <c r="O64" s="275">
        <v>0.59722222222222221</v>
      </c>
      <c r="P64" s="275">
        <v>0.68055555555555547</v>
      </c>
      <c r="Q64" s="50">
        <v>42079</v>
      </c>
      <c r="R64" s="245" t="str">
        <f t="shared" ca="1" si="3"/>
        <v>W4+</v>
      </c>
      <c r="S64" s="50">
        <v>42100</v>
      </c>
      <c r="T64" s="245">
        <f t="shared" ca="1" si="4"/>
        <v>620</v>
      </c>
      <c r="U64" s="48" t="s">
        <v>2218</v>
      </c>
      <c r="V64" s="50">
        <v>42657</v>
      </c>
      <c r="W64" s="276">
        <v>42661</v>
      </c>
      <c r="X64" s="276" t="s">
        <v>2</v>
      </c>
      <c r="Y64" s="48" t="s">
        <v>2</v>
      </c>
      <c r="Z64" s="274" t="s">
        <v>2</v>
      </c>
      <c r="AA64" s="48" t="s">
        <v>2</v>
      </c>
      <c r="AB64" s="50" t="s">
        <v>2</v>
      </c>
      <c r="AC64" s="274" t="s">
        <v>2889</v>
      </c>
      <c r="AD64" s="274" t="s">
        <v>2</v>
      </c>
      <c r="AE64" s="51" t="s">
        <v>744</v>
      </c>
      <c r="AF64" s="274" t="s">
        <v>2</v>
      </c>
      <c r="AG64" s="274" t="s">
        <v>2</v>
      </c>
      <c r="AH64" s="216">
        <v>31325</v>
      </c>
      <c r="AI64" s="274" t="s">
        <v>2190</v>
      </c>
      <c r="AJ64" s="314" t="s">
        <v>2</v>
      </c>
      <c r="AK64" s="314" t="s">
        <v>2</v>
      </c>
      <c r="AL64" s="48" t="s">
        <v>775</v>
      </c>
      <c r="AM64" s="48" t="s">
        <v>68</v>
      </c>
      <c r="AN64" s="48" t="s">
        <v>89</v>
      </c>
      <c r="AO64" s="96">
        <v>810415</v>
      </c>
      <c r="AP64" s="316" t="s">
        <v>928</v>
      </c>
      <c r="AQ64" s="152" t="s">
        <v>577</v>
      </c>
      <c r="AR64" s="152" t="s">
        <v>2</v>
      </c>
      <c r="AS64" s="152" t="s">
        <v>414</v>
      </c>
      <c r="AT64" s="152" t="s">
        <v>1180</v>
      </c>
      <c r="AU64" s="152" t="s">
        <v>1249</v>
      </c>
      <c r="AV64" s="282" t="s">
        <v>1249</v>
      </c>
    </row>
    <row r="65" spans="2:48" ht="15" customHeight="1">
      <c r="B65" s="280" t="str">
        <f t="shared" si="5"/>
        <v>x</v>
      </c>
      <c r="D65" s="272">
        <v>30473</v>
      </c>
      <c r="E65" s="283">
        <v>876686</v>
      </c>
      <c r="F65" s="47">
        <v>17030</v>
      </c>
      <c r="G65" s="48" t="s">
        <v>247</v>
      </c>
      <c r="H65" s="314" t="s">
        <v>420</v>
      </c>
      <c r="I65" s="48" t="s">
        <v>4</v>
      </c>
      <c r="J65" s="48" t="s">
        <v>398</v>
      </c>
      <c r="K65" s="275">
        <v>0.41666666666666669</v>
      </c>
      <c r="L65" s="275">
        <v>0.7583333333333333</v>
      </c>
      <c r="M65" s="275">
        <v>0.34166666666666662</v>
      </c>
      <c r="N65" s="275">
        <v>0.4861111111111111</v>
      </c>
      <c r="O65" s="275">
        <v>0.5625</v>
      </c>
      <c r="P65" s="275">
        <v>0.66666666666666663</v>
      </c>
      <c r="Q65" s="50">
        <v>42079</v>
      </c>
      <c r="R65" s="245" t="str">
        <f t="shared" ca="1" si="3"/>
        <v>W4+</v>
      </c>
      <c r="S65" s="50">
        <v>42100</v>
      </c>
      <c r="T65" s="245">
        <f t="shared" ca="1" si="4"/>
        <v>620</v>
      </c>
      <c r="U65" s="48" t="s">
        <v>2218</v>
      </c>
      <c r="V65" s="50">
        <v>42688</v>
      </c>
      <c r="W65" s="276">
        <v>42688</v>
      </c>
      <c r="X65" s="50" t="s">
        <v>2</v>
      </c>
      <c r="Y65" s="48" t="s">
        <v>2</v>
      </c>
      <c r="Z65" s="48" t="s">
        <v>2</v>
      </c>
      <c r="AA65" s="48" t="s">
        <v>2</v>
      </c>
      <c r="AB65" s="50" t="s">
        <v>2</v>
      </c>
      <c r="AC65" s="48" t="s">
        <v>2889</v>
      </c>
      <c r="AD65" s="48" t="s">
        <v>2</v>
      </c>
      <c r="AE65" s="314" t="s">
        <v>746</v>
      </c>
      <c r="AF65" s="48" t="s">
        <v>2</v>
      </c>
      <c r="AG65" s="48" t="s">
        <v>2</v>
      </c>
      <c r="AH65" s="216">
        <v>34723</v>
      </c>
      <c r="AI65" s="48" t="s">
        <v>2192</v>
      </c>
      <c r="AJ65" s="314" t="s">
        <v>2</v>
      </c>
      <c r="AK65" s="314" t="s">
        <v>2</v>
      </c>
      <c r="AL65" s="48" t="s">
        <v>775</v>
      </c>
      <c r="AM65" s="48" t="s">
        <v>68</v>
      </c>
      <c r="AN65" s="48" t="s">
        <v>89</v>
      </c>
      <c r="AO65" s="281">
        <v>810302</v>
      </c>
      <c r="AP65" s="314" t="s">
        <v>930</v>
      </c>
      <c r="AQ65" s="314" t="s">
        <v>579</v>
      </c>
      <c r="AR65" s="314" t="s">
        <v>2</v>
      </c>
      <c r="AS65" s="314" t="s">
        <v>414</v>
      </c>
      <c r="AT65" s="314" t="s">
        <v>2542</v>
      </c>
      <c r="AU65" s="314" t="s">
        <v>2</v>
      </c>
      <c r="AV65" s="97" t="s">
        <v>1249</v>
      </c>
    </row>
    <row r="66" spans="2:48" ht="15" customHeight="1">
      <c r="B66" s="280" t="str">
        <f t="shared" si="5"/>
        <v/>
      </c>
      <c r="D66" s="272">
        <v>28109</v>
      </c>
      <c r="E66" s="312">
        <v>836312</v>
      </c>
      <c r="F66" s="313">
        <v>12340</v>
      </c>
      <c r="G66" s="314" t="s">
        <v>226</v>
      </c>
      <c r="H66" s="314" t="s">
        <v>420</v>
      </c>
      <c r="I66" s="314" t="s">
        <v>4</v>
      </c>
      <c r="J66" s="314" t="s">
        <v>398</v>
      </c>
      <c r="K66" s="275">
        <v>0.41666666666666669</v>
      </c>
      <c r="L66" s="275">
        <v>0.68055555555555547</v>
      </c>
      <c r="M66" s="275">
        <v>0.26388888888888878</v>
      </c>
      <c r="N66" s="275">
        <v>0.47222222222222227</v>
      </c>
      <c r="O66" s="275">
        <v>0.56944444444444442</v>
      </c>
      <c r="P66" s="275">
        <v>0.625</v>
      </c>
      <c r="Q66" s="276">
        <v>41731</v>
      </c>
      <c r="R66" s="284" t="str">
        <f t="shared" ca="1" si="3"/>
        <v>W4+</v>
      </c>
      <c r="S66" s="276">
        <v>41760</v>
      </c>
      <c r="T66" s="284">
        <f t="shared" ca="1" si="4"/>
        <v>960</v>
      </c>
      <c r="U66" s="314" t="s">
        <v>2218</v>
      </c>
      <c r="V66" s="276">
        <v>42522</v>
      </c>
      <c r="W66" s="276">
        <v>42522</v>
      </c>
      <c r="X66" s="276" t="s">
        <v>2</v>
      </c>
      <c r="Y66" s="314" t="s">
        <v>2</v>
      </c>
      <c r="Z66" s="314" t="s">
        <v>2</v>
      </c>
      <c r="AA66" s="314" t="s">
        <v>2</v>
      </c>
      <c r="AB66" s="276" t="s">
        <v>2</v>
      </c>
      <c r="AC66" s="314" t="s">
        <v>2889</v>
      </c>
      <c r="AD66" s="314" t="s">
        <v>2</v>
      </c>
      <c r="AE66" s="277" t="s">
        <v>2</v>
      </c>
      <c r="AF66" s="314" t="s">
        <v>2</v>
      </c>
      <c r="AG66" s="314" t="s">
        <v>2</v>
      </c>
      <c r="AH66" s="216" t="s">
        <v>2</v>
      </c>
      <c r="AI66" s="314" t="s">
        <v>2</v>
      </c>
      <c r="AJ66" s="278" t="s">
        <v>2</v>
      </c>
      <c r="AK66" s="279" t="s">
        <v>2</v>
      </c>
      <c r="AL66" s="314" t="s">
        <v>775</v>
      </c>
      <c r="AM66" s="314" t="s">
        <v>68</v>
      </c>
      <c r="AN66" s="314" t="s">
        <v>89</v>
      </c>
      <c r="AO66" s="96">
        <v>810176</v>
      </c>
      <c r="AP66" s="152" t="s">
        <v>909</v>
      </c>
      <c r="AQ66" s="152" t="s">
        <v>558</v>
      </c>
      <c r="AR66" s="152" t="s">
        <v>2</v>
      </c>
      <c r="AS66" s="152" t="s">
        <v>414</v>
      </c>
      <c r="AT66" s="152" t="s">
        <v>2552</v>
      </c>
      <c r="AU66" s="152" t="s">
        <v>2</v>
      </c>
      <c r="AV66" s="282" t="s">
        <v>1249</v>
      </c>
    </row>
    <row r="67" spans="2:48" ht="15" customHeight="1">
      <c r="B67" s="280" t="str">
        <f t="shared" si="5"/>
        <v>x</v>
      </c>
      <c r="D67" s="46">
        <v>31435</v>
      </c>
      <c r="E67" s="312">
        <v>911885</v>
      </c>
      <c r="F67" s="313">
        <v>17101</v>
      </c>
      <c r="G67" s="314" t="s">
        <v>2641</v>
      </c>
      <c r="H67" s="314" t="s">
        <v>420</v>
      </c>
      <c r="I67" s="314" t="s">
        <v>4</v>
      </c>
      <c r="J67" s="314" t="s">
        <v>398</v>
      </c>
      <c r="K67" s="275">
        <v>0.41666666666666669</v>
      </c>
      <c r="L67" s="275">
        <v>0.68055555555555547</v>
      </c>
      <c r="M67" s="275">
        <v>0.26388888888888878</v>
      </c>
      <c r="N67" s="275">
        <v>0.45833333333333331</v>
      </c>
      <c r="O67" s="275">
        <v>0.54861111111111105</v>
      </c>
      <c r="P67" s="275">
        <v>0.625</v>
      </c>
      <c r="Q67" s="276">
        <v>42373</v>
      </c>
      <c r="R67" s="284" t="str">
        <f t="shared" ca="1" si="3"/>
        <v>W4+</v>
      </c>
      <c r="S67" s="276">
        <v>42401</v>
      </c>
      <c r="T67" s="284">
        <f t="shared" ca="1" si="4"/>
        <v>319</v>
      </c>
      <c r="U67" s="314" t="s">
        <v>2218</v>
      </c>
      <c r="V67" s="276" t="s">
        <v>2</v>
      </c>
      <c r="W67" s="227" t="s">
        <v>2</v>
      </c>
      <c r="X67" s="276" t="s">
        <v>2</v>
      </c>
      <c r="Y67" s="314" t="s">
        <v>2</v>
      </c>
      <c r="Z67" s="314" t="s">
        <v>2</v>
      </c>
      <c r="AA67" s="314" t="s">
        <v>2</v>
      </c>
      <c r="AB67" s="276" t="s">
        <v>2</v>
      </c>
      <c r="AC67" s="314" t="s">
        <v>2889</v>
      </c>
      <c r="AD67" s="314"/>
      <c r="AE67" s="277" t="s">
        <v>2</v>
      </c>
      <c r="AF67" s="314" t="s">
        <v>2</v>
      </c>
      <c r="AG67" s="314" t="s">
        <v>2</v>
      </c>
      <c r="AH67" s="216">
        <v>32235</v>
      </c>
      <c r="AI67" s="314" t="s">
        <v>2</v>
      </c>
      <c r="AJ67" s="278"/>
      <c r="AK67" s="279"/>
      <c r="AL67" s="314" t="s">
        <v>775</v>
      </c>
      <c r="AM67" s="314" t="s">
        <v>68</v>
      </c>
      <c r="AN67" s="314" t="s">
        <v>89</v>
      </c>
      <c r="AO67" s="96">
        <v>810405</v>
      </c>
      <c r="AP67" s="316" t="s">
        <v>2650</v>
      </c>
      <c r="AQ67" s="152" t="s">
        <v>2657</v>
      </c>
      <c r="AR67" s="152" t="s">
        <v>2</v>
      </c>
      <c r="AS67" s="152" t="s">
        <v>414</v>
      </c>
      <c r="AT67" s="152" t="s">
        <v>2665</v>
      </c>
      <c r="AU67" s="152" t="s">
        <v>2</v>
      </c>
      <c r="AV67" s="282" t="s">
        <v>1249</v>
      </c>
    </row>
    <row r="68" spans="2:48" ht="15" customHeight="1">
      <c r="B68" s="280" t="str">
        <f t="shared" si="5"/>
        <v/>
      </c>
      <c r="D68" s="46">
        <v>29867</v>
      </c>
      <c r="E68" s="101">
        <v>868183</v>
      </c>
      <c r="F68" s="47">
        <v>12798</v>
      </c>
      <c r="G68" s="48" t="s">
        <v>241</v>
      </c>
      <c r="H68" s="314" t="s">
        <v>420</v>
      </c>
      <c r="I68" s="48" t="s">
        <v>4</v>
      </c>
      <c r="J68" s="48" t="s">
        <v>398</v>
      </c>
      <c r="K68" s="275">
        <v>0.4916666666666667</v>
      </c>
      <c r="L68" s="275">
        <v>0.83333333333333337</v>
      </c>
      <c r="M68" s="275">
        <v>0.34166666666666667</v>
      </c>
      <c r="N68" s="275">
        <v>0.53472222222222221</v>
      </c>
      <c r="O68" s="275">
        <v>0.59722222222222221</v>
      </c>
      <c r="P68" s="275">
        <v>0.75694444444444453</v>
      </c>
      <c r="Q68" s="50">
        <v>41983</v>
      </c>
      <c r="R68" s="245" t="str">
        <f t="shared" ca="1" si="3"/>
        <v>W4+</v>
      </c>
      <c r="S68" s="50">
        <v>42009</v>
      </c>
      <c r="T68" s="245">
        <f t="shared" ca="1" si="4"/>
        <v>711</v>
      </c>
      <c r="U68" s="48" t="s">
        <v>2218</v>
      </c>
      <c r="V68" s="276">
        <v>42506</v>
      </c>
      <c r="W68" s="276">
        <v>42506</v>
      </c>
      <c r="X68" s="276">
        <v>42535</v>
      </c>
      <c r="Y68" s="48" t="s">
        <v>2</v>
      </c>
      <c r="Z68" s="48" t="s">
        <v>2</v>
      </c>
      <c r="AA68" s="48" t="s">
        <v>2</v>
      </c>
      <c r="AB68" s="276" t="s">
        <v>2</v>
      </c>
      <c r="AC68" s="48" t="s">
        <v>2889</v>
      </c>
      <c r="AD68" s="48" t="s">
        <v>2</v>
      </c>
      <c r="AE68" s="277" t="s">
        <v>741</v>
      </c>
      <c r="AF68" s="48" t="s">
        <v>2</v>
      </c>
      <c r="AG68" s="48" t="s">
        <v>2</v>
      </c>
      <c r="AH68" s="216">
        <v>35361</v>
      </c>
      <c r="AI68" s="48" t="s">
        <v>2193</v>
      </c>
      <c r="AJ68" s="278" t="s">
        <v>2</v>
      </c>
      <c r="AK68" s="279" t="s">
        <v>2</v>
      </c>
      <c r="AL68" s="48" t="s">
        <v>775</v>
      </c>
      <c r="AM68" s="48" t="s">
        <v>68</v>
      </c>
      <c r="AN68" s="48" t="s">
        <v>89</v>
      </c>
      <c r="AO68" s="96">
        <v>810308</v>
      </c>
      <c r="AP68" s="316" t="s">
        <v>924</v>
      </c>
      <c r="AQ68" s="316" t="s">
        <v>573</v>
      </c>
      <c r="AR68" s="316" t="s">
        <v>2</v>
      </c>
      <c r="AS68" s="316" t="s">
        <v>414</v>
      </c>
      <c r="AT68" s="316" t="s">
        <v>2550</v>
      </c>
      <c r="AU68" s="316" t="s">
        <v>1249</v>
      </c>
      <c r="AV68" s="282" t="s">
        <v>1249</v>
      </c>
    </row>
    <row r="69" spans="2:48" ht="15" customHeight="1">
      <c r="B69" s="280" t="str">
        <f t="shared" si="5"/>
        <v>x</v>
      </c>
      <c r="D69" s="272">
        <v>29195</v>
      </c>
      <c r="E69" s="315">
        <v>854897</v>
      </c>
      <c r="F69" s="316">
        <v>17177</v>
      </c>
      <c r="G69" s="316" t="s">
        <v>168</v>
      </c>
      <c r="H69" s="314" t="s">
        <v>420</v>
      </c>
      <c r="I69" s="316" t="s">
        <v>10</v>
      </c>
      <c r="J69" s="316" t="s">
        <v>398</v>
      </c>
      <c r="K69" s="275">
        <v>0.53333333333333333</v>
      </c>
      <c r="L69" s="275">
        <v>0.875</v>
      </c>
      <c r="M69" s="275">
        <v>0.34166666666666667</v>
      </c>
      <c r="N69" s="275">
        <v>0.625</v>
      </c>
      <c r="O69" s="275">
        <v>0.70833333333333337</v>
      </c>
      <c r="P69" s="275">
        <v>0.82638888888888884</v>
      </c>
      <c r="Q69" s="308">
        <v>41891</v>
      </c>
      <c r="R69" s="316" t="str">
        <f t="shared" ca="1" si="3"/>
        <v>W4+</v>
      </c>
      <c r="S69" s="308">
        <v>41918</v>
      </c>
      <c r="T69" s="316">
        <f t="shared" ca="1" si="4"/>
        <v>802</v>
      </c>
      <c r="U69" s="316" t="s">
        <v>2218</v>
      </c>
      <c r="V69" s="308">
        <v>42705</v>
      </c>
      <c r="W69" s="308">
        <v>42705</v>
      </c>
      <c r="X69" s="308">
        <v>42724</v>
      </c>
      <c r="Y69" s="316" t="s">
        <v>2</v>
      </c>
      <c r="Z69" s="316" t="s">
        <v>2</v>
      </c>
      <c r="AA69" s="316" t="s">
        <v>2</v>
      </c>
      <c r="AB69" s="316" t="s">
        <v>2</v>
      </c>
      <c r="AC69" s="316" t="s">
        <v>2889</v>
      </c>
      <c r="AD69" s="316" t="s">
        <v>2</v>
      </c>
      <c r="AE69" s="316" t="s">
        <v>2</v>
      </c>
      <c r="AF69" s="316" t="s">
        <v>2</v>
      </c>
      <c r="AG69" s="316" t="s">
        <v>2</v>
      </c>
      <c r="AH69" s="216">
        <v>34276</v>
      </c>
      <c r="AI69" s="316" t="s">
        <v>2</v>
      </c>
      <c r="AJ69" s="316" t="s">
        <v>2</v>
      </c>
      <c r="AK69" s="316" t="s">
        <v>2</v>
      </c>
      <c r="AL69" s="316" t="s">
        <v>775</v>
      </c>
      <c r="AM69" s="316" t="s">
        <v>68</v>
      </c>
      <c r="AN69" s="316" t="s">
        <v>89</v>
      </c>
      <c r="AO69" s="281">
        <v>810367</v>
      </c>
      <c r="AP69" s="316" t="s">
        <v>854</v>
      </c>
      <c r="AQ69" s="316" t="s">
        <v>502</v>
      </c>
      <c r="AR69" s="316" t="s">
        <v>2</v>
      </c>
      <c r="AS69" s="316" t="s">
        <v>414</v>
      </c>
      <c r="AT69" s="316" t="s">
        <v>2548</v>
      </c>
      <c r="AU69" s="316" t="s">
        <v>2</v>
      </c>
      <c r="AV69" s="282" t="s">
        <v>1249</v>
      </c>
    </row>
    <row r="70" spans="2:48" ht="15" customHeight="1">
      <c r="B70" s="280" t="str">
        <f t="shared" si="5"/>
        <v/>
      </c>
      <c r="D70" s="46">
        <v>29920</v>
      </c>
      <c r="E70" s="101">
        <v>869824</v>
      </c>
      <c r="F70" s="47">
        <v>17120</v>
      </c>
      <c r="G70" s="48" t="s">
        <v>238</v>
      </c>
      <c r="H70" s="314" t="s">
        <v>420</v>
      </c>
      <c r="I70" s="48" t="s">
        <v>10</v>
      </c>
      <c r="J70" s="48" t="s">
        <v>398</v>
      </c>
      <c r="K70" s="275">
        <v>0.57500000000000007</v>
      </c>
      <c r="L70" s="275">
        <v>0.91666666666666663</v>
      </c>
      <c r="M70" s="275">
        <v>0.34166666666666656</v>
      </c>
      <c r="N70" s="275">
        <v>0.63194444444444442</v>
      </c>
      <c r="O70" s="275">
        <v>0.75</v>
      </c>
      <c r="P70" s="275">
        <v>0.82638888888888884</v>
      </c>
      <c r="Q70" s="50">
        <v>42010</v>
      </c>
      <c r="R70" s="245" t="str">
        <f t="shared" ca="1" si="3"/>
        <v>W4+</v>
      </c>
      <c r="S70" s="50">
        <v>42036</v>
      </c>
      <c r="T70" s="245">
        <f t="shared" ca="1" si="4"/>
        <v>684</v>
      </c>
      <c r="U70" s="48" t="s">
        <v>2218</v>
      </c>
      <c r="V70" s="50">
        <v>42719</v>
      </c>
      <c r="W70" s="50">
        <v>42719</v>
      </c>
      <c r="X70" s="241">
        <v>42748</v>
      </c>
      <c r="Y70" s="48" t="s">
        <v>2</v>
      </c>
      <c r="Z70" s="48" t="s">
        <v>2</v>
      </c>
      <c r="AA70" s="48" t="s">
        <v>2</v>
      </c>
      <c r="AB70" s="50" t="s">
        <v>2</v>
      </c>
      <c r="AC70" s="48" t="s">
        <v>2889</v>
      </c>
      <c r="AD70" s="48" t="s">
        <v>2</v>
      </c>
      <c r="AE70" s="277">
        <v>2557060</v>
      </c>
      <c r="AF70" s="48" t="s">
        <v>2</v>
      </c>
      <c r="AG70" s="48" t="s">
        <v>2</v>
      </c>
      <c r="AH70" s="216">
        <v>35135</v>
      </c>
      <c r="AI70" s="48" t="s">
        <v>2189</v>
      </c>
      <c r="AJ70" s="278" t="s">
        <v>2</v>
      </c>
      <c r="AK70" s="279" t="s">
        <v>2</v>
      </c>
      <c r="AL70" s="48" t="s">
        <v>775</v>
      </c>
      <c r="AM70" s="48" t="s">
        <v>68</v>
      </c>
      <c r="AN70" s="48" t="s">
        <v>89</v>
      </c>
      <c r="AO70" s="96">
        <v>810232</v>
      </c>
      <c r="AP70" s="314" t="s">
        <v>921</v>
      </c>
      <c r="AQ70" s="316" t="s">
        <v>570</v>
      </c>
      <c r="AR70" s="316" t="s">
        <v>2</v>
      </c>
      <c r="AS70" s="316" t="s">
        <v>414</v>
      </c>
      <c r="AT70" s="316" t="s">
        <v>2541</v>
      </c>
      <c r="AU70" s="316" t="s">
        <v>2</v>
      </c>
      <c r="AV70" s="282" t="s">
        <v>1249</v>
      </c>
    </row>
    <row r="71" spans="2:48" ht="15" customHeight="1">
      <c r="B71" s="280" t="str">
        <f t="shared" si="5"/>
        <v>x</v>
      </c>
      <c r="D71" s="272">
        <v>24160</v>
      </c>
      <c r="E71" s="312">
        <v>795194</v>
      </c>
      <c r="F71" s="313">
        <v>12672</v>
      </c>
      <c r="G71" s="314" t="s">
        <v>240</v>
      </c>
      <c r="H71" s="314" t="s">
        <v>420</v>
      </c>
      <c r="I71" s="314" t="s">
        <v>6</v>
      </c>
      <c r="J71" s="314" t="s">
        <v>398</v>
      </c>
      <c r="K71" s="275">
        <v>0.57500000000000007</v>
      </c>
      <c r="L71" s="275">
        <v>0.91666666666666663</v>
      </c>
      <c r="M71" s="275">
        <v>0.34166666666666656</v>
      </c>
      <c r="N71" s="275" t="s">
        <v>2</v>
      </c>
      <c r="O71" s="275" t="s">
        <v>2</v>
      </c>
      <c r="P71" s="275" t="s">
        <v>2</v>
      </c>
      <c r="Q71" s="276">
        <v>41306</v>
      </c>
      <c r="R71" s="284" t="str">
        <f t="shared" ca="1" si="3"/>
        <v>W4+</v>
      </c>
      <c r="S71" s="276">
        <v>41329</v>
      </c>
      <c r="T71" s="284">
        <f t="shared" ca="1" si="4"/>
        <v>1391</v>
      </c>
      <c r="U71" s="314" t="s">
        <v>2218</v>
      </c>
      <c r="V71" s="276" t="s">
        <v>2</v>
      </c>
      <c r="W71" s="276" t="s">
        <v>2</v>
      </c>
      <c r="X71" s="276" t="s">
        <v>2</v>
      </c>
      <c r="Y71" s="314" t="s">
        <v>2</v>
      </c>
      <c r="Z71" s="314" t="s">
        <v>2</v>
      </c>
      <c r="AA71" s="314" t="s">
        <v>2</v>
      </c>
      <c r="AB71" s="276" t="s">
        <v>2</v>
      </c>
      <c r="AC71" s="314" t="s">
        <v>2889</v>
      </c>
      <c r="AD71" s="314" t="s">
        <v>2</v>
      </c>
      <c r="AE71" s="277">
        <v>4204000</v>
      </c>
      <c r="AF71" s="314" t="s">
        <v>2</v>
      </c>
      <c r="AG71" s="314" t="s">
        <v>2</v>
      </c>
      <c r="AH71" s="216">
        <v>22548</v>
      </c>
      <c r="AI71" s="314" t="s">
        <v>2188</v>
      </c>
      <c r="AJ71" s="278" t="s">
        <v>2</v>
      </c>
      <c r="AK71" s="279" t="s">
        <v>2</v>
      </c>
      <c r="AL71" s="314" t="s">
        <v>775</v>
      </c>
      <c r="AM71" s="314" t="s">
        <v>68</v>
      </c>
      <c r="AN71" s="314" t="s">
        <v>89</v>
      </c>
      <c r="AO71" s="281">
        <v>810106</v>
      </c>
      <c r="AP71" s="316" t="s">
        <v>923</v>
      </c>
      <c r="AQ71" s="316" t="s">
        <v>572</v>
      </c>
      <c r="AR71" s="316" t="s">
        <v>2</v>
      </c>
      <c r="AS71" s="316" t="s">
        <v>414</v>
      </c>
      <c r="AT71" s="316" t="s">
        <v>2549</v>
      </c>
      <c r="AU71" s="316" t="s">
        <v>2</v>
      </c>
      <c r="AV71" s="282" t="s">
        <v>1249</v>
      </c>
    </row>
    <row r="72" spans="2:48" ht="15" customHeight="1">
      <c r="B72" s="280" t="str">
        <f t="shared" si="5"/>
        <v/>
      </c>
      <c r="D72" s="46">
        <v>31403</v>
      </c>
      <c r="E72" s="101">
        <v>909816</v>
      </c>
      <c r="F72" s="47">
        <v>17198</v>
      </c>
      <c r="G72" s="48" t="s">
        <v>2415</v>
      </c>
      <c r="H72" s="314" t="s">
        <v>420</v>
      </c>
      <c r="I72" s="48" t="s">
        <v>4</v>
      </c>
      <c r="J72" s="48" t="s">
        <v>398</v>
      </c>
      <c r="K72" s="275">
        <v>0.59722222222222221</v>
      </c>
      <c r="L72" s="275">
        <v>0.86111111111111116</v>
      </c>
      <c r="M72" s="275">
        <v>0.26388888888888895</v>
      </c>
      <c r="N72" s="275">
        <v>0.65972222222222221</v>
      </c>
      <c r="O72" s="275">
        <v>0.71527777777777779</v>
      </c>
      <c r="P72" s="275">
        <v>0.79166666666666663</v>
      </c>
      <c r="Q72" s="50">
        <v>42340</v>
      </c>
      <c r="R72" s="245" t="str">
        <f t="shared" ref="R72:R103" ca="1" si="6">IF(T72&lt;0,"TRN",IF(AND(T72&gt;=0,T72&lt;7),"OCP W1",IF(AND(T72&gt;=7,T72&lt;14),"OCP W2",IF(AND(T72&gt;=14,T72&lt;21),"OCP W3",IF(T72&gt;=21,"W4+")))))</f>
        <v>W4+</v>
      </c>
      <c r="S72" s="50">
        <v>42362</v>
      </c>
      <c r="T72" s="245">
        <f t="shared" ref="T72:T103" ca="1" si="7">TODAY()-S72</f>
        <v>358</v>
      </c>
      <c r="U72" s="48" t="s">
        <v>2218</v>
      </c>
      <c r="V72" s="50">
        <v>42550</v>
      </c>
      <c r="W72" s="50">
        <v>42559</v>
      </c>
      <c r="X72" s="276" t="s">
        <v>2</v>
      </c>
      <c r="Y72" s="48" t="s">
        <v>2</v>
      </c>
      <c r="Z72" s="48" t="s">
        <v>2</v>
      </c>
      <c r="AA72" s="48" t="s">
        <v>2</v>
      </c>
      <c r="AB72" s="50" t="s">
        <v>2</v>
      </c>
      <c r="AC72" s="48" t="s">
        <v>2889</v>
      </c>
      <c r="AD72" s="48"/>
      <c r="AE72" s="314" t="s">
        <v>2493</v>
      </c>
      <c r="AF72" s="274"/>
      <c r="AG72" s="274"/>
      <c r="AH72" s="216">
        <v>33850</v>
      </c>
      <c r="AI72" s="274" t="s">
        <v>2191</v>
      </c>
      <c r="AJ72" s="314"/>
      <c r="AK72" s="314"/>
      <c r="AL72" s="48" t="s">
        <v>775</v>
      </c>
      <c r="AM72" s="48" t="s">
        <v>68</v>
      </c>
      <c r="AN72" s="48" t="s">
        <v>89</v>
      </c>
      <c r="AO72" s="96">
        <v>24207</v>
      </c>
      <c r="AP72" s="314" t="s">
        <v>2440</v>
      </c>
      <c r="AQ72" s="314" t="s">
        <v>2464</v>
      </c>
      <c r="AR72" s="314" t="s">
        <v>2</v>
      </c>
      <c r="AS72" s="314" t="s">
        <v>414</v>
      </c>
      <c r="AT72" s="314" t="s">
        <v>2485</v>
      </c>
      <c r="AU72" s="314" t="s">
        <v>2</v>
      </c>
      <c r="AV72" s="282" t="s">
        <v>1249</v>
      </c>
    </row>
    <row r="73" spans="2:48" ht="15" customHeight="1">
      <c r="B73" s="280" t="str">
        <f t="shared" si="5"/>
        <v>x</v>
      </c>
      <c r="D73" s="46">
        <v>31503</v>
      </c>
      <c r="E73" s="283">
        <v>915103</v>
      </c>
      <c r="F73" s="47">
        <v>17003</v>
      </c>
      <c r="G73" s="48" t="s">
        <v>2671</v>
      </c>
      <c r="H73" s="314" t="s">
        <v>420</v>
      </c>
      <c r="I73" s="239" t="s">
        <v>4</v>
      </c>
      <c r="J73" s="48" t="s">
        <v>398</v>
      </c>
      <c r="K73" s="275">
        <v>0.59722222222222221</v>
      </c>
      <c r="L73" s="275">
        <v>0.86111111111111116</v>
      </c>
      <c r="M73" s="275">
        <v>0.26388888888888895</v>
      </c>
      <c r="N73" s="275">
        <v>0.63888888888888895</v>
      </c>
      <c r="O73" s="275">
        <v>0.69444444444444453</v>
      </c>
      <c r="P73" s="275">
        <v>0.77777777777777779</v>
      </c>
      <c r="Q73" s="50">
        <v>42404</v>
      </c>
      <c r="R73" s="245" t="str">
        <f t="shared" ca="1" si="6"/>
        <v>W4+</v>
      </c>
      <c r="S73" s="50">
        <v>42429</v>
      </c>
      <c r="T73" s="245">
        <f t="shared" ca="1" si="7"/>
        <v>291</v>
      </c>
      <c r="U73" s="48" t="s">
        <v>2218</v>
      </c>
      <c r="V73" s="241" t="s">
        <v>2</v>
      </c>
      <c r="W73" s="241" t="s">
        <v>2</v>
      </c>
      <c r="X73" s="276" t="s">
        <v>2</v>
      </c>
      <c r="Y73" s="48" t="s">
        <v>2</v>
      </c>
      <c r="Z73" s="48" t="s">
        <v>2</v>
      </c>
      <c r="AA73" s="48" t="s">
        <v>2</v>
      </c>
      <c r="AB73" s="50" t="s">
        <v>2</v>
      </c>
      <c r="AC73" s="48" t="s">
        <v>2889</v>
      </c>
      <c r="AD73" s="48"/>
      <c r="AE73" s="51" t="s">
        <v>2</v>
      </c>
      <c r="AF73" s="48" t="s">
        <v>2</v>
      </c>
      <c r="AG73" s="48" t="s">
        <v>2</v>
      </c>
      <c r="AH73" s="216">
        <v>34460</v>
      </c>
      <c r="AI73" s="48" t="s">
        <v>2</v>
      </c>
      <c r="AJ73" s="53" t="s">
        <v>2</v>
      </c>
      <c r="AK73" s="54" t="s">
        <v>2</v>
      </c>
      <c r="AL73" s="48" t="s">
        <v>775</v>
      </c>
      <c r="AM73" s="48" t="s">
        <v>68</v>
      </c>
      <c r="AN73" s="48" t="s">
        <v>89</v>
      </c>
      <c r="AO73" s="96">
        <v>410394</v>
      </c>
      <c r="AP73" s="152" t="s">
        <v>2691</v>
      </c>
      <c r="AQ73" s="152" t="s">
        <v>2735</v>
      </c>
      <c r="AR73" s="152" t="s">
        <v>2</v>
      </c>
      <c r="AS73" s="152" t="s">
        <v>414</v>
      </c>
      <c r="AT73" s="152" t="s">
        <v>2736</v>
      </c>
      <c r="AU73" s="152" t="s">
        <v>2</v>
      </c>
      <c r="AV73" s="97" t="s">
        <v>1249</v>
      </c>
    </row>
    <row r="74" spans="2:48" ht="15" customHeight="1">
      <c r="B74" s="280" t="str">
        <f t="shared" si="5"/>
        <v/>
      </c>
      <c r="D74" s="46">
        <v>31502</v>
      </c>
      <c r="E74" s="101">
        <v>915102</v>
      </c>
      <c r="F74" s="47">
        <v>12927</v>
      </c>
      <c r="G74" s="48" t="s">
        <v>2670</v>
      </c>
      <c r="H74" s="314" t="s">
        <v>420</v>
      </c>
      <c r="I74" s="274" t="s">
        <v>4</v>
      </c>
      <c r="J74" s="48" t="s">
        <v>398</v>
      </c>
      <c r="K74" s="275">
        <v>0.59722222222222221</v>
      </c>
      <c r="L74" s="275">
        <v>0.86111111111111116</v>
      </c>
      <c r="M74" s="275">
        <v>0.26388888888888895</v>
      </c>
      <c r="N74" s="275">
        <v>0.64583333333333337</v>
      </c>
      <c r="O74" s="275">
        <v>0.71527777777777779</v>
      </c>
      <c r="P74" s="275">
        <v>0.78472222222222221</v>
      </c>
      <c r="Q74" s="50">
        <v>42404</v>
      </c>
      <c r="R74" s="245" t="str">
        <f t="shared" ca="1" si="6"/>
        <v>W4+</v>
      </c>
      <c r="S74" s="50">
        <v>42429</v>
      </c>
      <c r="T74" s="245">
        <f t="shared" ca="1" si="7"/>
        <v>291</v>
      </c>
      <c r="U74" s="48" t="s">
        <v>2218</v>
      </c>
      <c r="V74" s="50" t="s">
        <v>2</v>
      </c>
      <c r="W74" s="50" t="s">
        <v>2</v>
      </c>
      <c r="X74" s="276" t="s">
        <v>2</v>
      </c>
      <c r="Y74" s="48" t="s">
        <v>2</v>
      </c>
      <c r="Z74" s="48" t="s">
        <v>2</v>
      </c>
      <c r="AA74" s="48" t="s">
        <v>2</v>
      </c>
      <c r="AB74" s="50" t="s">
        <v>2</v>
      </c>
      <c r="AC74" s="48" t="s">
        <v>2889</v>
      </c>
      <c r="AD74" s="48"/>
      <c r="AE74" s="51" t="s">
        <v>2</v>
      </c>
      <c r="AF74" s="48" t="s">
        <v>2</v>
      </c>
      <c r="AG74" s="48" t="s">
        <v>2</v>
      </c>
      <c r="AH74" s="216">
        <v>34113</v>
      </c>
      <c r="AI74" s="48" t="s">
        <v>2</v>
      </c>
      <c r="AJ74" s="53" t="s">
        <v>2</v>
      </c>
      <c r="AK74" s="54" t="s">
        <v>2</v>
      </c>
      <c r="AL74" s="48" t="s">
        <v>775</v>
      </c>
      <c r="AM74" s="48" t="s">
        <v>68</v>
      </c>
      <c r="AN74" s="48" t="s">
        <v>89</v>
      </c>
      <c r="AO74" s="96">
        <v>810407</v>
      </c>
      <c r="AP74" s="316" t="s">
        <v>2690</v>
      </c>
      <c r="AQ74" s="316" t="s">
        <v>2738</v>
      </c>
      <c r="AR74" s="316" t="s">
        <v>2</v>
      </c>
      <c r="AS74" s="316" t="s">
        <v>414</v>
      </c>
      <c r="AT74" s="316" t="s">
        <v>2739</v>
      </c>
      <c r="AU74" s="316" t="s">
        <v>2</v>
      </c>
      <c r="AV74" s="282" t="s">
        <v>1249</v>
      </c>
    </row>
    <row r="75" spans="2:48" ht="15" customHeight="1">
      <c r="B75" s="280" t="str">
        <f>IF(Termed!B494="x","","x")</f>
        <v/>
      </c>
      <c r="D75" s="46">
        <v>31587</v>
      </c>
      <c r="E75" s="101">
        <v>923142</v>
      </c>
      <c r="F75" s="47">
        <v>17184</v>
      </c>
      <c r="G75" s="48" t="s">
        <v>2759</v>
      </c>
      <c r="H75" s="314" t="s">
        <v>420</v>
      </c>
      <c r="I75" s="48" t="s">
        <v>4</v>
      </c>
      <c r="J75" s="48" t="s">
        <v>398</v>
      </c>
      <c r="K75" s="275">
        <v>0.59722222222222221</v>
      </c>
      <c r="L75" s="275">
        <v>0.86111111111111116</v>
      </c>
      <c r="M75" s="275">
        <v>0.26388888888888895</v>
      </c>
      <c r="N75" s="275">
        <v>0.65277777777777779</v>
      </c>
      <c r="O75" s="275">
        <v>0.70138888888888884</v>
      </c>
      <c r="P75" s="275">
        <v>0.77777777777777779</v>
      </c>
      <c r="Q75" s="50">
        <v>42466</v>
      </c>
      <c r="R75" s="245" t="str">
        <f t="shared" ca="1" si="6"/>
        <v>W4+</v>
      </c>
      <c r="S75" s="50">
        <v>42492</v>
      </c>
      <c r="T75" s="245">
        <f t="shared" ca="1" si="7"/>
        <v>228</v>
      </c>
      <c r="U75" s="48" t="s">
        <v>2218</v>
      </c>
      <c r="V75" s="50" t="s">
        <v>2</v>
      </c>
      <c r="W75" s="50" t="s">
        <v>2</v>
      </c>
      <c r="X75" s="276" t="s">
        <v>2</v>
      </c>
      <c r="Y75" s="48" t="s">
        <v>2</v>
      </c>
      <c r="Z75" s="274" t="s">
        <v>2</v>
      </c>
      <c r="AA75" s="274" t="s">
        <v>2</v>
      </c>
      <c r="AB75" s="50" t="s">
        <v>2</v>
      </c>
      <c r="AC75" s="48" t="s">
        <v>2889</v>
      </c>
      <c r="AD75" s="48" t="s">
        <v>2</v>
      </c>
      <c r="AE75" s="51" t="s">
        <v>2</v>
      </c>
      <c r="AF75" s="48" t="s">
        <v>2</v>
      </c>
      <c r="AG75" s="48" t="s">
        <v>2</v>
      </c>
      <c r="AH75" s="216">
        <v>33839</v>
      </c>
      <c r="AI75" s="48" t="s">
        <v>2</v>
      </c>
      <c r="AJ75" s="278" t="s">
        <v>2</v>
      </c>
      <c r="AK75" s="279" t="s">
        <v>2</v>
      </c>
      <c r="AL75" s="48" t="s">
        <v>775</v>
      </c>
      <c r="AM75" s="48" t="s">
        <v>68</v>
      </c>
      <c r="AN75" s="48" t="s">
        <v>89</v>
      </c>
      <c r="AO75" s="96">
        <v>24471</v>
      </c>
      <c r="AP75" s="316" t="s">
        <v>2766</v>
      </c>
      <c r="AQ75" s="152" t="s">
        <v>2773</v>
      </c>
      <c r="AR75" s="152" t="s">
        <v>2</v>
      </c>
      <c r="AS75" s="152" t="s">
        <v>414</v>
      </c>
      <c r="AT75" s="152" t="s">
        <v>2780</v>
      </c>
      <c r="AU75" s="152" t="s">
        <v>2</v>
      </c>
      <c r="AV75" s="282" t="s">
        <v>1249</v>
      </c>
    </row>
    <row r="76" spans="2:48" ht="15" customHeight="1">
      <c r="B76" s="280" t="str">
        <f t="shared" ref="B76:B83" si="8">IF(B75="x","","x")</f>
        <v>x</v>
      </c>
      <c r="D76" s="46">
        <v>22180</v>
      </c>
      <c r="E76" s="312">
        <v>771007</v>
      </c>
      <c r="F76" s="47">
        <v>17095</v>
      </c>
      <c r="G76" s="48" t="s">
        <v>229</v>
      </c>
      <c r="H76" s="314" t="s">
        <v>417</v>
      </c>
      <c r="I76" s="48" t="s">
        <v>6</v>
      </c>
      <c r="J76" s="48" t="s">
        <v>398</v>
      </c>
      <c r="K76" s="275">
        <v>0.65277777777777779</v>
      </c>
      <c r="L76" s="275">
        <v>0.91666666666666663</v>
      </c>
      <c r="M76" s="275">
        <v>0.26388888888888884</v>
      </c>
      <c r="N76" s="275" t="s">
        <v>2</v>
      </c>
      <c r="O76" s="275" t="s">
        <v>2</v>
      </c>
      <c r="P76" s="275" t="s">
        <v>2</v>
      </c>
      <c r="Q76" s="50">
        <v>41075</v>
      </c>
      <c r="R76" s="245" t="str">
        <f t="shared" ca="1" si="6"/>
        <v>W4+</v>
      </c>
      <c r="S76" s="50">
        <v>41098</v>
      </c>
      <c r="T76" s="245">
        <f t="shared" ca="1" si="7"/>
        <v>1622</v>
      </c>
      <c r="U76" s="48" t="s">
        <v>2220</v>
      </c>
      <c r="V76" s="276">
        <v>42240</v>
      </c>
      <c r="W76" s="276" t="s">
        <v>2</v>
      </c>
      <c r="X76" s="276" t="s">
        <v>2</v>
      </c>
      <c r="Y76" s="48" t="s">
        <v>2</v>
      </c>
      <c r="Z76" s="48" t="s">
        <v>2</v>
      </c>
      <c r="AA76" s="48" t="s">
        <v>2</v>
      </c>
      <c r="AB76" s="50" t="s">
        <v>2</v>
      </c>
      <c r="AC76" s="48" t="s">
        <v>2889</v>
      </c>
      <c r="AD76" s="48" t="s">
        <v>2</v>
      </c>
      <c r="AE76" s="277">
        <v>8120060</v>
      </c>
      <c r="AF76" s="48" t="s">
        <v>2</v>
      </c>
      <c r="AG76" s="48" t="s">
        <v>2</v>
      </c>
      <c r="AH76" s="216">
        <v>28485</v>
      </c>
      <c r="AI76" s="48" t="s">
        <v>2194</v>
      </c>
      <c r="AJ76" s="278" t="s">
        <v>2</v>
      </c>
      <c r="AK76" s="279" t="s">
        <v>2</v>
      </c>
      <c r="AL76" s="48" t="s">
        <v>775</v>
      </c>
      <c r="AM76" s="48" t="s">
        <v>68</v>
      </c>
      <c r="AN76" s="48" t="s">
        <v>89</v>
      </c>
      <c r="AO76" s="96">
        <v>810179</v>
      </c>
      <c r="AP76" s="152" t="s">
        <v>913</v>
      </c>
      <c r="AQ76" s="152" t="s">
        <v>562</v>
      </c>
      <c r="AR76" s="152" t="s">
        <v>2</v>
      </c>
      <c r="AS76" s="152" t="s">
        <v>414</v>
      </c>
      <c r="AT76" s="152" t="s">
        <v>2556</v>
      </c>
      <c r="AU76" s="152" t="s">
        <v>2</v>
      </c>
      <c r="AV76" s="282" t="s">
        <v>1249</v>
      </c>
    </row>
    <row r="77" spans="2:48" ht="15" customHeight="1">
      <c r="B77" s="280" t="str">
        <f t="shared" si="8"/>
        <v/>
      </c>
      <c r="D77" s="46">
        <v>31589</v>
      </c>
      <c r="E77" s="101">
        <v>923144</v>
      </c>
      <c r="F77" s="47">
        <v>17186</v>
      </c>
      <c r="G77" s="48" t="s">
        <v>2761</v>
      </c>
      <c r="H77" s="314" t="s">
        <v>420</v>
      </c>
      <c r="I77" s="48" t="s">
        <v>9</v>
      </c>
      <c r="J77" s="48" t="s">
        <v>398</v>
      </c>
      <c r="K77" s="275">
        <v>0.65277777777777779</v>
      </c>
      <c r="L77" s="275">
        <v>0.91666666666666663</v>
      </c>
      <c r="M77" s="275">
        <v>0.2638888888888889</v>
      </c>
      <c r="N77" s="275">
        <v>0.71527777777777779</v>
      </c>
      <c r="O77" s="275">
        <v>0.79166666666666663</v>
      </c>
      <c r="P77" s="275">
        <v>0.85416666666666663</v>
      </c>
      <c r="Q77" s="50">
        <v>42466</v>
      </c>
      <c r="R77" s="245" t="str">
        <f t="shared" ca="1" si="6"/>
        <v>W4+</v>
      </c>
      <c r="S77" s="50">
        <v>42492</v>
      </c>
      <c r="T77" s="245">
        <f t="shared" ca="1" si="7"/>
        <v>228</v>
      </c>
      <c r="U77" s="48" t="s">
        <v>2218</v>
      </c>
      <c r="V77" s="50">
        <v>42706</v>
      </c>
      <c r="W77" s="50">
        <v>42706</v>
      </c>
      <c r="X77" s="276" t="s">
        <v>2</v>
      </c>
      <c r="Y77" s="48" t="s">
        <v>2245</v>
      </c>
      <c r="Z77" s="48" t="s">
        <v>2</v>
      </c>
      <c r="AA77" s="48" t="s">
        <v>2</v>
      </c>
      <c r="AB77" s="50" t="s">
        <v>2</v>
      </c>
      <c r="AC77" s="48" t="s">
        <v>2889</v>
      </c>
      <c r="AD77" s="48" t="s">
        <v>2</v>
      </c>
      <c r="AE77" s="277" t="s">
        <v>2</v>
      </c>
      <c r="AF77" s="48" t="s">
        <v>2</v>
      </c>
      <c r="AG77" s="48" t="s">
        <v>2</v>
      </c>
      <c r="AH77" s="216">
        <v>32079</v>
      </c>
      <c r="AI77" s="48" t="s">
        <v>2</v>
      </c>
      <c r="AJ77" s="278" t="s">
        <v>2</v>
      </c>
      <c r="AK77" s="279" t="s">
        <v>2</v>
      </c>
      <c r="AL77" s="48" t="s">
        <v>775</v>
      </c>
      <c r="AM77" s="48" t="s">
        <v>68</v>
      </c>
      <c r="AN77" s="48" t="s">
        <v>89</v>
      </c>
      <c r="AO77" s="96">
        <v>24475</v>
      </c>
      <c r="AP77" s="152" t="s">
        <v>2770</v>
      </c>
      <c r="AQ77" s="152" t="s">
        <v>2777</v>
      </c>
      <c r="AR77" s="152" t="s">
        <v>2</v>
      </c>
      <c r="AS77" s="152" t="s">
        <v>414</v>
      </c>
      <c r="AT77" s="152" t="s">
        <v>2783</v>
      </c>
      <c r="AU77" s="152" t="s">
        <v>1249</v>
      </c>
      <c r="AV77" s="282" t="s">
        <v>1249</v>
      </c>
    </row>
    <row r="78" spans="2:48" ht="15" customHeight="1">
      <c r="B78" s="280" t="str">
        <f t="shared" si="8"/>
        <v>x</v>
      </c>
      <c r="D78" s="46">
        <v>31406</v>
      </c>
      <c r="E78" s="315">
        <v>909819</v>
      </c>
      <c r="F78" s="238">
        <v>12289</v>
      </c>
      <c r="G78" s="274" t="s">
        <v>2416</v>
      </c>
      <c r="H78" s="314" t="s">
        <v>420</v>
      </c>
      <c r="I78" s="274" t="s">
        <v>4</v>
      </c>
      <c r="J78" s="274" t="s">
        <v>398</v>
      </c>
      <c r="K78" s="275">
        <v>0.65277777777777779</v>
      </c>
      <c r="L78" s="275">
        <v>0.91666666666666663</v>
      </c>
      <c r="M78" s="275">
        <v>0.26388888888888884</v>
      </c>
      <c r="N78" s="275">
        <v>0.72916666666666663</v>
      </c>
      <c r="O78" s="275">
        <v>0.79861111111111116</v>
      </c>
      <c r="P78" s="275">
        <v>0.85416666666666663</v>
      </c>
      <c r="Q78" s="276">
        <v>42340</v>
      </c>
      <c r="R78" s="245" t="str">
        <f t="shared" ca="1" si="6"/>
        <v>W4+</v>
      </c>
      <c r="S78" s="276">
        <v>42362</v>
      </c>
      <c r="T78" s="245">
        <f t="shared" ca="1" si="7"/>
        <v>358</v>
      </c>
      <c r="U78" s="274" t="s">
        <v>2218</v>
      </c>
      <c r="V78" s="276" t="s">
        <v>2</v>
      </c>
      <c r="W78" s="276" t="s">
        <v>2</v>
      </c>
      <c r="X78" s="276" t="s">
        <v>2</v>
      </c>
      <c r="Y78" s="274" t="s">
        <v>2</v>
      </c>
      <c r="Z78" s="274" t="s">
        <v>2</v>
      </c>
      <c r="AA78" s="274" t="s">
        <v>2</v>
      </c>
      <c r="AB78" s="276" t="s">
        <v>2</v>
      </c>
      <c r="AC78" s="274" t="s">
        <v>2889</v>
      </c>
      <c r="AD78" s="274"/>
      <c r="AE78" s="277" t="s">
        <v>2505</v>
      </c>
      <c r="AF78" s="274"/>
      <c r="AG78" s="274"/>
      <c r="AH78" s="216">
        <v>34754</v>
      </c>
      <c r="AI78" s="274" t="s">
        <v>2189</v>
      </c>
      <c r="AJ78" s="278"/>
      <c r="AK78" s="279"/>
      <c r="AL78" s="274" t="s">
        <v>775</v>
      </c>
      <c r="AM78" s="274" t="s">
        <v>68</v>
      </c>
      <c r="AN78" s="274" t="s">
        <v>89</v>
      </c>
      <c r="AO78" s="96">
        <v>24208</v>
      </c>
      <c r="AP78" s="316" t="s">
        <v>2441</v>
      </c>
      <c r="AQ78" s="316" t="s">
        <v>2457</v>
      </c>
      <c r="AR78" s="316" t="s">
        <v>2</v>
      </c>
      <c r="AS78" s="316" t="s">
        <v>414</v>
      </c>
      <c r="AT78" s="316" t="s">
        <v>2478</v>
      </c>
      <c r="AU78" s="316" t="s">
        <v>2</v>
      </c>
      <c r="AV78" s="282" t="s">
        <v>1249</v>
      </c>
    </row>
    <row r="79" spans="2:48" ht="15" customHeight="1">
      <c r="B79" s="280" t="str">
        <f t="shared" si="8"/>
        <v/>
      </c>
      <c r="D79" s="46">
        <v>31402</v>
      </c>
      <c r="E79" s="101">
        <v>909815</v>
      </c>
      <c r="F79" s="47">
        <v>12285</v>
      </c>
      <c r="G79" s="274" t="s">
        <v>2412</v>
      </c>
      <c r="H79" s="314" t="s">
        <v>420</v>
      </c>
      <c r="I79" s="274" t="s">
        <v>4</v>
      </c>
      <c r="J79" s="274" t="s">
        <v>398</v>
      </c>
      <c r="K79" s="275">
        <v>0.65277777777777779</v>
      </c>
      <c r="L79" s="275">
        <v>0.91666666666666663</v>
      </c>
      <c r="M79" s="275">
        <v>0.26388888888888884</v>
      </c>
      <c r="N79" s="275">
        <v>0.72916666666666663</v>
      </c>
      <c r="O79" s="275">
        <v>0.79861111111111116</v>
      </c>
      <c r="P79" s="275">
        <v>0.85416666666666663</v>
      </c>
      <c r="Q79" s="276">
        <v>42340</v>
      </c>
      <c r="R79" s="245" t="str">
        <f t="shared" ca="1" si="6"/>
        <v>W4+</v>
      </c>
      <c r="S79" s="276">
        <v>42362</v>
      </c>
      <c r="T79" s="245">
        <f t="shared" ca="1" si="7"/>
        <v>358</v>
      </c>
      <c r="U79" s="274" t="s">
        <v>2218</v>
      </c>
      <c r="V79" s="276">
        <v>42663</v>
      </c>
      <c r="W79" s="276">
        <v>42663</v>
      </c>
      <c r="X79" s="276" t="s">
        <v>2</v>
      </c>
      <c r="Y79" s="274" t="s">
        <v>2</v>
      </c>
      <c r="Z79" s="274" t="s">
        <v>2</v>
      </c>
      <c r="AA79" s="274" t="s">
        <v>2</v>
      </c>
      <c r="AB79" s="276" t="s">
        <v>2</v>
      </c>
      <c r="AC79" s="274" t="s">
        <v>2889</v>
      </c>
      <c r="AD79" s="274"/>
      <c r="AE79" s="277" t="s">
        <v>2504</v>
      </c>
      <c r="AF79" s="274"/>
      <c r="AG79" s="274"/>
      <c r="AH79" s="216">
        <v>30153</v>
      </c>
      <c r="AI79" s="274" t="s">
        <v>2188</v>
      </c>
      <c r="AJ79" s="278"/>
      <c r="AK79" s="279"/>
      <c r="AL79" s="274" t="s">
        <v>775</v>
      </c>
      <c r="AM79" s="274" t="s">
        <v>68</v>
      </c>
      <c r="AN79" s="274" t="s">
        <v>89</v>
      </c>
      <c r="AO79" s="96">
        <v>24205</v>
      </c>
      <c r="AP79" s="281" t="s">
        <v>2437</v>
      </c>
      <c r="AQ79" s="281" t="s">
        <v>2462</v>
      </c>
      <c r="AR79" s="281" t="s">
        <v>2</v>
      </c>
      <c r="AS79" s="281" t="s">
        <v>414</v>
      </c>
      <c r="AT79" s="281" t="s">
        <v>2483</v>
      </c>
      <c r="AU79" s="281" t="s">
        <v>2</v>
      </c>
      <c r="AV79" s="282" t="s">
        <v>1249</v>
      </c>
    </row>
    <row r="80" spans="2:48" ht="15" customHeight="1">
      <c r="B80" s="280" t="str">
        <f t="shared" si="8"/>
        <v>x</v>
      </c>
      <c r="D80" s="272">
        <v>30701</v>
      </c>
      <c r="E80" s="312">
        <v>882231</v>
      </c>
      <c r="F80" s="47">
        <v>17169</v>
      </c>
      <c r="G80" s="48" t="s">
        <v>232</v>
      </c>
      <c r="H80" s="274" t="s">
        <v>420</v>
      </c>
      <c r="I80" s="274" t="s">
        <v>9</v>
      </c>
      <c r="J80" s="48" t="s">
        <v>398</v>
      </c>
      <c r="K80" s="275">
        <v>0.65277777777777779</v>
      </c>
      <c r="L80" s="275">
        <v>0.91666666666666663</v>
      </c>
      <c r="M80" s="275">
        <v>0.26388888888888884</v>
      </c>
      <c r="N80" s="275">
        <v>0.75</v>
      </c>
      <c r="O80" s="275">
        <v>0.8125</v>
      </c>
      <c r="P80" s="275">
        <v>0.86805555555555547</v>
      </c>
      <c r="Q80" s="50">
        <v>42131</v>
      </c>
      <c r="R80" s="245" t="str">
        <f t="shared" ca="1" si="6"/>
        <v>W4+</v>
      </c>
      <c r="S80" s="50">
        <v>42156</v>
      </c>
      <c r="T80" s="245">
        <f t="shared" ca="1" si="7"/>
        <v>564</v>
      </c>
      <c r="U80" s="48" t="s">
        <v>2218</v>
      </c>
      <c r="V80" s="50">
        <v>42706</v>
      </c>
      <c r="W80" s="50">
        <v>42706</v>
      </c>
      <c r="X80" s="276" t="s">
        <v>2</v>
      </c>
      <c r="Y80" s="48" t="s">
        <v>2245</v>
      </c>
      <c r="Z80" s="48" t="s">
        <v>2</v>
      </c>
      <c r="AA80" s="48" t="s">
        <v>2</v>
      </c>
      <c r="AB80" s="50" t="s">
        <v>2</v>
      </c>
      <c r="AC80" s="48" t="s">
        <v>2889</v>
      </c>
      <c r="AD80" s="48" t="s">
        <v>2</v>
      </c>
      <c r="AE80" s="51" t="s">
        <v>2</v>
      </c>
      <c r="AF80" s="48" t="s">
        <v>2</v>
      </c>
      <c r="AG80" s="48" t="s">
        <v>2</v>
      </c>
      <c r="AH80" s="216">
        <v>33618</v>
      </c>
      <c r="AI80" s="48" t="s">
        <v>2</v>
      </c>
      <c r="AJ80" s="53" t="s">
        <v>2</v>
      </c>
      <c r="AK80" s="54" t="s">
        <v>2</v>
      </c>
      <c r="AL80" s="48" t="s">
        <v>775</v>
      </c>
      <c r="AM80" s="48" t="s">
        <v>68</v>
      </c>
      <c r="AN80" s="48" t="s">
        <v>89</v>
      </c>
      <c r="AO80" s="281">
        <v>810340</v>
      </c>
      <c r="AP80" s="316" t="s">
        <v>916</v>
      </c>
      <c r="AQ80" s="152" t="s">
        <v>565</v>
      </c>
      <c r="AR80" s="152" t="s">
        <v>2</v>
      </c>
      <c r="AS80" s="152" t="s">
        <v>414</v>
      </c>
      <c r="AT80" s="152" t="s">
        <v>2555</v>
      </c>
      <c r="AU80" s="152" t="s">
        <v>2</v>
      </c>
      <c r="AV80" s="97" t="s">
        <v>1249</v>
      </c>
    </row>
    <row r="81" spans="2:48" ht="15" customHeight="1">
      <c r="B81" s="280" t="str">
        <f t="shared" si="8"/>
        <v/>
      </c>
      <c r="D81" s="272">
        <v>31192</v>
      </c>
      <c r="E81" s="312">
        <v>897567</v>
      </c>
      <c r="F81" s="47">
        <v>17136</v>
      </c>
      <c r="G81" s="48" t="s">
        <v>2332</v>
      </c>
      <c r="H81" s="314" t="s">
        <v>420</v>
      </c>
      <c r="I81" s="274" t="s">
        <v>4</v>
      </c>
      <c r="J81" s="48" t="s">
        <v>398</v>
      </c>
      <c r="K81" s="275">
        <v>0.65277777777777779</v>
      </c>
      <c r="L81" s="275">
        <v>0.91666666666666663</v>
      </c>
      <c r="M81" s="275">
        <v>0.26388888888888884</v>
      </c>
      <c r="N81" s="275">
        <v>0.70138888888888884</v>
      </c>
      <c r="O81" s="275">
        <v>0.77777777777777779</v>
      </c>
      <c r="P81" s="275">
        <v>0.84027777777777779</v>
      </c>
      <c r="Q81" s="50">
        <v>42256</v>
      </c>
      <c r="R81" s="245" t="str">
        <f t="shared" ca="1" si="6"/>
        <v>W4+</v>
      </c>
      <c r="S81" s="50">
        <v>42282</v>
      </c>
      <c r="T81" s="245">
        <f t="shared" ca="1" si="7"/>
        <v>438</v>
      </c>
      <c r="U81" s="48" t="s">
        <v>2218</v>
      </c>
      <c r="V81" s="308">
        <v>42662</v>
      </c>
      <c r="W81" s="308">
        <v>42662</v>
      </c>
      <c r="X81" s="308" t="s">
        <v>2</v>
      </c>
      <c r="Y81" s="48" t="s">
        <v>2</v>
      </c>
      <c r="Z81" s="48" t="s">
        <v>2</v>
      </c>
      <c r="AA81" s="48" t="s">
        <v>2</v>
      </c>
      <c r="AB81" s="50" t="s">
        <v>2</v>
      </c>
      <c r="AC81" s="48" t="s">
        <v>2889</v>
      </c>
      <c r="AD81" s="48"/>
      <c r="AE81" s="51" t="s">
        <v>2</v>
      </c>
      <c r="AF81" s="48"/>
      <c r="AG81" s="48"/>
      <c r="AH81" s="216">
        <v>33696</v>
      </c>
      <c r="AI81" s="48" t="s">
        <v>2</v>
      </c>
      <c r="AJ81" s="278"/>
      <c r="AK81" s="279"/>
      <c r="AL81" s="48" t="s">
        <v>775</v>
      </c>
      <c r="AM81" s="48" t="s">
        <v>68</v>
      </c>
      <c r="AN81" s="48" t="s">
        <v>89</v>
      </c>
      <c r="AO81" s="281">
        <v>23908</v>
      </c>
      <c r="AP81" s="221" t="s">
        <v>2367</v>
      </c>
      <c r="AQ81" s="316" t="s">
        <v>2351</v>
      </c>
      <c r="AR81" s="316" t="s">
        <v>2</v>
      </c>
      <c r="AS81" s="316" t="s">
        <v>414</v>
      </c>
      <c r="AT81" s="316" t="s">
        <v>2559</v>
      </c>
      <c r="AU81" s="316" t="s">
        <v>2</v>
      </c>
      <c r="AV81" s="97" t="s">
        <v>1249</v>
      </c>
    </row>
    <row r="82" spans="2:48" ht="15" customHeight="1">
      <c r="B82" s="280" t="str">
        <f t="shared" si="8"/>
        <v>x</v>
      </c>
      <c r="D82" s="272">
        <v>30691</v>
      </c>
      <c r="E82" s="312">
        <v>882221</v>
      </c>
      <c r="F82" s="47">
        <v>17142</v>
      </c>
      <c r="G82" s="48" t="s">
        <v>230</v>
      </c>
      <c r="H82" s="314" t="s">
        <v>420</v>
      </c>
      <c r="I82" s="48" t="s">
        <v>4</v>
      </c>
      <c r="J82" s="48" t="s">
        <v>398</v>
      </c>
      <c r="K82" s="275">
        <v>0.65277777777777779</v>
      </c>
      <c r="L82" s="275">
        <v>0.91666666666666663</v>
      </c>
      <c r="M82" s="275">
        <v>0.26388888888888884</v>
      </c>
      <c r="N82" s="275">
        <v>0.72222222222222221</v>
      </c>
      <c r="O82" s="275">
        <v>0.79166666666666663</v>
      </c>
      <c r="P82" s="275">
        <v>0.84722222222222221</v>
      </c>
      <c r="Q82" s="50">
        <v>42131</v>
      </c>
      <c r="R82" s="245" t="str">
        <f t="shared" ca="1" si="6"/>
        <v>W4+</v>
      </c>
      <c r="S82" s="50">
        <v>42156</v>
      </c>
      <c r="T82" s="245">
        <f t="shared" ca="1" si="7"/>
        <v>564</v>
      </c>
      <c r="U82" s="48" t="s">
        <v>2218</v>
      </c>
      <c r="V82" s="50">
        <v>42566</v>
      </c>
      <c r="W82" s="50">
        <v>42566</v>
      </c>
      <c r="X82" s="50" t="s">
        <v>2</v>
      </c>
      <c r="Y82" s="48" t="s">
        <v>2</v>
      </c>
      <c r="Z82" s="48" t="s">
        <v>2</v>
      </c>
      <c r="AA82" s="48" t="s">
        <v>2</v>
      </c>
      <c r="AB82" s="50" t="s">
        <v>2</v>
      </c>
      <c r="AC82" s="48" t="s">
        <v>2889</v>
      </c>
      <c r="AD82" s="48" t="s">
        <v>2</v>
      </c>
      <c r="AE82" s="277" t="s">
        <v>2</v>
      </c>
      <c r="AF82" s="48" t="s">
        <v>2</v>
      </c>
      <c r="AG82" s="48" t="s">
        <v>2</v>
      </c>
      <c r="AH82" s="216">
        <v>35068</v>
      </c>
      <c r="AI82" s="48" t="s">
        <v>2</v>
      </c>
      <c r="AJ82" s="153" t="s">
        <v>2</v>
      </c>
      <c r="AK82" s="279" t="s">
        <v>2</v>
      </c>
      <c r="AL82" s="48" t="s">
        <v>775</v>
      </c>
      <c r="AM82" s="48" t="s">
        <v>68</v>
      </c>
      <c r="AN82" s="48" t="s">
        <v>89</v>
      </c>
      <c r="AO82" s="242">
        <v>810336</v>
      </c>
      <c r="AP82" s="221" t="s">
        <v>914</v>
      </c>
      <c r="AQ82" s="152" t="s">
        <v>563</v>
      </c>
      <c r="AR82" s="152" t="s">
        <v>2</v>
      </c>
      <c r="AS82" s="152" t="s">
        <v>414</v>
      </c>
      <c r="AT82" s="152" t="s">
        <v>2562</v>
      </c>
      <c r="AU82" s="152" t="s">
        <v>2</v>
      </c>
      <c r="AV82" s="97" t="s">
        <v>1249</v>
      </c>
    </row>
    <row r="83" spans="2:48" ht="15" customHeight="1">
      <c r="B83" s="280" t="str">
        <f t="shared" si="8"/>
        <v/>
      </c>
      <c r="D83" s="272">
        <v>24018</v>
      </c>
      <c r="E83" s="312">
        <v>793223</v>
      </c>
      <c r="F83" s="47">
        <v>17175</v>
      </c>
      <c r="G83" s="48" t="s">
        <v>2705</v>
      </c>
      <c r="H83" s="314" t="s">
        <v>420</v>
      </c>
      <c r="I83" s="48" t="s">
        <v>4</v>
      </c>
      <c r="J83" s="48" t="s">
        <v>398</v>
      </c>
      <c r="K83" s="275">
        <v>0.65277777777777779</v>
      </c>
      <c r="L83" s="275">
        <v>0.91666666666666663</v>
      </c>
      <c r="M83" s="275">
        <v>0.26388888888888884</v>
      </c>
      <c r="N83" s="275">
        <v>0.72916666666666663</v>
      </c>
      <c r="O83" s="275">
        <v>0.79166666666666663</v>
      </c>
      <c r="P83" s="275">
        <v>0.85416666666666663</v>
      </c>
      <c r="Q83" s="50">
        <v>41289</v>
      </c>
      <c r="R83" s="245" t="str">
        <f t="shared" ca="1" si="6"/>
        <v>W4+</v>
      </c>
      <c r="S83" s="50">
        <v>41312</v>
      </c>
      <c r="T83" s="245">
        <f t="shared" ca="1" si="7"/>
        <v>1408</v>
      </c>
      <c r="U83" s="48" t="s">
        <v>2218</v>
      </c>
      <c r="V83" s="50">
        <v>42457</v>
      </c>
      <c r="W83" s="50">
        <v>42457</v>
      </c>
      <c r="X83" s="276" t="s">
        <v>2</v>
      </c>
      <c r="Y83" s="48" t="s">
        <v>2</v>
      </c>
      <c r="Z83" s="48" t="s">
        <v>2</v>
      </c>
      <c r="AA83" s="48" t="s">
        <v>2</v>
      </c>
      <c r="AB83" s="50" t="s">
        <v>2</v>
      </c>
      <c r="AC83" s="48" t="s">
        <v>2889</v>
      </c>
      <c r="AD83" s="48" t="s">
        <v>2</v>
      </c>
      <c r="AE83" s="51">
        <v>8372050</v>
      </c>
      <c r="AF83" s="48" t="s">
        <v>2</v>
      </c>
      <c r="AG83" s="48" t="s">
        <v>2</v>
      </c>
      <c r="AH83" s="216">
        <v>28646</v>
      </c>
      <c r="AI83" s="48" t="s">
        <v>2194</v>
      </c>
      <c r="AJ83" s="314" t="s">
        <v>2</v>
      </c>
      <c r="AK83" s="314" t="s">
        <v>2</v>
      </c>
      <c r="AL83" s="48" t="s">
        <v>775</v>
      </c>
      <c r="AM83" s="48" t="s">
        <v>68</v>
      </c>
      <c r="AN83" s="48" t="s">
        <v>89</v>
      </c>
      <c r="AO83" s="96">
        <v>810152</v>
      </c>
      <c r="AP83" s="215" t="s">
        <v>912</v>
      </c>
      <c r="AQ83" s="314" t="s">
        <v>561</v>
      </c>
      <c r="AR83" s="314" t="s">
        <v>2</v>
      </c>
      <c r="AS83" s="314" t="s">
        <v>414</v>
      </c>
      <c r="AT83" s="314" t="s">
        <v>2561</v>
      </c>
      <c r="AU83" s="314" t="s">
        <v>2</v>
      </c>
      <c r="AV83" s="97" t="s">
        <v>1249</v>
      </c>
    </row>
    <row r="84" spans="2:48" ht="15" customHeight="1">
      <c r="B84" s="280" t="e">
        <f>IF(Termed!B491="x","","x")</f>
        <v>#REF!</v>
      </c>
      <c r="D84" s="272">
        <v>22675</v>
      </c>
      <c r="E84" s="229">
        <v>776136</v>
      </c>
      <c r="F84" s="47">
        <v>12516</v>
      </c>
      <c r="G84" s="239" t="s">
        <v>261</v>
      </c>
      <c r="H84" s="314" t="s">
        <v>416</v>
      </c>
      <c r="I84" s="48" t="s">
        <v>4</v>
      </c>
      <c r="J84" s="48" t="s">
        <v>399</v>
      </c>
      <c r="K84" s="275">
        <v>0.35416666666666669</v>
      </c>
      <c r="L84" s="275">
        <v>0.72916666666666663</v>
      </c>
      <c r="M84" s="275">
        <v>0.375</v>
      </c>
      <c r="N84" s="275" t="s">
        <v>2</v>
      </c>
      <c r="O84" s="275">
        <v>0.5625</v>
      </c>
      <c r="P84" s="275" t="s">
        <v>2</v>
      </c>
      <c r="Q84" s="50">
        <v>41127</v>
      </c>
      <c r="R84" s="245" t="str">
        <f t="shared" ca="1" si="6"/>
        <v>W4+</v>
      </c>
      <c r="S84" s="50">
        <v>41150</v>
      </c>
      <c r="T84" s="245">
        <f t="shared" ca="1" si="7"/>
        <v>1570</v>
      </c>
      <c r="U84" s="239" t="s">
        <v>2221</v>
      </c>
      <c r="V84" s="241">
        <v>42458</v>
      </c>
      <c r="W84" s="241">
        <v>42461</v>
      </c>
      <c r="X84" s="276" t="s">
        <v>2</v>
      </c>
      <c r="Y84" s="239" t="s">
        <v>2</v>
      </c>
      <c r="Z84" s="239" t="s">
        <v>2</v>
      </c>
      <c r="AA84" s="239" t="s">
        <v>2</v>
      </c>
      <c r="AB84" s="241" t="s">
        <v>2</v>
      </c>
      <c r="AC84" s="239">
        <v>372</v>
      </c>
      <c r="AD84" s="239" t="s">
        <v>2</v>
      </c>
      <c r="AE84" s="277">
        <v>8223490</v>
      </c>
      <c r="AF84" s="239" t="s">
        <v>2</v>
      </c>
      <c r="AG84" s="239" t="s">
        <v>2</v>
      </c>
      <c r="AH84" s="216">
        <v>30456</v>
      </c>
      <c r="AI84" s="239" t="s">
        <v>2194</v>
      </c>
      <c r="AJ84" s="278" t="s">
        <v>2</v>
      </c>
      <c r="AK84" s="279" t="s">
        <v>2</v>
      </c>
      <c r="AL84" s="239" t="s">
        <v>775</v>
      </c>
      <c r="AM84" s="239" t="s">
        <v>68</v>
      </c>
      <c r="AN84" s="239" t="s">
        <v>89</v>
      </c>
      <c r="AO84" s="242" t="s">
        <v>2</v>
      </c>
      <c r="AP84" s="221" t="s">
        <v>944</v>
      </c>
      <c r="AQ84" s="316" t="s">
        <v>593</v>
      </c>
      <c r="AR84" s="316" t="s">
        <v>2</v>
      </c>
      <c r="AS84" s="316" t="s">
        <v>414</v>
      </c>
      <c r="AT84" s="316" t="s">
        <v>2565</v>
      </c>
      <c r="AU84" s="316" t="s">
        <v>1249</v>
      </c>
      <c r="AV84" s="97" t="s">
        <v>1249</v>
      </c>
    </row>
    <row r="85" spans="2:48" ht="15" customHeight="1">
      <c r="B85" s="280" t="e">
        <f t="shared" ref="B85:B107" si="9">IF(B84="x","","x")</f>
        <v>#REF!</v>
      </c>
      <c r="D85" s="272">
        <v>19976</v>
      </c>
      <c r="E85" s="229">
        <v>755847</v>
      </c>
      <c r="F85" s="47">
        <v>12746</v>
      </c>
      <c r="G85" s="239" t="s">
        <v>262</v>
      </c>
      <c r="H85" s="274" t="s">
        <v>411</v>
      </c>
      <c r="I85" s="274" t="s">
        <v>4</v>
      </c>
      <c r="J85" s="48" t="s">
        <v>399</v>
      </c>
      <c r="K85" s="275">
        <v>0.375</v>
      </c>
      <c r="L85" s="275">
        <v>0.75</v>
      </c>
      <c r="M85" s="275">
        <v>0.375</v>
      </c>
      <c r="N85" s="275" t="s">
        <v>2</v>
      </c>
      <c r="O85" s="275">
        <v>0.75</v>
      </c>
      <c r="P85" s="275" t="s">
        <v>2</v>
      </c>
      <c r="Q85" s="50">
        <v>40889</v>
      </c>
      <c r="R85" s="245" t="str">
        <f t="shared" ca="1" si="6"/>
        <v>W4+</v>
      </c>
      <c r="S85" s="50">
        <v>40912</v>
      </c>
      <c r="T85" s="245">
        <f t="shared" ca="1" si="7"/>
        <v>1808</v>
      </c>
      <c r="U85" s="239" t="s">
        <v>2221</v>
      </c>
      <c r="V85" s="241">
        <v>42587</v>
      </c>
      <c r="W85" s="241">
        <v>42590</v>
      </c>
      <c r="X85" s="276" t="s">
        <v>2</v>
      </c>
      <c r="Y85" s="239" t="s">
        <v>2</v>
      </c>
      <c r="Z85" s="239" t="s">
        <v>2</v>
      </c>
      <c r="AA85" s="239" t="s">
        <v>2</v>
      </c>
      <c r="AB85" s="241" t="s">
        <v>2</v>
      </c>
      <c r="AC85" s="239">
        <v>372</v>
      </c>
      <c r="AD85" s="239" t="s">
        <v>2</v>
      </c>
      <c r="AE85" s="277">
        <v>9406020</v>
      </c>
      <c r="AF85" s="239" t="s">
        <v>2</v>
      </c>
      <c r="AG85" s="239" t="s">
        <v>2</v>
      </c>
      <c r="AH85" s="216">
        <v>31755</v>
      </c>
      <c r="AI85" s="239" t="s">
        <v>2190</v>
      </c>
      <c r="AJ85" s="278" t="s">
        <v>2</v>
      </c>
      <c r="AK85" s="279" t="s">
        <v>2</v>
      </c>
      <c r="AL85" s="239" t="s">
        <v>775</v>
      </c>
      <c r="AM85" s="239" t="s">
        <v>68</v>
      </c>
      <c r="AN85" s="239" t="s">
        <v>89</v>
      </c>
      <c r="AO85" s="281" t="s">
        <v>2</v>
      </c>
      <c r="AP85" s="221" t="s">
        <v>945</v>
      </c>
      <c r="AQ85" s="152" t="s">
        <v>594</v>
      </c>
      <c r="AR85" s="152" t="s">
        <v>2</v>
      </c>
      <c r="AS85" s="152" t="s">
        <v>413</v>
      </c>
      <c r="AT85" s="152" t="s">
        <v>2573</v>
      </c>
      <c r="AU85" s="152" t="s">
        <v>1249</v>
      </c>
      <c r="AV85" s="97" t="s">
        <v>1249</v>
      </c>
    </row>
    <row r="86" spans="2:48" ht="15" customHeight="1">
      <c r="B86" s="280" t="e">
        <f t="shared" si="9"/>
        <v>#REF!</v>
      </c>
      <c r="D86" s="272">
        <v>23651</v>
      </c>
      <c r="E86" s="229">
        <v>790317</v>
      </c>
      <c r="F86" s="47">
        <v>12486</v>
      </c>
      <c r="G86" s="48" t="s">
        <v>2702</v>
      </c>
      <c r="H86" s="274" t="s">
        <v>418</v>
      </c>
      <c r="I86" s="48" t="s">
        <v>4</v>
      </c>
      <c r="J86" s="48" t="s">
        <v>399</v>
      </c>
      <c r="K86" s="275">
        <v>2.3333333333333335</v>
      </c>
      <c r="L86" s="275">
        <v>0.70833333333333337</v>
      </c>
      <c r="M86" s="275">
        <v>0.375</v>
      </c>
      <c r="N86" s="275" t="s">
        <v>2</v>
      </c>
      <c r="O86" s="275">
        <v>0.58333333333333337</v>
      </c>
      <c r="P86" s="275" t="s">
        <v>2</v>
      </c>
      <c r="Q86" s="50">
        <v>41253</v>
      </c>
      <c r="R86" s="245" t="str">
        <f t="shared" ca="1" si="6"/>
        <v>W4+</v>
      </c>
      <c r="S86" s="50">
        <v>41276</v>
      </c>
      <c r="T86" s="245">
        <f t="shared" ca="1" si="7"/>
        <v>1444</v>
      </c>
      <c r="U86" s="48" t="s">
        <v>2221</v>
      </c>
      <c r="V86" s="50">
        <v>42430</v>
      </c>
      <c r="W86" s="50">
        <v>42431</v>
      </c>
      <c r="X86" s="241" t="s">
        <v>2</v>
      </c>
      <c r="Y86" s="48" t="s">
        <v>2</v>
      </c>
      <c r="Z86" s="48" t="s">
        <v>2</v>
      </c>
      <c r="AA86" s="48" t="s">
        <v>2</v>
      </c>
      <c r="AB86" s="50" t="s">
        <v>2</v>
      </c>
      <c r="AC86" s="48">
        <v>372</v>
      </c>
      <c r="AD86" s="48"/>
      <c r="AE86" s="277">
        <v>4375070</v>
      </c>
      <c r="AF86" s="48"/>
      <c r="AG86" s="48"/>
      <c r="AH86" s="216">
        <v>33091</v>
      </c>
      <c r="AI86" s="48" t="s">
        <v>2188</v>
      </c>
      <c r="AJ86" s="278"/>
      <c r="AK86" s="279"/>
      <c r="AL86" s="48" t="s">
        <v>775</v>
      </c>
      <c r="AM86" s="48" t="s">
        <v>68</v>
      </c>
      <c r="AN86" s="48" t="s">
        <v>89</v>
      </c>
      <c r="AO86" s="281" t="s">
        <v>2</v>
      </c>
      <c r="AP86" s="221" t="s">
        <v>2249</v>
      </c>
      <c r="AQ86" s="316" t="s">
        <v>2250</v>
      </c>
      <c r="AR86" s="316" t="s">
        <v>2</v>
      </c>
      <c r="AS86" s="316" t="s">
        <v>414</v>
      </c>
      <c r="AT86" s="316" t="s">
        <v>2567</v>
      </c>
      <c r="AU86" s="316" t="s">
        <v>1249</v>
      </c>
      <c r="AV86" s="97" t="s">
        <v>1249</v>
      </c>
    </row>
    <row r="87" spans="2:48" ht="15" customHeight="1">
      <c r="B87" s="280" t="e">
        <f t="shared" si="9"/>
        <v>#REF!</v>
      </c>
      <c r="D87" s="272">
        <v>21437</v>
      </c>
      <c r="E87" s="315">
        <v>766108</v>
      </c>
      <c r="F87" s="313">
        <v>12316</v>
      </c>
      <c r="G87" s="314" t="s">
        <v>268</v>
      </c>
      <c r="H87" s="314" t="s">
        <v>420</v>
      </c>
      <c r="I87" s="314" t="s">
        <v>5</v>
      </c>
      <c r="J87" s="314" t="s">
        <v>399</v>
      </c>
      <c r="K87" s="275">
        <v>2.4583333333333335</v>
      </c>
      <c r="L87" s="275">
        <v>0.83333333333333326</v>
      </c>
      <c r="M87" s="275">
        <v>0.375</v>
      </c>
      <c r="N87" s="275" t="s">
        <v>2</v>
      </c>
      <c r="O87" s="275">
        <v>0.625</v>
      </c>
      <c r="P87" s="275" t="s">
        <v>2</v>
      </c>
      <c r="Q87" s="276">
        <v>41008</v>
      </c>
      <c r="R87" s="284" t="str">
        <f t="shared" ca="1" si="6"/>
        <v>W4+</v>
      </c>
      <c r="S87" s="276">
        <v>41031</v>
      </c>
      <c r="T87" s="284">
        <f t="shared" ca="1" si="7"/>
        <v>1689</v>
      </c>
      <c r="U87" s="314" t="s">
        <v>2221</v>
      </c>
      <c r="V87" s="276">
        <v>42709</v>
      </c>
      <c r="W87" s="276">
        <v>42738</v>
      </c>
      <c r="X87" s="276" t="s">
        <v>2</v>
      </c>
      <c r="Y87" s="314" t="s">
        <v>2</v>
      </c>
      <c r="Z87" s="314" t="s">
        <v>2</v>
      </c>
      <c r="AA87" s="314" t="s">
        <v>2</v>
      </c>
      <c r="AB87" s="276" t="s">
        <v>2</v>
      </c>
      <c r="AC87" s="314">
        <v>372</v>
      </c>
      <c r="AD87" s="314" t="s">
        <v>2</v>
      </c>
      <c r="AE87" s="277">
        <v>8577680</v>
      </c>
      <c r="AF87" s="314" t="s">
        <v>2</v>
      </c>
      <c r="AG87" s="314" t="s">
        <v>2</v>
      </c>
      <c r="AH87" s="216">
        <v>33269</v>
      </c>
      <c r="AI87" s="314" t="s">
        <v>2194</v>
      </c>
      <c r="AJ87" s="278" t="s">
        <v>2</v>
      </c>
      <c r="AK87" s="279" t="s">
        <v>2</v>
      </c>
      <c r="AL87" s="314" t="s">
        <v>775</v>
      </c>
      <c r="AM87" s="314" t="s">
        <v>68</v>
      </c>
      <c r="AN87" s="314" t="s">
        <v>89</v>
      </c>
      <c r="AO87" s="281" t="s">
        <v>2</v>
      </c>
      <c r="AP87" s="221" t="s">
        <v>950</v>
      </c>
      <c r="AQ87" s="316" t="s">
        <v>599</v>
      </c>
      <c r="AR87" s="316" t="s">
        <v>2</v>
      </c>
      <c r="AS87" s="316" t="s">
        <v>414</v>
      </c>
      <c r="AT87" s="316" t="s">
        <v>2571</v>
      </c>
      <c r="AU87" s="316" t="s">
        <v>1249</v>
      </c>
      <c r="AV87" s="282" t="s">
        <v>1249</v>
      </c>
    </row>
    <row r="88" spans="2:48" ht="15" customHeight="1">
      <c r="B88" s="280" t="e">
        <f t="shared" si="9"/>
        <v>#REF!</v>
      </c>
      <c r="D88" s="272">
        <v>17839</v>
      </c>
      <c r="E88" s="229">
        <v>732222</v>
      </c>
      <c r="F88" s="47">
        <v>12504</v>
      </c>
      <c r="G88" s="274" t="s">
        <v>266</v>
      </c>
      <c r="H88" s="314" t="s">
        <v>417</v>
      </c>
      <c r="I88" s="48" t="s">
        <v>4</v>
      </c>
      <c r="J88" s="48" t="s">
        <v>399</v>
      </c>
      <c r="K88" s="275">
        <v>2.5416666666666665</v>
      </c>
      <c r="L88" s="275">
        <v>0.91666666666666663</v>
      </c>
      <c r="M88" s="275">
        <v>0.375</v>
      </c>
      <c r="N88" s="275" t="s">
        <v>2</v>
      </c>
      <c r="O88" s="275">
        <v>0.75</v>
      </c>
      <c r="P88" s="275" t="s">
        <v>2</v>
      </c>
      <c r="Q88" s="50">
        <v>40711</v>
      </c>
      <c r="R88" s="245" t="str">
        <f t="shared" ca="1" si="6"/>
        <v>W4+</v>
      </c>
      <c r="S88" s="50">
        <v>40734</v>
      </c>
      <c r="T88" s="245">
        <f t="shared" ca="1" si="7"/>
        <v>1986</v>
      </c>
      <c r="U88" s="274" t="s">
        <v>2221</v>
      </c>
      <c r="V88" s="276">
        <v>42584</v>
      </c>
      <c r="W88" s="276">
        <v>42585</v>
      </c>
      <c r="X88" s="276" t="s">
        <v>2</v>
      </c>
      <c r="Y88" s="274" t="s">
        <v>2</v>
      </c>
      <c r="Z88" s="274" t="s">
        <v>2</v>
      </c>
      <c r="AA88" s="274" t="s">
        <v>2</v>
      </c>
      <c r="AB88" s="276" t="s">
        <v>2</v>
      </c>
      <c r="AC88" s="274">
        <v>372</v>
      </c>
      <c r="AD88" s="274" t="s">
        <v>2</v>
      </c>
      <c r="AE88" s="314">
        <v>5068030</v>
      </c>
      <c r="AF88" s="274" t="s">
        <v>2</v>
      </c>
      <c r="AG88" s="274" t="s">
        <v>2</v>
      </c>
      <c r="AH88" s="216">
        <v>32790</v>
      </c>
      <c r="AI88" s="274" t="s">
        <v>2191</v>
      </c>
      <c r="AJ88" s="314" t="s">
        <v>2</v>
      </c>
      <c r="AK88" s="314" t="s">
        <v>2</v>
      </c>
      <c r="AL88" s="274" t="s">
        <v>775</v>
      </c>
      <c r="AM88" s="274" t="s">
        <v>68</v>
      </c>
      <c r="AN88" s="274" t="s">
        <v>89</v>
      </c>
      <c r="AO88" s="96" t="s">
        <v>2</v>
      </c>
      <c r="AP88" s="221" t="s">
        <v>948</v>
      </c>
      <c r="AQ88" s="314" t="s">
        <v>598</v>
      </c>
      <c r="AR88" s="314" t="s">
        <v>2</v>
      </c>
      <c r="AS88" s="314" t="s">
        <v>414</v>
      </c>
      <c r="AT88" s="314" t="s">
        <v>2570</v>
      </c>
      <c r="AU88" s="314" t="s">
        <v>1249</v>
      </c>
      <c r="AV88" s="97" t="s">
        <v>1249</v>
      </c>
    </row>
    <row r="89" spans="2:48" ht="15" customHeight="1">
      <c r="B89" s="280" t="e">
        <f t="shared" si="9"/>
        <v>#REF!</v>
      </c>
      <c r="D89" s="272">
        <v>14405</v>
      </c>
      <c r="E89" s="229">
        <v>714240</v>
      </c>
      <c r="F89" s="47">
        <v>12682</v>
      </c>
      <c r="G89" s="239" t="s">
        <v>273</v>
      </c>
      <c r="H89" s="314" t="s">
        <v>413</v>
      </c>
      <c r="I89" s="48" t="s">
        <v>4</v>
      </c>
      <c r="J89" s="48" t="s">
        <v>400</v>
      </c>
      <c r="K89" s="275">
        <v>0.33333333333333331</v>
      </c>
      <c r="L89" s="275">
        <v>0.70833333333333337</v>
      </c>
      <c r="M89" s="275">
        <v>0.375</v>
      </c>
      <c r="N89" s="275" t="s">
        <v>2</v>
      </c>
      <c r="O89" s="275" t="s">
        <v>2</v>
      </c>
      <c r="P89" s="275" t="s">
        <v>2</v>
      </c>
      <c r="Q89" s="50">
        <v>40519</v>
      </c>
      <c r="R89" s="245" t="str">
        <f t="shared" ca="1" si="6"/>
        <v>W4+</v>
      </c>
      <c r="S89" s="50">
        <v>40542</v>
      </c>
      <c r="T89" s="245">
        <f t="shared" ca="1" si="7"/>
        <v>2178</v>
      </c>
      <c r="U89" s="239" t="s">
        <v>2223</v>
      </c>
      <c r="V89" s="241">
        <v>42674</v>
      </c>
      <c r="W89" s="241">
        <v>42672</v>
      </c>
      <c r="X89" s="276" t="s">
        <v>2</v>
      </c>
      <c r="Y89" s="239" t="s">
        <v>2</v>
      </c>
      <c r="Z89" s="239" t="s">
        <v>2</v>
      </c>
      <c r="AA89" s="239" t="s">
        <v>2</v>
      </c>
      <c r="AB89" s="241" t="s">
        <v>2</v>
      </c>
      <c r="AC89" s="239" t="s">
        <v>2</v>
      </c>
      <c r="AD89" s="239" t="s">
        <v>2</v>
      </c>
      <c r="AE89" s="51">
        <v>4252000</v>
      </c>
      <c r="AF89" s="239" t="s">
        <v>2</v>
      </c>
      <c r="AG89" s="239" t="s">
        <v>2</v>
      </c>
      <c r="AH89" s="216">
        <v>31628</v>
      </c>
      <c r="AI89" s="239" t="s">
        <v>2188</v>
      </c>
      <c r="AJ89" s="53" t="s">
        <v>2</v>
      </c>
      <c r="AK89" s="54" t="s">
        <v>2</v>
      </c>
      <c r="AL89" s="239" t="s">
        <v>775</v>
      </c>
      <c r="AM89" s="239" t="s">
        <v>68</v>
      </c>
      <c r="AN89" s="239" t="s">
        <v>89</v>
      </c>
      <c r="AO89" s="96" t="s">
        <v>2</v>
      </c>
      <c r="AP89" s="221" t="s">
        <v>953</v>
      </c>
      <c r="AQ89" s="152" t="s">
        <v>602</v>
      </c>
      <c r="AR89" s="152" t="s">
        <v>2</v>
      </c>
      <c r="AS89" s="152" t="s">
        <v>413</v>
      </c>
      <c r="AT89" s="152" t="s">
        <v>2575</v>
      </c>
      <c r="AU89" s="152" t="s">
        <v>1249</v>
      </c>
      <c r="AV89" s="97" t="s">
        <v>2</v>
      </c>
    </row>
    <row r="90" spans="2:48" ht="15" customHeight="1">
      <c r="B90" s="280" t="e">
        <f t="shared" si="9"/>
        <v>#REF!</v>
      </c>
      <c r="D90" s="272">
        <v>22933</v>
      </c>
      <c r="E90" s="229">
        <v>778931</v>
      </c>
      <c r="F90" s="47">
        <v>12740</v>
      </c>
      <c r="G90" s="48" t="s">
        <v>279</v>
      </c>
      <c r="H90" s="314" t="s">
        <v>413</v>
      </c>
      <c r="I90" s="314" t="s">
        <v>4</v>
      </c>
      <c r="J90" s="48" t="s">
        <v>400</v>
      </c>
      <c r="K90" s="275">
        <v>0.375</v>
      </c>
      <c r="L90" s="275">
        <v>0.75</v>
      </c>
      <c r="M90" s="275">
        <v>0.375</v>
      </c>
      <c r="N90" s="275" t="s">
        <v>2</v>
      </c>
      <c r="O90" s="275" t="s">
        <v>2</v>
      </c>
      <c r="P90" s="275" t="s">
        <v>2</v>
      </c>
      <c r="Q90" s="50">
        <v>41155</v>
      </c>
      <c r="R90" s="245" t="str">
        <f t="shared" ca="1" si="6"/>
        <v>W4+</v>
      </c>
      <c r="S90" s="50">
        <v>41178</v>
      </c>
      <c r="T90" s="245">
        <f t="shared" ca="1" si="7"/>
        <v>1542</v>
      </c>
      <c r="U90" s="48" t="s">
        <v>2222</v>
      </c>
      <c r="V90" s="50">
        <v>42345</v>
      </c>
      <c r="W90" s="50" t="s">
        <v>2</v>
      </c>
      <c r="X90" s="276" t="s">
        <v>2</v>
      </c>
      <c r="Y90" s="48" t="s">
        <v>2</v>
      </c>
      <c r="Z90" s="48" t="s">
        <v>2</v>
      </c>
      <c r="AA90" s="48" t="s">
        <v>2</v>
      </c>
      <c r="AB90" s="50" t="s">
        <v>2</v>
      </c>
      <c r="AC90" s="48" t="s">
        <v>2</v>
      </c>
      <c r="AD90" s="274" t="s">
        <v>2</v>
      </c>
      <c r="AE90" s="51">
        <v>8161380</v>
      </c>
      <c r="AF90" s="48" t="s">
        <v>2</v>
      </c>
      <c r="AG90" s="48" t="s">
        <v>2</v>
      </c>
      <c r="AH90" s="216">
        <v>33533</v>
      </c>
      <c r="AI90" s="48" t="s">
        <v>2194</v>
      </c>
      <c r="AJ90" s="278" t="s">
        <v>2</v>
      </c>
      <c r="AK90" s="279" t="s">
        <v>2</v>
      </c>
      <c r="AL90" s="274" t="s">
        <v>775</v>
      </c>
      <c r="AM90" s="274" t="s">
        <v>68</v>
      </c>
      <c r="AN90" s="274" t="s">
        <v>89</v>
      </c>
      <c r="AO90" s="96" t="s">
        <v>2</v>
      </c>
      <c r="AP90" s="221" t="s">
        <v>959</v>
      </c>
      <c r="AQ90" s="152" t="s">
        <v>608</v>
      </c>
      <c r="AR90" s="152" t="s">
        <v>2</v>
      </c>
      <c r="AS90" s="152" t="s">
        <v>413</v>
      </c>
      <c r="AT90" s="152" t="s">
        <v>2582</v>
      </c>
      <c r="AU90" s="152" t="s">
        <v>1249</v>
      </c>
      <c r="AV90" s="97" t="s">
        <v>2</v>
      </c>
    </row>
    <row r="91" spans="2:48" ht="15" customHeight="1">
      <c r="B91" s="280" t="e">
        <f t="shared" si="9"/>
        <v>#REF!</v>
      </c>
      <c r="D91" s="272">
        <v>12768</v>
      </c>
      <c r="E91" s="229">
        <v>697079</v>
      </c>
      <c r="F91" s="47">
        <v>12681</v>
      </c>
      <c r="G91" s="48" t="s">
        <v>272</v>
      </c>
      <c r="H91" s="314" t="s">
        <v>413</v>
      </c>
      <c r="I91" s="48" t="s">
        <v>4</v>
      </c>
      <c r="J91" s="48" t="s">
        <v>400</v>
      </c>
      <c r="K91" s="275">
        <v>0.375</v>
      </c>
      <c r="L91" s="275">
        <v>0.75</v>
      </c>
      <c r="M91" s="275">
        <v>0.375</v>
      </c>
      <c r="N91" s="275" t="s">
        <v>2</v>
      </c>
      <c r="O91" s="275" t="s">
        <v>2</v>
      </c>
      <c r="P91" s="275" t="s">
        <v>2</v>
      </c>
      <c r="Q91" s="50">
        <v>40308</v>
      </c>
      <c r="R91" s="245" t="str">
        <f t="shared" ca="1" si="6"/>
        <v>W4+</v>
      </c>
      <c r="S91" s="50">
        <v>40339</v>
      </c>
      <c r="T91" s="245">
        <f t="shared" ca="1" si="7"/>
        <v>2381</v>
      </c>
      <c r="U91" s="48" t="s">
        <v>2222</v>
      </c>
      <c r="V91" s="50" t="s">
        <v>2</v>
      </c>
      <c r="W91" s="50" t="s">
        <v>2</v>
      </c>
      <c r="X91" s="276" t="s">
        <v>2</v>
      </c>
      <c r="Y91" s="48" t="s">
        <v>2</v>
      </c>
      <c r="Z91" s="48" t="s">
        <v>2</v>
      </c>
      <c r="AA91" s="48" t="s">
        <v>2</v>
      </c>
      <c r="AB91" s="50" t="s">
        <v>2</v>
      </c>
      <c r="AC91" s="48" t="s">
        <v>2</v>
      </c>
      <c r="AD91" s="48" t="s">
        <v>2</v>
      </c>
      <c r="AE91" s="51">
        <v>8506330</v>
      </c>
      <c r="AF91" s="48" t="s">
        <v>2</v>
      </c>
      <c r="AG91" s="48" t="s">
        <v>2</v>
      </c>
      <c r="AH91" s="216">
        <v>32535</v>
      </c>
      <c r="AI91" s="48" t="s">
        <v>2194</v>
      </c>
      <c r="AJ91" s="53" t="s">
        <v>2</v>
      </c>
      <c r="AK91" s="54" t="s">
        <v>2</v>
      </c>
      <c r="AL91" s="48" t="s">
        <v>775</v>
      </c>
      <c r="AM91" s="48" t="s">
        <v>68</v>
      </c>
      <c r="AN91" s="48" t="s">
        <v>89</v>
      </c>
      <c r="AO91" s="96" t="s">
        <v>2</v>
      </c>
      <c r="AP91" s="221" t="s">
        <v>952</v>
      </c>
      <c r="AQ91" s="152" t="s">
        <v>601</v>
      </c>
      <c r="AR91" s="152" t="s">
        <v>2</v>
      </c>
      <c r="AS91" s="152" t="s">
        <v>413</v>
      </c>
      <c r="AT91" s="152" t="s">
        <v>2574</v>
      </c>
      <c r="AU91" s="152" t="s">
        <v>1249</v>
      </c>
      <c r="AV91" s="97" t="s">
        <v>2</v>
      </c>
    </row>
    <row r="92" spans="2:48" ht="15" customHeight="1">
      <c r="B92" s="280" t="e">
        <f t="shared" si="9"/>
        <v>#REF!</v>
      </c>
      <c r="D92" s="272">
        <v>11057</v>
      </c>
      <c r="E92" s="229">
        <v>688809</v>
      </c>
      <c r="F92" s="47">
        <v>12582</v>
      </c>
      <c r="G92" s="48" t="s">
        <v>133</v>
      </c>
      <c r="H92" s="314" t="s">
        <v>411</v>
      </c>
      <c r="I92" s="48" t="s">
        <v>4</v>
      </c>
      <c r="J92" s="48" t="s">
        <v>400</v>
      </c>
      <c r="K92" s="275">
        <v>0.375</v>
      </c>
      <c r="L92" s="275">
        <v>0.75</v>
      </c>
      <c r="M92" s="275">
        <v>0.375</v>
      </c>
      <c r="N92" s="275" t="s">
        <v>2</v>
      </c>
      <c r="O92" s="275" t="s">
        <v>2</v>
      </c>
      <c r="P92" s="275" t="s">
        <v>2</v>
      </c>
      <c r="Q92" s="50">
        <v>39995</v>
      </c>
      <c r="R92" s="245" t="str">
        <f t="shared" ca="1" si="6"/>
        <v>W4+</v>
      </c>
      <c r="S92" s="50">
        <v>40018</v>
      </c>
      <c r="T92" s="245">
        <f t="shared" ca="1" si="7"/>
        <v>2702</v>
      </c>
      <c r="U92" s="48" t="s">
        <v>2222</v>
      </c>
      <c r="V92" s="50">
        <v>42408</v>
      </c>
      <c r="W92" s="50">
        <v>42410</v>
      </c>
      <c r="X92" s="276" t="s">
        <v>2</v>
      </c>
      <c r="Y92" s="48" t="s">
        <v>2</v>
      </c>
      <c r="Z92" s="239" t="s">
        <v>394</v>
      </c>
      <c r="AA92" s="239" t="s">
        <v>400</v>
      </c>
      <c r="AB92" s="50">
        <v>42326</v>
      </c>
      <c r="AC92" s="48" t="s">
        <v>2</v>
      </c>
      <c r="AD92" s="48" t="s">
        <v>2</v>
      </c>
      <c r="AE92" s="51">
        <v>2975060</v>
      </c>
      <c r="AF92" s="48" t="s">
        <v>2</v>
      </c>
      <c r="AG92" s="239" t="s">
        <v>2</v>
      </c>
      <c r="AH92" s="216">
        <v>33411</v>
      </c>
      <c r="AI92" s="239" t="s">
        <v>2189</v>
      </c>
      <c r="AJ92" s="278" t="s">
        <v>2</v>
      </c>
      <c r="AK92" s="54" t="s">
        <v>2</v>
      </c>
      <c r="AL92" s="48" t="s">
        <v>775</v>
      </c>
      <c r="AM92" s="48" t="s">
        <v>68</v>
      </c>
      <c r="AN92" s="48" t="s">
        <v>89</v>
      </c>
      <c r="AO92" s="96" t="s">
        <v>2</v>
      </c>
      <c r="AP92" s="221" t="s">
        <v>820</v>
      </c>
      <c r="AQ92" s="152" t="s">
        <v>468</v>
      </c>
      <c r="AR92" s="152" t="s">
        <v>2</v>
      </c>
      <c r="AS92" s="152" t="s">
        <v>413</v>
      </c>
      <c r="AT92" s="152" t="s">
        <v>2576</v>
      </c>
      <c r="AU92" s="152" t="s">
        <v>1249</v>
      </c>
      <c r="AV92" s="97" t="s">
        <v>2</v>
      </c>
    </row>
    <row r="93" spans="2:48" ht="15" customHeight="1">
      <c r="B93" s="280" t="e">
        <f t="shared" si="9"/>
        <v>#REF!</v>
      </c>
      <c r="D93" s="272">
        <v>25394</v>
      </c>
      <c r="E93" s="229">
        <v>804545</v>
      </c>
      <c r="F93" s="238">
        <v>12701</v>
      </c>
      <c r="G93" s="239" t="s">
        <v>274</v>
      </c>
      <c r="H93" s="314" t="s">
        <v>413</v>
      </c>
      <c r="I93" s="239" t="s">
        <v>4</v>
      </c>
      <c r="J93" s="239" t="s">
        <v>400</v>
      </c>
      <c r="K93" s="275">
        <v>0.39583333333333331</v>
      </c>
      <c r="L93" s="275">
        <v>0.77083333333333337</v>
      </c>
      <c r="M93" s="275">
        <v>0.375</v>
      </c>
      <c r="N93" s="275" t="s">
        <v>2</v>
      </c>
      <c r="O93" s="275" t="s">
        <v>2</v>
      </c>
      <c r="P93" s="275" t="s">
        <v>2</v>
      </c>
      <c r="Q93" s="241">
        <v>41402</v>
      </c>
      <c r="R93" s="245" t="str">
        <f t="shared" ca="1" si="6"/>
        <v>W4+</v>
      </c>
      <c r="S93" s="241">
        <v>41425</v>
      </c>
      <c r="T93" s="245">
        <f t="shared" ca="1" si="7"/>
        <v>1295</v>
      </c>
      <c r="U93" s="239" t="s">
        <v>2223</v>
      </c>
      <c r="V93" s="241">
        <v>42702</v>
      </c>
      <c r="W93" s="241">
        <v>42700</v>
      </c>
      <c r="X93" s="227" t="s">
        <v>2</v>
      </c>
      <c r="Y93" s="239" t="s">
        <v>2</v>
      </c>
      <c r="Z93" s="239" t="s">
        <v>2</v>
      </c>
      <c r="AA93" s="239" t="s">
        <v>2</v>
      </c>
      <c r="AB93" s="241" t="s">
        <v>2</v>
      </c>
      <c r="AC93" s="239" t="s">
        <v>2</v>
      </c>
      <c r="AD93" s="239" t="s">
        <v>2</v>
      </c>
      <c r="AE93" s="51">
        <v>4476125</v>
      </c>
      <c r="AF93" s="239" t="s">
        <v>2</v>
      </c>
      <c r="AG93" s="239" t="s">
        <v>2</v>
      </c>
      <c r="AH93" s="216">
        <v>32953</v>
      </c>
      <c r="AI93" s="239" t="s">
        <v>2188</v>
      </c>
      <c r="AJ93" s="53" t="s">
        <v>2</v>
      </c>
      <c r="AK93" s="54" t="s">
        <v>2</v>
      </c>
      <c r="AL93" s="239" t="s">
        <v>775</v>
      </c>
      <c r="AM93" s="239" t="s">
        <v>68</v>
      </c>
      <c r="AN93" s="239" t="s">
        <v>89</v>
      </c>
      <c r="AO93" s="96" t="s">
        <v>2</v>
      </c>
      <c r="AP93" s="221" t="s">
        <v>954</v>
      </c>
      <c r="AQ93" s="152" t="s">
        <v>603</v>
      </c>
      <c r="AR93" s="152" t="s">
        <v>2</v>
      </c>
      <c r="AS93" s="152" t="s">
        <v>413</v>
      </c>
      <c r="AT93" s="152" t="s">
        <v>2577</v>
      </c>
      <c r="AU93" s="152" t="s">
        <v>1249</v>
      </c>
      <c r="AV93" s="243" t="s">
        <v>2</v>
      </c>
    </row>
    <row r="94" spans="2:48" ht="15" customHeight="1">
      <c r="B94" s="280" t="e">
        <f t="shared" si="9"/>
        <v>#REF!</v>
      </c>
      <c r="D94" s="272">
        <v>14182</v>
      </c>
      <c r="E94" s="229">
        <v>712772</v>
      </c>
      <c r="F94" s="238">
        <v>12799</v>
      </c>
      <c r="G94" s="239" t="s">
        <v>276</v>
      </c>
      <c r="H94" s="274" t="s">
        <v>413</v>
      </c>
      <c r="I94" s="239" t="s">
        <v>4</v>
      </c>
      <c r="J94" s="239" t="s">
        <v>400</v>
      </c>
      <c r="K94" s="275">
        <v>0.39583333333333331</v>
      </c>
      <c r="L94" s="275">
        <v>0.77083333333333337</v>
      </c>
      <c r="M94" s="275">
        <v>0.375</v>
      </c>
      <c r="N94" s="275" t="s">
        <v>2</v>
      </c>
      <c r="O94" s="275" t="s">
        <v>2</v>
      </c>
      <c r="P94" s="275" t="s">
        <v>2</v>
      </c>
      <c r="Q94" s="241">
        <v>40500</v>
      </c>
      <c r="R94" s="245" t="str">
        <f t="shared" ca="1" si="6"/>
        <v>W4+</v>
      </c>
      <c r="S94" s="241">
        <v>40523</v>
      </c>
      <c r="T94" s="245">
        <f t="shared" ca="1" si="7"/>
        <v>2197</v>
      </c>
      <c r="U94" s="239" t="s">
        <v>2223</v>
      </c>
      <c r="V94" s="241">
        <v>42646</v>
      </c>
      <c r="W94" s="241">
        <v>42637</v>
      </c>
      <c r="X94" s="241" t="s">
        <v>2</v>
      </c>
      <c r="Y94" s="239" t="s">
        <v>2</v>
      </c>
      <c r="Z94" s="239" t="s">
        <v>2</v>
      </c>
      <c r="AA94" s="239" t="s">
        <v>2</v>
      </c>
      <c r="AB94" s="241" t="s">
        <v>2</v>
      </c>
      <c r="AC94" s="239" t="s">
        <v>2</v>
      </c>
      <c r="AD94" s="239" t="s">
        <v>2</v>
      </c>
      <c r="AE94" s="277">
        <v>1312010</v>
      </c>
      <c r="AF94" s="239" t="s">
        <v>2</v>
      </c>
      <c r="AG94" s="239" t="s">
        <v>2</v>
      </c>
      <c r="AH94" s="216">
        <v>32929</v>
      </c>
      <c r="AI94" s="239" t="s">
        <v>2192</v>
      </c>
      <c r="AJ94" s="278" t="s">
        <v>2</v>
      </c>
      <c r="AK94" s="279" t="s">
        <v>2</v>
      </c>
      <c r="AL94" s="239" t="s">
        <v>775</v>
      </c>
      <c r="AM94" s="239" t="s">
        <v>68</v>
      </c>
      <c r="AN94" s="239" t="s">
        <v>89</v>
      </c>
      <c r="AO94" s="242" t="s">
        <v>2</v>
      </c>
      <c r="AP94" s="221" t="s">
        <v>956</v>
      </c>
      <c r="AQ94" s="152" t="s">
        <v>605</v>
      </c>
      <c r="AR94" s="152" t="s">
        <v>2</v>
      </c>
      <c r="AS94" s="152" t="s">
        <v>413</v>
      </c>
      <c r="AT94" s="152" t="s">
        <v>2579</v>
      </c>
      <c r="AU94" s="152" t="s">
        <v>1249</v>
      </c>
      <c r="AV94" s="243" t="s">
        <v>2</v>
      </c>
    </row>
    <row r="95" spans="2:48" ht="15" customHeight="1">
      <c r="B95" s="280" t="e">
        <f t="shared" si="9"/>
        <v>#REF!</v>
      </c>
      <c r="D95" s="272">
        <v>10930</v>
      </c>
      <c r="E95" s="229">
        <v>689274</v>
      </c>
      <c r="F95" s="238">
        <v>12730</v>
      </c>
      <c r="G95" s="274" t="s">
        <v>278</v>
      </c>
      <c r="H95" s="274" t="s">
        <v>413</v>
      </c>
      <c r="I95" s="239" t="s">
        <v>4</v>
      </c>
      <c r="J95" s="239" t="s">
        <v>400</v>
      </c>
      <c r="K95" s="275">
        <v>0.39583333333333331</v>
      </c>
      <c r="L95" s="275">
        <v>0.77083333333333337</v>
      </c>
      <c r="M95" s="275">
        <v>0.375</v>
      </c>
      <c r="N95" s="275" t="s">
        <v>2</v>
      </c>
      <c r="O95" s="275" t="s">
        <v>2</v>
      </c>
      <c r="P95" s="275" t="s">
        <v>2</v>
      </c>
      <c r="Q95" s="241">
        <v>39967</v>
      </c>
      <c r="R95" s="245" t="str">
        <f t="shared" ca="1" si="6"/>
        <v>W4+</v>
      </c>
      <c r="S95" s="241">
        <v>39990</v>
      </c>
      <c r="T95" s="245">
        <f t="shared" ca="1" si="7"/>
        <v>2730</v>
      </c>
      <c r="U95" s="274" t="s">
        <v>2222</v>
      </c>
      <c r="V95" s="276">
        <v>42402</v>
      </c>
      <c r="W95" s="276" t="s">
        <v>2</v>
      </c>
      <c r="X95" s="276" t="s">
        <v>2</v>
      </c>
      <c r="Y95" s="274" t="s">
        <v>2</v>
      </c>
      <c r="Z95" s="274" t="s">
        <v>2</v>
      </c>
      <c r="AA95" s="274" t="s">
        <v>2</v>
      </c>
      <c r="AB95" s="276" t="s">
        <v>2</v>
      </c>
      <c r="AC95" s="274" t="s">
        <v>2</v>
      </c>
      <c r="AD95" s="274" t="s">
        <v>2</v>
      </c>
      <c r="AE95" s="277">
        <v>9380020</v>
      </c>
      <c r="AF95" s="274" t="s">
        <v>2</v>
      </c>
      <c r="AG95" s="274" t="s">
        <v>2</v>
      </c>
      <c r="AH95" s="216">
        <v>28358</v>
      </c>
      <c r="AI95" s="274" t="s">
        <v>2190</v>
      </c>
      <c r="AJ95" s="278" t="s">
        <v>2</v>
      </c>
      <c r="AK95" s="279" t="s">
        <v>2</v>
      </c>
      <c r="AL95" s="274" t="s">
        <v>775</v>
      </c>
      <c r="AM95" s="274" t="s">
        <v>68</v>
      </c>
      <c r="AN95" s="274" t="s">
        <v>89</v>
      </c>
      <c r="AO95" s="242" t="s">
        <v>2</v>
      </c>
      <c r="AP95" s="221" t="s">
        <v>958</v>
      </c>
      <c r="AQ95" s="152" t="s">
        <v>607</v>
      </c>
      <c r="AR95" s="152" t="s">
        <v>2</v>
      </c>
      <c r="AS95" s="152" t="s">
        <v>413</v>
      </c>
      <c r="AT95" s="152" t="s">
        <v>2581</v>
      </c>
      <c r="AU95" s="152" t="s">
        <v>1249</v>
      </c>
      <c r="AV95" s="243" t="s">
        <v>2</v>
      </c>
    </row>
    <row r="96" spans="2:48" ht="15" customHeight="1">
      <c r="B96" s="280" t="e">
        <f t="shared" si="9"/>
        <v>#REF!</v>
      </c>
      <c r="D96" s="272">
        <v>17901</v>
      </c>
      <c r="E96" s="229">
        <v>732385</v>
      </c>
      <c r="F96" s="238">
        <v>12737</v>
      </c>
      <c r="G96" s="239" t="s">
        <v>275</v>
      </c>
      <c r="H96" s="274" t="s">
        <v>413</v>
      </c>
      <c r="I96" s="239" t="s">
        <v>4</v>
      </c>
      <c r="J96" s="239" t="s">
        <v>400</v>
      </c>
      <c r="K96" s="275">
        <v>0.41666666666666669</v>
      </c>
      <c r="L96" s="275">
        <v>0.79166666666666663</v>
      </c>
      <c r="M96" s="275">
        <v>0.375</v>
      </c>
      <c r="N96" s="275" t="s">
        <v>2</v>
      </c>
      <c r="O96" s="275" t="s">
        <v>2</v>
      </c>
      <c r="P96" s="275" t="s">
        <v>2</v>
      </c>
      <c r="Q96" s="241">
        <v>40711</v>
      </c>
      <c r="R96" s="245" t="str">
        <f t="shared" ca="1" si="6"/>
        <v>W4+</v>
      </c>
      <c r="S96" s="241">
        <v>40734</v>
      </c>
      <c r="T96" s="245">
        <f t="shared" ca="1" si="7"/>
        <v>1986</v>
      </c>
      <c r="U96" s="239" t="s">
        <v>2223</v>
      </c>
      <c r="V96" s="241">
        <v>42376</v>
      </c>
      <c r="W96" s="241" t="s">
        <v>2</v>
      </c>
      <c r="X96" s="241" t="s">
        <v>2</v>
      </c>
      <c r="Y96" s="239" t="s">
        <v>2</v>
      </c>
      <c r="Z96" s="239" t="s">
        <v>2</v>
      </c>
      <c r="AA96" s="239" t="s">
        <v>2</v>
      </c>
      <c r="AB96" s="241" t="s">
        <v>2</v>
      </c>
      <c r="AC96" s="239" t="s">
        <v>2</v>
      </c>
      <c r="AD96" s="239" t="s">
        <v>2</v>
      </c>
      <c r="AE96" s="277">
        <v>1230000</v>
      </c>
      <c r="AF96" s="239" t="s">
        <v>2</v>
      </c>
      <c r="AG96" s="239" t="s">
        <v>2</v>
      </c>
      <c r="AH96" s="216">
        <v>32881</v>
      </c>
      <c r="AI96" s="239" t="s">
        <v>2192</v>
      </c>
      <c r="AJ96" s="278" t="s">
        <v>2</v>
      </c>
      <c r="AK96" s="279" t="s">
        <v>2</v>
      </c>
      <c r="AL96" s="239" t="s">
        <v>775</v>
      </c>
      <c r="AM96" s="239" t="s">
        <v>68</v>
      </c>
      <c r="AN96" s="239" t="s">
        <v>89</v>
      </c>
      <c r="AO96" s="242" t="s">
        <v>2</v>
      </c>
      <c r="AP96" s="221" t="s">
        <v>955</v>
      </c>
      <c r="AQ96" s="152" t="s">
        <v>604</v>
      </c>
      <c r="AR96" s="152" t="s">
        <v>2</v>
      </c>
      <c r="AS96" s="152" t="s">
        <v>413</v>
      </c>
      <c r="AT96" s="152" t="s">
        <v>2578</v>
      </c>
      <c r="AU96" s="152" t="s">
        <v>1249</v>
      </c>
      <c r="AV96" s="243" t="s">
        <v>2</v>
      </c>
    </row>
    <row r="97" spans="2:48" ht="15" customHeight="1">
      <c r="B97" s="280" t="e">
        <f t="shared" si="9"/>
        <v>#REF!</v>
      </c>
      <c r="D97" s="272">
        <v>11680</v>
      </c>
      <c r="E97" s="229">
        <v>689074</v>
      </c>
      <c r="F97" s="238">
        <v>12702</v>
      </c>
      <c r="G97" s="239" t="s">
        <v>277</v>
      </c>
      <c r="H97" s="274" t="s">
        <v>413</v>
      </c>
      <c r="I97" s="239" t="s">
        <v>4</v>
      </c>
      <c r="J97" s="239" t="s">
        <v>400</v>
      </c>
      <c r="K97" s="275">
        <v>0.41666666666666669</v>
      </c>
      <c r="L97" s="275">
        <v>0.79166666666666663</v>
      </c>
      <c r="M97" s="275">
        <v>0.375</v>
      </c>
      <c r="N97" s="275" t="s">
        <v>2</v>
      </c>
      <c r="O97" s="275" t="s">
        <v>2</v>
      </c>
      <c r="P97" s="275" t="s">
        <v>2</v>
      </c>
      <c r="Q97" s="241">
        <v>40121</v>
      </c>
      <c r="R97" s="245" t="str">
        <f t="shared" ca="1" si="6"/>
        <v>W4+</v>
      </c>
      <c r="S97" s="241">
        <v>40144</v>
      </c>
      <c r="T97" s="245">
        <f t="shared" ca="1" si="7"/>
        <v>2576</v>
      </c>
      <c r="U97" s="239" t="s">
        <v>2222</v>
      </c>
      <c r="V97" s="241" t="s">
        <v>2</v>
      </c>
      <c r="W97" s="241">
        <v>42541</v>
      </c>
      <c r="X97" s="227">
        <v>42571</v>
      </c>
      <c r="Y97" s="239" t="s">
        <v>2</v>
      </c>
      <c r="Z97" s="239" t="s">
        <v>2</v>
      </c>
      <c r="AA97" s="239" t="s">
        <v>2</v>
      </c>
      <c r="AB97" s="241" t="s">
        <v>2</v>
      </c>
      <c r="AC97" s="239" t="s">
        <v>2</v>
      </c>
      <c r="AD97" s="239" t="s">
        <v>2</v>
      </c>
      <c r="AE97" s="277">
        <v>9520440</v>
      </c>
      <c r="AF97" s="239" t="s">
        <v>2</v>
      </c>
      <c r="AG97" s="239" t="s">
        <v>2</v>
      </c>
      <c r="AH97" s="216">
        <v>31817</v>
      </c>
      <c r="AI97" s="239" t="s">
        <v>2190</v>
      </c>
      <c r="AJ97" s="278" t="s">
        <v>2</v>
      </c>
      <c r="AK97" s="279" t="s">
        <v>2</v>
      </c>
      <c r="AL97" s="239" t="s">
        <v>775</v>
      </c>
      <c r="AM97" s="239" t="s">
        <v>68</v>
      </c>
      <c r="AN97" s="239" t="s">
        <v>89</v>
      </c>
      <c r="AO97" s="242" t="s">
        <v>2</v>
      </c>
      <c r="AP97" s="221" t="s">
        <v>957</v>
      </c>
      <c r="AQ97" s="316" t="s">
        <v>606</v>
      </c>
      <c r="AR97" s="316" t="s">
        <v>2</v>
      </c>
      <c r="AS97" s="316" t="s">
        <v>413</v>
      </c>
      <c r="AT97" s="316" t="s">
        <v>2580</v>
      </c>
      <c r="AU97" s="316" t="s">
        <v>1249</v>
      </c>
      <c r="AV97" s="243" t="s">
        <v>2</v>
      </c>
    </row>
    <row r="98" spans="2:48" ht="15" customHeight="1">
      <c r="B98" s="280" t="e">
        <f t="shared" si="9"/>
        <v>#REF!</v>
      </c>
      <c r="D98" s="272">
        <v>15720</v>
      </c>
      <c r="E98" s="229">
        <v>721306</v>
      </c>
      <c r="F98" s="238">
        <v>12379</v>
      </c>
      <c r="G98" s="274" t="s">
        <v>286</v>
      </c>
      <c r="H98" s="274" t="s">
        <v>424</v>
      </c>
      <c r="I98" s="314" t="s">
        <v>4</v>
      </c>
      <c r="J98" s="239" t="s">
        <v>401</v>
      </c>
      <c r="K98" s="275">
        <v>0.33333333333333331</v>
      </c>
      <c r="L98" s="275">
        <v>0.70833333333333337</v>
      </c>
      <c r="M98" s="275">
        <v>0.375</v>
      </c>
      <c r="N98" s="275" t="s">
        <v>2</v>
      </c>
      <c r="O98" s="275" t="s">
        <v>2</v>
      </c>
      <c r="P98" s="275" t="s">
        <v>2</v>
      </c>
      <c r="Q98" s="241">
        <v>40611</v>
      </c>
      <c r="R98" s="245" t="str">
        <f t="shared" ca="1" si="6"/>
        <v>W4+</v>
      </c>
      <c r="S98" s="241">
        <v>40634</v>
      </c>
      <c r="T98" s="245">
        <f t="shared" ca="1" si="7"/>
        <v>2086</v>
      </c>
      <c r="U98" s="274" t="s">
        <v>2217</v>
      </c>
      <c r="V98" s="276">
        <v>42508</v>
      </c>
      <c r="W98" s="276">
        <v>42508</v>
      </c>
      <c r="X98" s="276">
        <v>42539</v>
      </c>
      <c r="Y98" s="274" t="s">
        <v>2</v>
      </c>
      <c r="Z98" s="274" t="s">
        <v>2</v>
      </c>
      <c r="AA98" s="274" t="s">
        <v>2</v>
      </c>
      <c r="AB98" s="276" t="s">
        <v>2</v>
      </c>
      <c r="AC98" s="274" t="s">
        <v>2</v>
      </c>
      <c r="AD98" s="274" t="s">
        <v>2</v>
      </c>
      <c r="AE98" s="277">
        <v>8031230</v>
      </c>
      <c r="AF98" s="274" t="s">
        <v>2</v>
      </c>
      <c r="AG98" s="274" t="s">
        <v>2</v>
      </c>
      <c r="AH98" s="216">
        <v>31917</v>
      </c>
      <c r="AI98" s="274" t="s">
        <v>2194</v>
      </c>
      <c r="AJ98" s="278" t="s">
        <v>2</v>
      </c>
      <c r="AK98" s="279" t="s">
        <v>2</v>
      </c>
      <c r="AL98" s="274" t="s">
        <v>775</v>
      </c>
      <c r="AM98" s="274" t="s">
        <v>68</v>
      </c>
      <c r="AN98" s="274" t="s">
        <v>89</v>
      </c>
      <c r="AO98" s="242" t="s">
        <v>2</v>
      </c>
      <c r="AP98" s="221" t="s">
        <v>966</v>
      </c>
      <c r="AQ98" s="316" t="s">
        <v>615</v>
      </c>
      <c r="AR98" s="316" t="s">
        <v>2</v>
      </c>
      <c r="AS98" s="316" t="s">
        <v>413</v>
      </c>
      <c r="AT98" s="316" t="s">
        <v>2586</v>
      </c>
      <c r="AU98" s="316" t="s">
        <v>1249</v>
      </c>
      <c r="AV98" s="243" t="s">
        <v>2</v>
      </c>
    </row>
    <row r="99" spans="2:48" ht="15" customHeight="1">
      <c r="B99" s="280" t="e">
        <f t="shared" si="9"/>
        <v>#REF!</v>
      </c>
      <c r="D99" s="272">
        <v>27528</v>
      </c>
      <c r="E99" s="229">
        <v>831263</v>
      </c>
      <c r="F99" s="238">
        <v>12174</v>
      </c>
      <c r="G99" s="314" t="s">
        <v>288</v>
      </c>
      <c r="H99" s="274" t="s">
        <v>424</v>
      </c>
      <c r="I99" s="274" t="s">
        <v>4</v>
      </c>
      <c r="J99" s="239" t="s">
        <v>401</v>
      </c>
      <c r="K99" s="275">
        <v>0.375</v>
      </c>
      <c r="L99" s="275">
        <v>0.75</v>
      </c>
      <c r="M99" s="275">
        <v>0.375</v>
      </c>
      <c r="N99" s="275" t="s">
        <v>2</v>
      </c>
      <c r="O99" s="275" t="s">
        <v>2</v>
      </c>
      <c r="P99" s="275" t="s">
        <v>2</v>
      </c>
      <c r="Q99" s="241">
        <v>41676</v>
      </c>
      <c r="R99" s="245" t="str">
        <f t="shared" ca="1" si="6"/>
        <v>W4+</v>
      </c>
      <c r="S99" s="241">
        <v>41705</v>
      </c>
      <c r="T99" s="245">
        <f t="shared" ca="1" si="7"/>
        <v>1015</v>
      </c>
      <c r="U99" s="314" t="s">
        <v>2217</v>
      </c>
      <c r="V99" s="276">
        <v>42594</v>
      </c>
      <c r="W99" s="276">
        <v>42594</v>
      </c>
      <c r="X99" s="276" t="s">
        <v>2</v>
      </c>
      <c r="Y99" s="314" t="s">
        <v>2</v>
      </c>
      <c r="Z99" s="314" t="s">
        <v>2</v>
      </c>
      <c r="AA99" s="314" t="s">
        <v>2</v>
      </c>
      <c r="AB99" s="276" t="s">
        <v>2</v>
      </c>
      <c r="AC99" s="314" t="s">
        <v>2</v>
      </c>
      <c r="AD99" s="314" t="s">
        <v>2</v>
      </c>
      <c r="AE99" s="277" t="s">
        <v>755</v>
      </c>
      <c r="AF99" s="314" t="s">
        <v>2</v>
      </c>
      <c r="AG99" s="314" t="s">
        <v>2</v>
      </c>
      <c r="AH99" s="216">
        <v>34079</v>
      </c>
      <c r="AI99" s="314" t="s">
        <v>2196</v>
      </c>
      <c r="AJ99" s="278" t="s">
        <v>2</v>
      </c>
      <c r="AK99" s="279" t="s">
        <v>2</v>
      </c>
      <c r="AL99" s="314" t="s">
        <v>775</v>
      </c>
      <c r="AM99" s="314" t="s">
        <v>68</v>
      </c>
      <c r="AN99" s="314" t="s">
        <v>89</v>
      </c>
      <c r="AO99" s="242" t="s">
        <v>2</v>
      </c>
      <c r="AP99" s="221" t="s">
        <v>968</v>
      </c>
      <c r="AQ99" s="316" t="s">
        <v>617</v>
      </c>
      <c r="AR99" s="316" t="s">
        <v>2</v>
      </c>
      <c r="AS99" s="316" t="s">
        <v>413</v>
      </c>
      <c r="AT99" s="316" t="s">
        <v>2587</v>
      </c>
      <c r="AU99" s="316" t="s">
        <v>1249</v>
      </c>
      <c r="AV99" s="243" t="s">
        <v>2</v>
      </c>
    </row>
    <row r="100" spans="2:48" ht="15" customHeight="1">
      <c r="B100" s="280" t="e">
        <f t="shared" si="9"/>
        <v>#REF!</v>
      </c>
      <c r="D100" s="272">
        <v>13633</v>
      </c>
      <c r="E100" s="229">
        <v>706560</v>
      </c>
      <c r="F100" s="238">
        <v>12437</v>
      </c>
      <c r="G100" s="314" t="s">
        <v>291</v>
      </c>
      <c r="H100" s="274" t="s">
        <v>424</v>
      </c>
      <c r="I100" s="239" t="s">
        <v>4</v>
      </c>
      <c r="J100" s="239" t="s">
        <v>401</v>
      </c>
      <c r="K100" s="275">
        <v>0.375</v>
      </c>
      <c r="L100" s="275">
        <v>0.75</v>
      </c>
      <c r="M100" s="275">
        <v>0.375</v>
      </c>
      <c r="N100" s="275" t="s">
        <v>2</v>
      </c>
      <c r="O100" s="275" t="s">
        <v>2</v>
      </c>
      <c r="P100" s="275" t="s">
        <v>2</v>
      </c>
      <c r="Q100" s="241">
        <v>40429</v>
      </c>
      <c r="R100" s="245" t="str">
        <f t="shared" ca="1" si="6"/>
        <v>W4+</v>
      </c>
      <c r="S100" s="241">
        <v>40452</v>
      </c>
      <c r="T100" s="245">
        <f t="shared" ca="1" si="7"/>
        <v>2268</v>
      </c>
      <c r="U100" s="314" t="s">
        <v>2217</v>
      </c>
      <c r="V100" s="276">
        <v>42538</v>
      </c>
      <c r="W100" s="276">
        <v>42541</v>
      </c>
      <c r="X100" s="276">
        <v>42570</v>
      </c>
      <c r="Y100" s="314" t="s">
        <v>2</v>
      </c>
      <c r="Z100" s="314" t="s">
        <v>2</v>
      </c>
      <c r="AA100" s="314" t="s">
        <v>2</v>
      </c>
      <c r="AB100" s="276" t="s">
        <v>2</v>
      </c>
      <c r="AC100" s="314" t="s">
        <v>2</v>
      </c>
      <c r="AD100" s="314" t="s">
        <v>2</v>
      </c>
      <c r="AE100" s="314">
        <v>8530230</v>
      </c>
      <c r="AF100" s="314" t="s">
        <v>2</v>
      </c>
      <c r="AG100" s="314" t="s">
        <v>2</v>
      </c>
      <c r="AH100" s="216">
        <v>21153</v>
      </c>
      <c r="AI100" s="314" t="s">
        <v>2194</v>
      </c>
      <c r="AJ100" s="314" t="s">
        <v>2</v>
      </c>
      <c r="AK100" s="314" t="s">
        <v>2</v>
      </c>
      <c r="AL100" s="314" t="s">
        <v>775</v>
      </c>
      <c r="AM100" s="314" t="s">
        <v>68</v>
      </c>
      <c r="AN100" s="314" t="s">
        <v>89</v>
      </c>
      <c r="AO100" s="242" t="s">
        <v>2</v>
      </c>
      <c r="AP100" s="221" t="s">
        <v>971</v>
      </c>
      <c r="AQ100" s="314" t="s">
        <v>619</v>
      </c>
      <c r="AR100" s="314" t="s">
        <v>2</v>
      </c>
      <c r="AS100" s="314" t="s">
        <v>413</v>
      </c>
      <c r="AT100" s="314" t="s">
        <v>2588</v>
      </c>
      <c r="AU100" s="314" t="s">
        <v>1249</v>
      </c>
      <c r="AV100" s="243" t="s">
        <v>2</v>
      </c>
    </row>
    <row r="101" spans="2:48" ht="15" customHeight="1">
      <c r="B101" s="280" t="e">
        <f t="shared" si="9"/>
        <v>#REF!</v>
      </c>
      <c r="D101" s="272">
        <v>27235</v>
      </c>
      <c r="E101" s="229">
        <v>827460</v>
      </c>
      <c r="F101" s="238">
        <v>12664</v>
      </c>
      <c r="G101" s="239" t="s">
        <v>293</v>
      </c>
      <c r="H101" s="274" t="s">
        <v>424</v>
      </c>
      <c r="I101" s="239" t="s">
        <v>4</v>
      </c>
      <c r="J101" s="239" t="s">
        <v>401</v>
      </c>
      <c r="K101" s="275">
        <v>0.375</v>
      </c>
      <c r="L101" s="275">
        <v>0.75</v>
      </c>
      <c r="M101" s="275">
        <v>0.375</v>
      </c>
      <c r="N101" s="275" t="s">
        <v>2</v>
      </c>
      <c r="O101" s="275" t="s">
        <v>2</v>
      </c>
      <c r="P101" s="275" t="s">
        <v>2</v>
      </c>
      <c r="Q101" s="241">
        <v>41620</v>
      </c>
      <c r="R101" s="245" t="str">
        <f t="shared" ca="1" si="6"/>
        <v>W4+</v>
      </c>
      <c r="S101" s="241">
        <v>41653</v>
      </c>
      <c r="T101" s="245">
        <f t="shared" ca="1" si="7"/>
        <v>1067</v>
      </c>
      <c r="U101" s="239" t="s">
        <v>2217</v>
      </c>
      <c r="V101" s="241">
        <v>42590</v>
      </c>
      <c r="W101" s="241">
        <v>42590</v>
      </c>
      <c r="X101" s="276">
        <v>42619</v>
      </c>
      <c r="Y101" s="239" t="s">
        <v>2</v>
      </c>
      <c r="Z101" s="274" t="s">
        <v>2</v>
      </c>
      <c r="AA101" s="274" t="s">
        <v>2</v>
      </c>
      <c r="AB101" s="276" t="s">
        <v>2</v>
      </c>
      <c r="AC101" s="239" t="s">
        <v>2</v>
      </c>
      <c r="AD101" s="239" t="s">
        <v>2</v>
      </c>
      <c r="AE101" s="314" t="s">
        <v>2</v>
      </c>
      <c r="AF101" s="239" t="s">
        <v>2</v>
      </c>
      <c r="AG101" s="239" t="s">
        <v>2</v>
      </c>
      <c r="AH101" s="216" t="s">
        <v>2</v>
      </c>
      <c r="AI101" s="239" t="s">
        <v>2</v>
      </c>
      <c r="AJ101" s="314" t="s">
        <v>2</v>
      </c>
      <c r="AK101" s="314" t="s">
        <v>2</v>
      </c>
      <c r="AL101" s="239" t="s">
        <v>775</v>
      </c>
      <c r="AM101" s="239" t="s">
        <v>68</v>
      </c>
      <c r="AN101" s="239" t="s">
        <v>89</v>
      </c>
      <c r="AO101" s="242" t="s">
        <v>2</v>
      </c>
      <c r="AP101" s="221" t="s">
        <v>973</v>
      </c>
      <c r="AQ101" s="314" t="s">
        <v>621</v>
      </c>
      <c r="AR101" s="314" t="s">
        <v>2</v>
      </c>
      <c r="AS101" s="314" t="s">
        <v>413</v>
      </c>
      <c r="AT101" s="314" t="s">
        <v>2590</v>
      </c>
      <c r="AU101" s="314" t="s">
        <v>1249</v>
      </c>
      <c r="AV101" s="282" t="s">
        <v>2</v>
      </c>
    </row>
    <row r="102" spans="2:48" ht="15" customHeight="1">
      <c r="B102" s="280" t="e">
        <f t="shared" si="9"/>
        <v>#REF!</v>
      </c>
      <c r="D102" s="272">
        <v>17778</v>
      </c>
      <c r="E102" s="229">
        <v>732096</v>
      </c>
      <c r="F102" s="273">
        <v>12307</v>
      </c>
      <c r="G102" s="314" t="s">
        <v>287</v>
      </c>
      <c r="H102" s="314" t="s">
        <v>424</v>
      </c>
      <c r="I102" s="274" t="s">
        <v>4</v>
      </c>
      <c r="J102" s="274" t="s">
        <v>401</v>
      </c>
      <c r="K102" s="275">
        <v>0.41666666666666669</v>
      </c>
      <c r="L102" s="275">
        <v>0.79166666666666663</v>
      </c>
      <c r="M102" s="275">
        <v>0.375</v>
      </c>
      <c r="N102" s="275" t="s">
        <v>2</v>
      </c>
      <c r="O102" s="275" t="s">
        <v>2</v>
      </c>
      <c r="P102" s="275" t="s">
        <v>2</v>
      </c>
      <c r="Q102" s="276">
        <v>40711</v>
      </c>
      <c r="R102" s="245" t="str">
        <f t="shared" ca="1" si="6"/>
        <v>W4+</v>
      </c>
      <c r="S102" s="276">
        <v>40734</v>
      </c>
      <c r="T102" s="245">
        <f t="shared" ca="1" si="7"/>
        <v>1986</v>
      </c>
      <c r="U102" s="314" t="s">
        <v>2219</v>
      </c>
      <c r="V102" s="276">
        <v>42507</v>
      </c>
      <c r="W102" s="276">
        <v>42508</v>
      </c>
      <c r="X102" s="276" t="s">
        <v>2</v>
      </c>
      <c r="Y102" s="314" t="s">
        <v>2</v>
      </c>
      <c r="Z102" s="314" t="s">
        <v>2</v>
      </c>
      <c r="AA102" s="314" t="s">
        <v>2</v>
      </c>
      <c r="AB102" s="276" t="s">
        <v>2</v>
      </c>
      <c r="AC102" s="314" t="s">
        <v>2</v>
      </c>
      <c r="AD102" s="314" t="s">
        <v>2</v>
      </c>
      <c r="AE102" s="277">
        <v>3589000</v>
      </c>
      <c r="AF102" s="314" t="s">
        <v>2</v>
      </c>
      <c r="AG102" s="314" t="s">
        <v>2</v>
      </c>
      <c r="AH102" s="216">
        <v>33994</v>
      </c>
      <c r="AI102" s="314" t="s">
        <v>2195</v>
      </c>
      <c r="AJ102" s="278" t="s">
        <v>2</v>
      </c>
      <c r="AK102" s="279" t="s">
        <v>2</v>
      </c>
      <c r="AL102" s="314" t="s">
        <v>775</v>
      </c>
      <c r="AM102" s="314" t="s">
        <v>68</v>
      </c>
      <c r="AN102" s="314" t="s">
        <v>89</v>
      </c>
      <c r="AO102" s="281" t="s">
        <v>2</v>
      </c>
      <c r="AP102" s="221" t="s">
        <v>967</v>
      </c>
      <c r="AQ102" s="152" t="s">
        <v>616</v>
      </c>
      <c r="AR102" s="152" t="s">
        <v>2</v>
      </c>
      <c r="AS102" s="152" t="s">
        <v>413</v>
      </c>
      <c r="AT102" s="152" t="s">
        <v>2584</v>
      </c>
      <c r="AU102" s="152" t="s">
        <v>1249</v>
      </c>
      <c r="AV102" s="282" t="s">
        <v>2</v>
      </c>
    </row>
    <row r="103" spans="2:48" ht="15" customHeight="1">
      <c r="B103" s="280" t="e">
        <f t="shared" si="9"/>
        <v>#REF!</v>
      </c>
      <c r="D103" s="272">
        <v>27522</v>
      </c>
      <c r="E103" s="229">
        <v>831255</v>
      </c>
      <c r="F103" s="273">
        <v>12186</v>
      </c>
      <c r="G103" s="274" t="s">
        <v>296</v>
      </c>
      <c r="H103" s="314" t="s">
        <v>424</v>
      </c>
      <c r="I103" s="274" t="s">
        <v>4</v>
      </c>
      <c r="J103" s="274" t="s">
        <v>401</v>
      </c>
      <c r="K103" s="275">
        <v>0.47916666666666669</v>
      </c>
      <c r="L103" s="275">
        <v>0.85416666666666663</v>
      </c>
      <c r="M103" s="275">
        <v>0.375</v>
      </c>
      <c r="N103" s="275" t="s">
        <v>2</v>
      </c>
      <c r="O103" s="275" t="s">
        <v>2</v>
      </c>
      <c r="P103" s="275" t="s">
        <v>2</v>
      </c>
      <c r="Q103" s="276">
        <v>41676</v>
      </c>
      <c r="R103" s="245" t="str">
        <f t="shared" ca="1" si="6"/>
        <v>W4+</v>
      </c>
      <c r="S103" s="276">
        <v>41705</v>
      </c>
      <c r="T103" s="245">
        <f t="shared" ca="1" si="7"/>
        <v>1015</v>
      </c>
      <c r="U103" s="274" t="s">
        <v>2217</v>
      </c>
      <c r="V103" s="276">
        <v>42458</v>
      </c>
      <c r="W103" s="276">
        <v>42459</v>
      </c>
      <c r="X103" s="276" t="s">
        <v>2</v>
      </c>
      <c r="Y103" s="274" t="s">
        <v>2</v>
      </c>
      <c r="Z103" s="274" t="s">
        <v>2</v>
      </c>
      <c r="AA103" s="274" t="s">
        <v>2</v>
      </c>
      <c r="AB103" s="276" t="s">
        <v>2</v>
      </c>
      <c r="AC103" s="274" t="s">
        <v>2</v>
      </c>
      <c r="AD103" s="274" t="s">
        <v>2</v>
      </c>
      <c r="AE103" s="277" t="s">
        <v>758</v>
      </c>
      <c r="AF103" s="274" t="s">
        <v>2</v>
      </c>
      <c r="AG103" s="274" t="s">
        <v>2</v>
      </c>
      <c r="AH103" s="216">
        <v>33959</v>
      </c>
      <c r="AI103" s="274" t="s">
        <v>2188</v>
      </c>
      <c r="AJ103" s="278" t="s">
        <v>2</v>
      </c>
      <c r="AK103" s="279" t="s">
        <v>2</v>
      </c>
      <c r="AL103" s="274" t="s">
        <v>775</v>
      </c>
      <c r="AM103" s="274" t="s">
        <v>68</v>
      </c>
      <c r="AN103" s="274" t="s">
        <v>89</v>
      </c>
      <c r="AO103" s="281" t="s">
        <v>2</v>
      </c>
      <c r="AP103" s="221" t="s">
        <v>976</v>
      </c>
      <c r="AQ103" s="152" t="s">
        <v>624</v>
      </c>
      <c r="AR103" s="152" t="s">
        <v>2</v>
      </c>
      <c r="AS103" s="316" t="s">
        <v>413</v>
      </c>
      <c r="AT103" s="152" t="s">
        <v>2592</v>
      </c>
      <c r="AU103" s="152" t="s">
        <v>1249</v>
      </c>
      <c r="AV103" s="282" t="s">
        <v>2</v>
      </c>
    </row>
    <row r="104" spans="2:48" ht="15" customHeight="1">
      <c r="B104" s="280" t="e">
        <f t="shared" si="9"/>
        <v>#REF!</v>
      </c>
      <c r="D104" s="272">
        <v>14255</v>
      </c>
      <c r="E104" s="229">
        <v>712907</v>
      </c>
      <c r="F104" s="273">
        <v>12793</v>
      </c>
      <c r="G104" s="316" t="s">
        <v>289</v>
      </c>
      <c r="H104" s="314" t="s">
        <v>424</v>
      </c>
      <c r="I104" s="274" t="s">
        <v>4</v>
      </c>
      <c r="J104" s="274" t="s">
        <v>401</v>
      </c>
      <c r="K104" s="275">
        <v>0.5</v>
      </c>
      <c r="L104" s="275">
        <v>0.875</v>
      </c>
      <c r="M104" s="275">
        <v>0.375</v>
      </c>
      <c r="N104" s="275" t="s">
        <v>2</v>
      </c>
      <c r="O104" s="275" t="s">
        <v>2</v>
      </c>
      <c r="P104" s="275" t="s">
        <v>2</v>
      </c>
      <c r="Q104" s="276">
        <v>40500</v>
      </c>
      <c r="R104" s="245" t="str">
        <f t="shared" ref="R104:R135" ca="1" si="10">IF(T104&lt;0,"TRN",IF(AND(T104&gt;=0,T104&lt;7),"OCP W1",IF(AND(T104&gt;=7,T104&lt;14),"OCP W2",IF(AND(T104&gt;=14,T104&lt;21),"OCP W3",IF(T104&gt;=21,"W4+")))))</f>
        <v>W4+</v>
      </c>
      <c r="S104" s="276">
        <v>40523</v>
      </c>
      <c r="T104" s="245">
        <f t="shared" ref="T104:T135" ca="1" si="11">TODAY()-S104</f>
        <v>2197</v>
      </c>
      <c r="U104" s="316" t="s">
        <v>2219</v>
      </c>
      <c r="V104" s="276">
        <v>42681</v>
      </c>
      <c r="W104" s="276">
        <v>42682</v>
      </c>
      <c r="X104" s="316" t="s">
        <v>2</v>
      </c>
      <c r="Y104" s="316" t="s">
        <v>2</v>
      </c>
      <c r="Z104" s="316" t="s">
        <v>2</v>
      </c>
      <c r="AA104" s="316" t="s">
        <v>2</v>
      </c>
      <c r="AB104" s="316" t="s">
        <v>2</v>
      </c>
      <c r="AC104" s="316" t="s">
        <v>2</v>
      </c>
      <c r="AD104" s="316" t="s">
        <v>2</v>
      </c>
      <c r="AE104" s="316">
        <v>6140270</v>
      </c>
      <c r="AF104" s="316" t="s">
        <v>2</v>
      </c>
      <c r="AG104" s="316" t="s">
        <v>2</v>
      </c>
      <c r="AH104" s="216">
        <v>32765</v>
      </c>
      <c r="AI104" s="316" t="s">
        <v>2193</v>
      </c>
      <c r="AJ104" s="316" t="s">
        <v>2</v>
      </c>
      <c r="AK104" s="316" t="s">
        <v>2</v>
      </c>
      <c r="AL104" s="316" t="s">
        <v>775</v>
      </c>
      <c r="AM104" s="316" t="s">
        <v>68</v>
      </c>
      <c r="AN104" s="316" t="s">
        <v>89</v>
      </c>
      <c r="AO104" s="281" t="s">
        <v>2</v>
      </c>
      <c r="AP104" s="221" t="s">
        <v>969</v>
      </c>
      <c r="AQ104" s="152" t="s">
        <v>618</v>
      </c>
      <c r="AR104" s="152" t="s">
        <v>2</v>
      </c>
      <c r="AS104" s="152" t="s">
        <v>413</v>
      </c>
      <c r="AT104" s="152" t="s">
        <v>2589</v>
      </c>
      <c r="AU104" s="152" t="s">
        <v>2</v>
      </c>
      <c r="AV104" s="282" t="s">
        <v>2</v>
      </c>
    </row>
    <row r="105" spans="2:48" ht="15" customHeight="1">
      <c r="B105" s="280" t="e">
        <f t="shared" si="9"/>
        <v>#REF!</v>
      </c>
      <c r="D105" s="272">
        <v>30696</v>
      </c>
      <c r="E105" s="229">
        <v>882226</v>
      </c>
      <c r="F105" s="273">
        <v>12300</v>
      </c>
      <c r="G105" s="274" t="s">
        <v>351</v>
      </c>
      <c r="H105" s="314" t="s">
        <v>418</v>
      </c>
      <c r="I105" s="314" t="s">
        <v>4</v>
      </c>
      <c r="J105" s="274" t="s">
        <v>403</v>
      </c>
      <c r="K105" s="275">
        <v>0.33333333333333331</v>
      </c>
      <c r="L105" s="275">
        <v>0.59722222222222221</v>
      </c>
      <c r="M105" s="275">
        <v>0.2638888888888889</v>
      </c>
      <c r="N105" s="275">
        <v>0.3888888888888889</v>
      </c>
      <c r="O105" s="275">
        <v>0.44444444444444442</v>
      </c>
      <c r="P105" s="275">
        <v>0.54861111111111105</v>
      </c>
      <c r="Q105" s="276">
        <v>42131</v>
      </c>
      <c r="R105" s="245" t="str">
        <f t="shared" ca="1" si="10"/>
        <v>W4+</v>
      </c>
      <c r="S105" s="276">
        <v>42156</v>
      </c>
      <c r="T105" s="245">
        <f t="shared" ca="1" si="11"/>
        <v>564</v>
      </c>
      <c r="U105" s="274" t="s">
        <v>2218</v>
      </c>
      <c r="V105" s="276">
        <v>42706</v>
      </c>
      <c r="W105" s="276">
        <v>42706</v>
      </c>
      <c r="X105" s="276" t="s">
        <v>2</v>
      </c>
      <c r="Y105" s="274" t="s">
        <v>2</v>
      </c>
      <c r="Z105" s="274" t="s">
        <v>398</v>
      </c>
      <c r="AA105" s="274" t="s">
        <v>402</v>
      </c>
      <c r="AB105" s="276">
        <v>42430</v>
      </c>
      <c r="AC105" s="274" t="s">
        <v>2891</v>
      </c>
      <c r="AD105" s="274" t="s">
        <v>2</v>
      </c>
      <c r="AE105" s="277" t="s">
        <v>2</v>
      </c>
      <c r="AF105" s="274" t="s">
        <v>2</v>
      </c>
      <c r="AG105" s="274" t="s">
        <v>2</v>
      </c>
      <c r="AH105" s="216">
        <v>33723</v>
      </c>
      <c r="AI105" s="274" t="s">
        <v>2</v>
      </c>
      <c r="AJ105" s="278" t="s">
        <v>2</v>
      </c>
      <c r="AK105" s="279" t="s">
        <v>2</v>
      </c>
      <c r="AL105" s="274" t="s">
        <v>775</v>
      </c>
      <c r="AM105" s="274" t="s">
        <v>68</v>
      </c>
      <c r="AN105" s="274" t="s">
        <v>89</v>
      </c>
      <c r="AO105" s="281">
        <v>810354</v>
      </c>
      <c r="AP105" s="221" t="s">
        <v>1030</v>
      </c>
      <c r="AQ105" s="152" t="s">
        <v>679</v>
      </c>
      <c r="AR105" s="152" t="s">
        <v>2</v>
      </c>
      <c r="AS105" s="152" t="s">
        <v>414</v>
      </c>
      <c r="AT105" s="152" t="s">
        <v>2598</v>
      </c>
      <c r="AU105" s="152" t="s">
        <v>1249</v>
      </c>
      <c r="AV105" s="282" t="s">
        <v>1249</v>
      </c>
    </row>
    <row r="106" spans="2:48" ht="15" customHeight="1">
      <c r="B106" s="280" t="e">
        <f t="shared" si="9"/>
        <v>#REF!</v>
      </c>
      <c r="D106" s="272">
        <v>26363</v>
      </c>
      <c r="E106" s="229">
        <v>816967</v>
      </c>
      <c r="F106" s="47">
        <v>17009</v>
      </c>
      <c r="G106" s="48" t="s">
        <v>331</v>
      </c>
      <c r="H106" s="314" t="s">
        <v>418</v>
      </c>
      <c r="I106" s="48" t="s">
        <v>4</v>
      </c>
      <c r="J106" s="48" t="s">
        <v>403</v>
      </c>
      <c r="K106" s="275">
        <v>0.33333333333333331</v>
      </c>
      <c r="L106" s="275">
        <v>0.59722222222222221</v>
      </c>
      <c r="M106" s="275">
        <v>0.2638888888888889</v>
      </c>
      <c r="N106" s="275">
        <v>0.375</v>
      </c>
      <c r="O106" s="275">
        <v>0.4236111111111111</v>
      </c>
      <c r="P106" s="275">
        <v>0.54166666666666663</v>
      </c>
      <c r="Q106" s="50">
        <v>41528</v>
      </c>
      <c r="R106" s="245" t="str">
        <f t="shared" ca="1" si="10"/>
        <v>W4+</v>
      </c>
      <c r="S106" s="50">
        <v>41551</v>
      </c>
      <c r="T106" s="245">
        <f t="shared" ca="1" si="11"/>
        <v>1169</v>
      </c>
      <c r="U106" s="48" t="s">
        <v>2218</v>
      </c>
      <c r="V106" s="276">
        <v>42522</v>
      </c>
      <c r="W106" s="276">
        <v>42522</v>
      </c>
      <c r="X106" s="276" t="s">
        <v>2</v>
      </c>
      <c r="Y106" s="274" t="s">
        <v>2</v>
      </c>
      <c r="Z106" s="48" t="s">
        <v>2</v>
      </c>
      <c r="AA106" s="48" t="s">
        <v>2</v>
      </c>
      <c r="AB106" s="50" t="s">
        <v>2</v>
      </c>
      <c r="AC106" s="48" t="s">
        <v>2891</v>
      </c>
      <c r="AD106" s="239" t="s">
        <v>2</v>
      </c>
      <c r="AE106" s="51" t="s">
        <v>2</v>
      </c>
      <c r="AF106" s="48" t="s">
        <v>2</v>
      </c>
      <c r="AG106" s="48" t="s">
        <v>2</v>
      </c>
      <c r="AH106" s="216" t="s">
        <v>2</v>
      </c>
      <c r="AI106" s="48" t="s">
        <v>2</v>
      </c>
      <c r="AJ106" s="53" t="s">
        <v>2</v>
      </c>
      <c r="AK106" s="54" t="s">
        <v>2</v>
      </c>
      <c r="AL106" s="239" t="s">
        <v>775</v>
      </c>
      <c r="AM106" s="239" t="s">
        <v>68</v>
      </c>
      <c r="AN106" s="239" t="s">
        <v>89</v>
      </c>
      <c r="AO106" s="96">
        <v>810048</v>
      </c>
      <c r="AP106" s="221" t="s">
        <v>1009</v>
      </c>
      <c r="AQ106" s="152" t="s">
        <v>658</v>
      </c>
      <c r="AR106" s="152" t="s">
        <v>2</v>
      </c>
      <c r="AS106" s="152" t="s">
        <v>414</v>
      </c>
      <c r="AT106" s="152" t="s">
        <v>2600</v>
      </c>
      <c r="AU106" s="152" t="s">
        <v>2</v>
      </c>
      <c r="AV106" s="282" t="s">
        <v>1249</v>
      </c>
    </row>
    <row r="107" spans="2:48" ht="15" customHeight="1">
      <c r="B107" s="280" t="e">
        <f t="shared" si="9"/>
        <v>#REF!</v>
      </c>
      <c r="D107" s="272">
        <v>31389</v>
      </c>
      <c r="E107" s="315">
        <v>909801</v>
      </c>
      <c r="F107" s="47">
        <v>12290</v>
      </c>
      <c r="G107" s="48" t="s">
        <v>2417</v>
      </c>
      <c r="H107" s="314" t="s">
        <v>418</v>
      </c>
      <c r="I107" s="48" t="s">
        <v>4</v>
      </c>
      <c r="J107" s="48" t="s">
        <v>403</v>
      </c>
      <c r="K107" s="275">
        <v>0.33333333333333331</v>
      </c>
      <c r="L107" s="275">
        <v>0.59722222222222221</v>
      </c>
      <c r="M107" s="275">
        <v>0.2638888888888889</v>
      </c>
      <c r="N107" s="275">
        <v>0.38194444444444442</v>
      </c>
      <c r="O107" s="275">
        <v>0.47916666666666669</v>
      </c>
      <c r="P107" s="275">
        <v>0.54166666666666663</v>
      </c>
      <c r="Q107" s="50">
        <v>42340</v>
      </c>
      <c r="R107" s="245" t="str">
        <f t="shared" ca="1" si="10"/>
        <v>W4+</v>
      </c>
      <c r="S107" s="50">
        <v>42362</v>
      </c>
      <c r="T107" s="245">
        <f t="shared" ca="1" si="11"/>
        <v>358</v>
      </c>
      <c r="U107" s="48" t="s">
        <v>2218</v>
      </c>
      <c r="V107" s="50" t="s">
        <v>2</v>
      </c>
      <c r="W107" s="50" t="s">
        <v>2</v>
      </c>
      <c r="X107" s="276" t="s">
        <v>2</v>
      </c>
      <c r="Y107" s="274" t="s">
        <v>2</v>
      </c>
      <c r="Z107" s="48" t="s">
        <v>2</v>
      </c>
      <c r="AA107" s="48" t="s">
        <v>2</v>
      </c>
      <c r="AB107" s="50" t="s">
        <v>2</v>
      </c>
      <c r="AC107" s="48" t="s">
        <v>2891</v>
      </c>
      <c r="AD107" s="48" t="s">
        <v>2</v>
      </c>
      <c r="AE107" s="51" t="s">
        <v>2507</v>
      </c>
      <c r="AF107" s="48" t="s">
        <v>2</v>
      </c>
      <c r="AG107" s="48" t="s">
        <v>2</v>
      </c>
      <c r="AH107" s="216">
        <v>35663</v>
      </c>
      <c r="AI107" s="48" t="s">
        <v>2191</v>
      </c>
      <c r="AJ107" s="53" t="s">
        <v>2</v>
      </c>
      <c r="AK107" s="54" t="s">
        <v>2</v>
      </c>
      <c r="AL107" s="48" t="s">
        <v>775</v>
      </c>
      <c r="AM107" s="48" t="s">
        <v>68</v>
      </c>
      <c r="AN107" s="48" t="s">
        <v>89</v>
      </c>
      <c r="AO107" s="96">
        <v>24210</v>
      </c>
      <c r="AP107" s="221" t="s">
        <v>2442</v>
      </c>
      <c r="AQ107" s="152" t="s">
        <v>2465</v>
      </c>
      <c r="AR107" s="152" t="s">
        <v>2</v>
      </c>
      <c r="AS107" s="152" t="s">
        <v>414</v>
      </c>
      <c r="AT107" s="152" t="s">
        <v>2486</v>
      </c>
      <c r="AU107" s="152" t="s">
        <v>2</v>
      </c>
      <c r="AV107" s="282" t="s">
        <v>1249</v>
      </c>
    </row>
    <row r="108" spans="2:48" ht="15" customHeight="1">
      <c r="B108" s="280" t="e">
        <f>IF(Termed!B492="x","","x")</f>
        <v>#REF!</v>
      </c>
      <c r="D108" s="272">
        <v>31504</v>
      </c>
      <c r="E108" s="229">
        <v>915104</v>
      </c>
      <c r="F108" s="273">
        <v>17004</v>
      </c>
      <c r="G108" s="274" t="s">
        <v>2672</v>
      </c>
      <c r="H108" s="314" t="s">
        <v>418</v>
      </c>
      <c r="I108" s="274" t="s">
        <v>4</v>
      </c>
      <c r="J108" s="274" t="s">
        <v>403</v>
      </c>
      <c r="K108" s="275">
        <v>0.33333333333333331</v>
      </c>
      <c r="L108" s="275">
        <v>0.59722222222222221</v>
      </c>
      <c r="M108" s="275">
        <v>0.2638888888888889</v>
      </c>
      <c r="N108" s="275">
        <v>0.40277777777777773</v>
      </c>
      <c r="O108" s="275">
        <v>0.4513888888888889</v>
      </c>
      <c r="P108" s="275">
        <v>0.54861111111111105</v>
      </c>
      <c r="Q108" s="276">
        <v>42404</v>
      </c>
      <c r="R108" s="245" t="str">
        <f t="shared" ca="1" si="10"/>
        <v>W4+</v>
      </c>
      <c r="S108" s="276">
        <v>42429</v>
      </c>
      <c r="T108" s="245">
        <f t="shared" ca="1" si="11"/>
        <v>291</v>
      </c>
      <c r="U108" s="274" t="s">
        <v>2218</v>
      </c>
      <c r="V108" s="276">
        <v>42500</v>
      </c>
      <c r="W108" s="276">
        <v>42500</v>
      </c>
      <c r="X108" s="276">
        <v>42521</v>
      </c>
      <c r="Y108" s="274" t="s">
        <v>2</v>
      </c>
      <c r="Z108" s="274" t="s">
        <v>2</v>
      </c>
      <c r="AA108" s="274" t="s">
        <v>2</v>
      </c>
      <c r="AB108" s="276" t="s">
        <v>2</v>
      </c>
      <c r="AC108" s="274" t="s">
        <v>2891</v>
      </c>
      <c r="AD108" s="274" t="s">
        <v>2</v>
      </c>
      <c r="AE108" s="277" t="s">
        <v>2</v>
      </c>
      <c r="AF108" s="274" t="s">
        <v>2</v>
      </c>
      <c r="AG108" s="274" t="s">
        <v>2</v>
      </c>
      <c r="AH108" s="216">
        <v>42609</v>
      </c>
      <c r="AI108" s="274" t="s">
        <v>2</v>
      </c>
      <c r="AJ108" s="278" t="s">
        <v>2</v>
      </c>
      <c r="AK108" s="279" t="s">
        <v>2</v>
      </c>
      <c r="AL108" s="274" t="s">
        <v>775</v>
      </c>
      <c r="AM108" s="274" t="s">
        <v>68</v>
      </c>
      <c r="AN108" s="274" t="s">
        <v>89</v>
      </c>
      <c r="AO108" s="281">
        <v>810396</v>
      </c>
      <c r="AP108" s="221" t="s">
        <v>2706</v>
      </c>
      <c r="AQ108" s="152" t="s">
        <v>2742</v>
      </c>
      <c r="AR108" s="152" t="s">
        <v>2</v>
      </c>
      <c r="AS108" s="152" t="s">
        <v>414</v>
      </c>
      <c r="AT108" s="152" t="s">
        <v>2743</v>
      </c>
      <c r="AU108" s="152" t="s">
        <v>2</v>
      </c>
      <c r="AV108" s="282" t="s">
        <v>1249</v>
      </c>
    </row>
    <row r="109" spans="2:48" ht="15" customHeight="1">
      <c r="B109" s="280" t="e">
        <f t="shared" ref="B109:B126" si="12">IF(B108="x","","x")</f>
        <v>#REF!</v>
      </c>
      <c r="D109" s="272">
        <v>22515</v>
      </c>
      <c r="E109" s="315">
        <v>773793</v>
      </c>
      <c r="F109" s="313">
        <v>17196</v>
      </c>
      <c r="G109" s="314" t="s">
        <v>315</v>
      </c>
      <c r="H109" s="314" t="s">
        <v>418</v>
      </c>
      <c r="I109" s="314" t="s">
        <v>4</v>
      </c>
      <c r="J109" s="314" t="s">
        <v>403</v>
      </c>
      <c r="K109" s="275">
        <v>0.33333333333333331</v>
      </c>
      <c r="L109" s="275">
        <v>0.67499999999999993</v>
      </c>
      <c r="M109" s="275">
        <v>0.34166666666666662</v>
      </c>
      <c r="N109" s="275">
        <v>0.38194444444444442</v>
      </c>
      <c r="O109" s="275">
        <v>0.52083333333333337</v>
      </c>
      <c r="P109" s="275">
        <v>0.625</v>
      </c>
      <c r="Q109" s="276">
        <v>41102</v>
      </c>
      <c r="R109" s="284" t="str">
        <f t="shared" ca="1" si="10"/>
        <v>W4+</v>
      </c>
      <c r="S109" s="276">
        <v>41125</v>
      </c>
      <c r="T109" s="284">
        <f t="shared" ca="1" si="11"/>
        <v>1595</v>
      </c>
      <c r="U109" s="314" t="s">
        <v>2218</v>
      </c>
      <c r="V109" s="276">
        <v>42527</v>
      </c>
      <c r="W109" s="276">
        <v>42528</v>
      </c>
      <c r="X109" s="227" t="s">
        <v>2</v>
      </c>
      <c r="Y109" s="314" t="s">
        <v>2</v>
      </c>
      <c r="Z109" s="314" t="s">
        <v>2</v>
      </c>
      <c r="AA109" s="314" t="s">
        <v>2</v>
      </c>
      <c r="AB109" s="276" t="s">
        <v>2</v>
      </c>
      <c r="AC109" s="314" t="s">
        <v>2891</v>
      </c>
      <c r="AD109" s="314" t="s">
        <v>2</v>
      </c>
      <c r="AE109" s="277" t="s">
        <v>762</v>
      </c>
      <c r="AF109" s="314" t="s">
        <v>2</v>
      </c>
      <c r="AG109" s="314" t="s">
        <v>2</v>
      </c>
      <c r="AH109" s="216">
        <v>32057</v>
      </c>
      <c r="AI109" s="314" t="s">
        <v>2190</v>
      </c>
      <c r="AJ109" s="278" t="s">
        <v>2</v>
      </c>
      <c r="AK109" s="279" t="s">
        <v>2</v>
      </c>
      <c r="AL109" s="314" t="s">
        <v>775</v>
      </c>
      <c r="AM109" s="314" t="s">
        <v>68</v>
      </c>
      <c r="AN109" s="314" t="s">
        <v>89</v>
      </c>
      <c r="AO109" s="281">
        <v>810059</v>
      </c>
      <c r="AP109" s="221" t="s">
        <v>993</v>
      </c>
      <c r="AQ109" s="316" t="s">
        <v>642</v>
      </c>
      <c r="AR109" s="316" t="s">
        <v>2</v>
      </c>
      <c r="AS109" s="316" t="s">
        <v>414</v>
      </c>
      <c r="AT109" s="316" t="s">
        <v>2632</v>
      </c>
      <c r="AU109" s="316" t="s">
        <v>2</v>
      </c>
      <c r="AV109" s="282" t="s">
        <v>1249</v>
      </c>
    </row>
    <row r="110" spans="2:48" ht="15" customHeight="1">
      <c r="B110" s="280" t="e">
        <f t="shared" si="12"/>
        <v>#REF!</v>
      </c>
      <c r="D110" s="272">
        <v>31058</v>
      </c>
      <c r="E110" s="315">
        <v>893773</v>
      </c>
      <c r="F110" s="313">
        <v>12304</v>
      </c>
      <c r="G110" s="314" t="s">
        <v>2257</v>
      </c>
      <c r="H110" s="314" t="s">
        <v>418</v>
      </c>
      <c r="I110" s="314" t="s">
        <v>4</v>
      </c>
      <c r="J110" s="314" t="s">
        <v>403</v>
      </c>
      <c r="K110" s="275">
        <v>0.33333333333333331</v>
      </c>
      <c r="L110" s="275">
        <v>0.59722222222222221</v>
      </c>
      <c r="M110" s="275">
        <v>0.2638888888888889</v>
      </c>
      <c r="N110" s="275">
        <v>0.41666666666666669</v>
      </c>
      <c r="O110" s="275">
        <v>0.5</v>
      </c>
      <c r="P110" s="275">
        <v>0.57638888888888895</v>
      </c>
      <c r="Q110" s="276">
        <v>42227</v>
      </c>
      <c r="R110" s="284" t="str">
        <f t="shared" ca="1" si="10"/>
        <v>W4+</v>
      </c>
      <c r="S110" s="276">
        <v>42254</v>
      </c>
      <c r="T110" s="284">
        <f t="shared" ca="1" si="11"/>
        <v>466</v>
      </c>
      <c r="U110" s="314" t="s">
        <v>2218</v>
      </c>
      <c r="V110" s="308">
        <v>42704</v>
      </c>
      <c r="W110" s="308">
        <v>42705</v>
      </c>
      <c r="X110" s="308" t="s">
        <v>2</v>
      </c>
      <c r="Y110" s="314" t="s">
        <v>2</v>
      </c>
      <c r="Z110" s="314" t="s">
        <v>2</v>
      </c>
      <c r="AA110" s="314" t="s">
        <v>2</v>
      </c>
      <c r="AB110" s="276" t="s">
        <v>2</v>
      </c>
      <c r="AC110" s="314" t="s">
        <v>2891</v>
      </c>
      <c r="AD110" s="314" t="s">
        <v>2</v>
      </c>
      <c r="AE110" s="277" t="s">
        <v>2</v>
      </c>
      <c r="AF110" s="314" t="s">
        <v>2</v>
      </c>
      <c r="AG110" s="314" t="s">
        <v>2</v>
      </c>
      <c r="AH110" s="216">
        <v>34689</v>
      </c>
      <c r="AI110" s="314" t="s">
        <v>2</v>
      </c>
      <c r="AJ110" s="278" t="s">
        <v>2</v>
      </c>
      <c r="AK110" s="279" t="s">
        <v>2</v>
      </c>
      <c r="AL110" s="314" t="s">
        <v>775</v>
      </c>
      <c r="AM110" s="314" t="s">
        <v>68</v>
      </c>
      <c r="AN110" s="314" t="s">
        <v>89</v>
      </c>
      <c r="AO110" s="281">
        <v>23485</v>
      </c>
      <c r="AP110" s="221" t="s">
        <v>2278</v>
      </c>
      <c r="AQ110" s="316" t="s">
        <v>2305</v>
      </c>
      <c r="AR110" s="316" t="s">
        <v>2</v>
      </c>
      <c r="AS110" s="316" t="s">
        <v>414</v>
      </c>
      <c r="AT110" s="316" t="s">
        <v>2612</v>
      </c>
      <c r="AU110" s="316" t="s">
        <v>2</v>
      </c>
      <c r="AV110" s="282" t="s">
        <v>1249</v>
      </c>
    </row>
    <row r="111" spans="2:48" ht="15" customHeight="1">
      <c r="B111" s="280" t="e">
        <f>IF(#REF!="x","","x")</f>
        <v>#REF!</v>
      </c>
      <c r="D111" s="272">
        <v>29885</v>
      </c>
      <c r="E111" s="315">
        <v>868201</v>
      </c>
      <c r="F111" s="238">
        <v>17065</v>
      </c>
      <c r="G111" s="274" t="s">
        <v>340</v>
      </c>
      <c r="H111" s="314" t="s">
        <v>418</v>
      </c>
      <c r="I111" s="314" t="s">
        <v>4</v>
      </c>
      <c r="J111" s="274" t="s">
        <v>403</v>
      </c>
      <c r="K111" s="275">
        <v>0.375</v>
      </c>
      <c r="L111" s="275">
        <v>0.63888888888888895</v>
      </c>
      <c r="M111" s="275">
        <v>0.2638888888888889</v>
      </c>
      <c r="N111" s="275">
        <v>0.39583333333333331</v>
      </c>
      <c r="O111" s="275">
        <v>0.44444444444444442</v>
      </c>
      <c r="P111" s="275">
        <v>0.54861111111111105</v>
      </c>
      <c r="Q111" s="276">
        <v>41983</v>
      </c>
      <c r="R111" s="245" t="str">
        <f t="shared" ca="1" si="10"/>
        <v>W4+</v>
      </c>
      <c r="S111" s="276">
        <v>42009</v>
      </c>
      <c r="T111" s="245">
        <f t="shared" ca="1" si="11"/>
        <v>711</v>
      </c>
      <c r="U111" s="274" t="s">
        <v>2218</v>
      </c>
      <c r="V111" s="276">
        <v>42704</v>
      </c>
      <c r="W111" s="276">
        <v>42705</v>
      </c>
      <c r="X111" s="276" t="s">
        <v>2</v>
      </c>
      <c r="Y111" s="314" t="s">
        <v>2</v>
      </c>
      <c r="Z111" s="274" t="s">
        <v>2</v>
      </c>
      <c r="AA111" s="274" t="s">
        <v>2</v>
      </c>
      <c r="AB111" s="276" t="s">
        <v>2</v>
      </c>
      <c r="AC111" s="274" t="s">
        <v>2891</v>
      </c>
      <c r="AD111" s="274" t="s">
        <v>2</v>
      </c>
      <c r="AE111" s="277">
        <v>3805140</v>
      </c>
      <c r="AF111" s="274" t="s">
        <v>2</v>
      </c>
      <c r="AG111" s="274" t="s">
        <v>2</v>
      </c>
      <c r="AH111" s="216" t="s">
        <v>2</v>
      </c>
      <c r="AI111" s="274" t="s">
        <v>2195</v>
      </c>
      <c r="AJ111" s="278" t="s">
        <v>2</v>
      </c>
      <c r="AK111" s="279" t="s">
        <v>2</v>
      </c>
      <c r="AL111" s="274" t="s">
        <v>775</v>
      </c>
      <c r="AM111" s="274" t="s">
        <v>68</v>
      </c>
      <c r="AN111" s="274" t="s">
        <v>89</v>
      </c>
      <c r="AO111" s="242">
        <v>810261</v>
      </c>
      <c r="AP111" s="221" t="s">
        <v>1018</v>
      </c>
      <c r="AQ111" s="152" t="s">
        <v>667</v>
      </c>
      <c r="AR111" s="152" t="s">
        <v>2</v>
      </c>
      <c r="AS111" s="152" t="s">
        <v>414</v>
      </c>
      <c r="AT111" s="152" t="s">
        <v>2613</v>
      </c>
      <c r="AU111" s="152" t="s">
        <v>2</v>
      </c>
      <c r="AV111" s="282" t="s">
        <v>1249</v>
      </c>
    </row>
    <row r="112" spans="2:48" ht="15" customHeight="1">
      <c r="B112" s="280" t="e">
        <f t="shared" si="12"/>
        <v>#REF!</v>
      </c>
      <c r="D112" s="272">
        <v>32626</v>
      </c>
      <c r="E112" s="229">
        <v>930897</v>
      </c>
      <c r="F112" s="47">
        <v>17143</v>
      </c>
      <c r="G112" s="48" t="s">
        <v>2806</v>
      </c>
      <c r="H112" s="314" t="s">
        <v>418</v>
      </c>
      <c r="I112" s="48" t="s">
        <v>4</v>
      </c>
      <c r="J112" s="48" t="s">
        <v>403</v>
      </c>
      <c r="K112" s="275">
        <v>0.375</v>
      </c>
      <c r="L112" s="275">
        <v>0.63888888888888895</v>
      </c>
      <c r="M112" s="275">
        <v>0.2638888888888889</v>
      </c>
      <c r="N112" s="275">
        <v>0.4375</v>
      </c>
      <c r="O112" s="275">
        <v>0.5</v>
      </c>
      <c r="P112" s="275">
        <v>0.55555555555555558</v>
      </c>
      <c r="Q112" s="50">
        <v>42529</v>
      </c>
      <c r="R112" s="245" t="str">
        <f t="shared" ca="1" si="10"/>
        <v>W4+</v>
      </c>
      <c r="S112" s="50">
        <v>42555</v>
      </c>
      <c r="T112" s="245">
        <f t="shared" ca="1" si="11"/>
        <v>165</v>
      </c>
      <c r="U112" s="48" t="s">
        <v>2218</v>
      </c>
      <c r="V112" s="50">
        <v>42529</v>
      </c>
      <c r="W112" s="50">
        <v>42529</v>
      </c>
      <c r="X112" s="276">
        <v>42524</v>
      </c>
      <c r="Y112" s="48" t="s">
        <v>2</v>
      </c>
      <c r="Z112" s="239" t="s">
        <v>2</v>
      </c>
      <c r="AA112" s="48" t="s">
        <v>2</v>
      </c>
      <c r="AB112" s="50" t="s">
        <v>2</v>
      </c>
      <c r="AC112" s="239" t="s">
        <v>2891</v>
      </c>
      <c r="AD112" s="274" t="s">
        <v>2</v>
      </c>
      <c r="AE112" s="51" t="s">
        <v>2</v>
      </c>
      <c r="AF112" s="239" t="s">
        <v>2</v>
      </c>
      <c r="AG112" s="239" t="s">
        <v>2</v>
      </c>
      <c r="AH112" s="216" t="s">
        <v>2</v>
      </c>
      <c r="AI112" s="239" t="s">
        <v>2</v>
      </c>
      <c r="AJ112" s="278" t="s">
        <v>2</v>
      </c>
      <c r="AK112" s="279" t="s">
        <v>2</v>
      </c>
      <c r="AL112" s="274" t="s">
        <v>775</v>
      </c>
      <c r="AM112" s="274" t="s">
        <v>68</v>
      </c>
      <c r="AN112" s="274" t="s">
        <v>89</v>
      </c>
      <c r="AO112" s="96">
        <v>24684</v>
      </c>
      <c r="AP112" s="221" t="s">
        <v>2825</v>
      </c>
      <c r="AQ112" s="152" t="s">
        <v>2847</v>
      </c>
      <c r="AR112" s="152" t="s">
        <v>2</v>
      </c>
      <c r="AS112" s="152" t="s">
        <v>414</v>
      </c>
      <c r="AT112" s="152" t="s">
        <v>2836</v>
      </c>
      <c r="AU112" s="152" t="s">
        <v>2</v>
      </c>
      <c r="AV112" s="282" t="s">
        <v>1249</v>
      </c>
    </row>
    <row r="113" spans="2:48" ht="15" customHeight="1">
      <c r="B113" s="280" t="e">
        <f t="shared" si="12"/>
        <v>#REF!</v>
      </c>
      <c r="D113" s="272">
        <v>31054</v>
      </c>
      <c r="E113" s="229">
        <v>893769</v>
      </c>
      <c r="F113" s="47">
        <v>17172</v>
      </c>
      <c r="G113" s="48" t="s">
        <v>2254</v>
      </c>
      <c r="H113" s="314" t="s">
        <v>418</v>
      </c>
      <c r="I113" s="48" t="s">
        <v>4</v>
      </c>
      <c r="J113" s="48" t="s">
        <v>403</v>
      </c>
      <c r="K113" s="275">
        <v>0.375</v>
      </c>
      <c r="L113" s="275">
        <v>0.63888888888888895</v>
      </c>
      <c r="M113" s="275">
        <v>0.2638888888888889</v>
      </c>
      <c r="N113" s="275">
        <v>0.4375</v>
      </c>
      <c r="O113" s="275">
        <v>0.5</v>
      </c>
      <c r="P113" s="275">
        <v>0.57638888888888895</v>
      </c>
      <c r="Q113" s="50">
        <v>42227</v>
      </c>
      <c r="R113" s="245" t="str">
        <f t="shared" ca="1" si="10"/>
        <v>W4+</v>
      </c>
      <c r="S113" s="50">
        <v>42254</v>
      </c>
      <c r="T113" s="245">
        <f t="shared" ca="1" si="11"/>
        <v>466</v>
      </c>
      <c r="U113" s="48" t="s">
        <v>2218</v>
      </c>
      <c r="V113" s="50">
        <v>42646</v>
      </c>
      <c r="W113" s="50">
        <v>42641</v>
      </c>
      <c r="X113" s="276" t="s">
        <v>2</v>
      </c>
      <c r="Y113" s="48" t="s">
        <v>2</v>
      </c>
      <c r="Z113" s="274" t="s">
        <v>2</v>
      </c>
      <c r="AA113" s="274" t="s">
        <v>2</v>
      </c>
      <c r="AB113" s="50" t="s">
        <v>2</v>
      </c>
      <c r="AC113" s="274" t="s">
        <v>2891</v>
      </c>
      <c r="AD113" s="274" t="s">
        <v>2</v>
      </c>
      <c r="AE113" s="51" t="s">
        <v>2</v>
      </c>
      <c r="AF113" s="274" t="s">
        <v>2</v>
      </c>
      <c r="AG113" s="274" t="s">
        <v>2</v>
      </c>
      <c r="AH113" s="216">
        <v>33446</v>
      </c>
      <c r="AI113" s="274" t="s">
        <v>2</v>
      </c>
      <c r="AJ113" s="278" t="s">
        <v>2</v>
      </c>
      <c r="AK113" s="279" t="s">
        <v>2</v>
      </c>
      <c r="AL113" s="48" t="s">
        <v>775</v>
      </c>
      <c r="AM113" s="48" t="s">
        <v>68</v>
      </c>
      <c r="AN113" s="48" t="s">
        <v>89</v>
      </c>
      <c r="AO113" s="96">
        <v>23484</v>
      </c>
      <c r="AP113" s="221" t="s">
        <v>2274</v>
      </c>
      <c r="AQ113" s="152" t="s">
        <v>2303</v>
      </c>
      <c r="AR113" s="152" t="s">
        <v>2</v>
      </c>
      <c r="AS113" s="152" t="s">
        <v>414</v>
      </c>
      <c r="AT113" s="152" t="s">
        <v>2615</v>
      </c>
      <c r="AU113" s="152" t="s">
        <v>2</v>
      </c>
      <c r="AV113" s="282" t="s">
        <v>1249</v>
      </c>
    </row>
    <row r="114" spans="2:48" ht="15" customHeight="1">
      <c r="B114" s="280" t="e">
        <f t="shared" si="12"/>
        <v>#REF!</v>
      </c>
      <c r="D114" s="272">
        <v>30603</v>
      </c>
      <c r="E114" s="312">
        <v>878994</v>
      </c>
      <c r="F114" s="313">
        <v>17082</v>
      </c>
      <c r="G114" s="314" t="s">
        <v>346</v>
      </c>
      <c r="H114" s="314" t="s">
        <v>418</v>
      </c>
      <c r="I114" s="314" t="s">
        <v>4</v>
      </c>
      <c r="J114" s="314" t="s">
        <v>403</v>
      </c>
      <c r="K114" s="275">
        <v>0.375</v>
      </c>
      <c r="L114" s="275">
        <v>0.63888888888888895</v>
      </c>
      <c r="M114" s="275">
        <v>0.2638888888888889</v>
      </c>
      <c r="N114" s="275">
        <v>0.44444444444444442</v>
      </c>
      <c r="O114" s="275">
        <v>0.51388888888888895</v>
      </c>
      <c r="P114" s="275">
        <v>0.58333333333333337</v>
      </c>
      <c r="Q114" s="276">
        <v>42107</v>
      </c>
      <c r="R114" s="284" t="str">
        <f t="shared" ca="1" si="10"/>
        <v>W4+</v>
      </c>
      <c r="S114" s="276">
        <v>42128</v>
      </c>
      <c r="T114" s="284">
        <f t="shared" ca="1" si="11"/>
        <v>592</v>
      </c>
      <c r="U114" s="314" t="s">
        <v>2218</v>
      </c>
      <c r="V114" s="276">
        <v>42460</v>
      </c>
      <c r="W114" s="276">
        <v>42522</v>
      </c>
      <c r="X114" s="227">
        <v>42541</v>
      </c>
      <c r="Y114" s="314" t="s">
        <v>2</v>
      </c>
      <c r="Z114" s="314" t="s">
        <v>2</v>
      </c>
      <c r="AA114" s="314" t="s">
        <v>2</v>
      </c>
      <c r="AB114" s="276" t="s">
        <v>2</v>
      </c>
      <c r="AC114" s="314" t="s">
        <v>2891</v>
      </c>
      <c r="AD114" s="314" t="s">
        <v>2</v>
      </c>
      <c r="AE114" s="277">
        <v>2998270</v>
      </c>
      <c r="AF114" s="314" t="s">
        <v>2</v>
      </c>
      <c r="AG114" s="314" t="s">
        <v>2</v>
      </c>
      <c r="AH114" s="216">
        <v>33159</v>
      </c>
      <c r="AI114" s="314" t="s">
        <v>2189</v>
      </c>
      <c r="AJ114" s="278" t="s">
        <v>2</v>
      </c>
      <c r="AK114" s="279" t="s">
        <v>2</v>
      </c>
      <c r="AL114" s="314" t="s">
        <v>775</v>
      </c>
      <c r="AM114" s="314" t="s">
        <v>68</v>
      </c>
      <c r="AN114" s="314" t="s">
        <v>89</v>
      </c>
      <c r="AO114" s="281">
        <v>810345</v>
      </c>
      <c r="AP114" s="221" t="s">
        <v>1024</v>
      </c>
      <c r="AQ114" s="316" t="s">
        <v>673</v>
      </c>
      <c r="AR114" s="316" t="s">
        <v>2</v>
      </c>
      <c r="AS114" s="316" t="s">
        <v>414</v>
      </c>
      <c r="AT114" s="316" t="s">
        <v>2618</v>
      </c>
      <c r="AU114" s="316" t="s">
        <v>2</v>
      </c>
      <c r="AV114" s="282" t="s">
        <v>1249</v>
      </c>
    </row>
    <row r="115" spans="2:48" ht="15" customHeight="1">
      <c r="B115" s="280" t="e">
        <f t="shared" si="12"/>
        <v>#REF!</v>
      </c>
      <c r="D115" s="272">
        <v>30180</v>
      </c>
      <c r="E115" s="229">
        <v>873186</v>
      </c>
      <c r="F115" s="238">
        <v>17104</v>
      </c>
      <c r="G115" s="239" t="s">
        <v>329</v>
      </c>
      <c r="H115" s="314" t="s">
        <v>418</v>
      </c>
      <c r="I115" s="239" t="s">
        <v>4</v>
      </c>
      <c r="J115" s="239" t="s">
        <v>403</v>
      </c>
      <c r="K115" s="275">
        <v>0.39583333333333331</v>
      </c>
      <c r="L115" s="275">
        <v>0.73749999999999993</v>
      </c>
      <c r="M115" s="275">
        <v>0.34166666666666662</v>
      </c>
      <c r="N115" s="275">
        <v>0.51388888888888895</v>
      </c>
      <c r="O115" s="275">
        <v>0.58333333333333337</v>
      </c>
      <c r="P115" s="275">
        <v>0.6875</v>
      </c>
      <c r="Q115" s="241">
        <v>42044</v>
      </c>
      <c r="R115" s="245" t="str">
        <f t="shared" ca="1" si="10"/>
        <v>W4+</v>
      </c>
      <c r="S115" s="241">
        <v>42068</v>
      </c>
      <c r="T115" s="245">
        <f t="shared" ca="1" si="11"/>
        <v>652</v>
      </c>
      <c r="U115" s="239" t="s">
        <v>2218</v>
      </c>
      <c r="V115" s="241">
        <v>42489</v>
      </c>
      <c r="W115" s="241">
        <v>42492</v>
      </c>
      <c r="X115" s="276">
        <v>42521</v>
      </c>
      <c r="Y115" s="314" t="s">
        <v>2</v>
      </c>
      <c r="Z115" s="239" t="s">
        <v>2</v>
      </c>
      <c r="AA115" s="239" t="s">
        <v>2</v>
      </c>
      <c r="AB115" s="241" t="s">
        <v>2</v>
      </c>
      <c r="AC115" s="239" t="s">
        <v>2891</v>
      </c>
      <c r="AD115" s="274" t="s">
        <v>2</v>
      </c>
      <c r="AE115" s="51" t="s">
        <v>766</v>
      </c>
      <c r="AF115" s="239" t="s">
        <v>2</v>
      </c>
      <c r="AG115" s="239" t="s">
        <v>2</v>
      </c>
      <c r="AH115" s="216">
        <v>35282</v>
      </c>
      <c r="AI115" s="239" t="s">
        <v>2193</v>
      </c>
      <c r="AJ115" s="278" t="s">
        <v>2</v>
      </c>
      <c r="AK115" s="279" t="s">
        <v>2</v>
      </c>
      <c r="AL115" s="274" t="s">
        <v>775</v>
      </c>
      <c r="AM115" s="274" t="s">
        <v>68</v>
      </c>
      <c r="AN115" s="274" t="s">
        <v>89</v>
      </c>
      <c r="AO115" s="242">
        <v>810238</v>
      </c>
      <c r="AP115" s="221" t="s">
        <v>1007</v>
      </c>
      <c r="AQ115" s="152" t="s">
        <v>656</v>
      </c>
      <c r="AR115" s="152" t="s">
        <v>2</v>
      </c>
      <c r="AS115" s="152" t="s">
        <v>414</v>
      </c>
      <c r="AT115" s="152" t="s">
        <v>2626</v>
      </c>
      <c r="AU115" s="152" t="s">
        <v>2</v>
      </c>
      <c r="AV115" s="282" t="s">
        <v>1249</v>
      </c>
    </row>
    <row r="116" spans="2:48" ht="15" customHeight="1">
      <c r="B116" s="280" t="e">
        <f t="shared" si="12"/>
        <v>#REF!</v>
      </c>
      <c r="D116" s="272">
        <v>29865</v>
      </c>
      <c r="E116" s="315">
        <v>868181</v>
      </c>
      <c r="F116" s="313">
        <v>17087</v>
      </c>
      <c r="G116" s="314" t="s">
        <v>319</v>
      </c>
      <c r="H116" s="314" t="s">
        <v>417</v>
      </c>
      <c r="I116" s="314" t="s">
        <v>4</v>
      </c>
      <c r="J116" s="314" t="s">
        <v>403</v>
      </c>
      <c r="K116" s="275">
        <v>0.41666666666666669</v>
      </c>
      <c r="L116" s="275">
        <v>0.7583333333333333</v>
      </c>
      <c r="M116" s="275">
        <v>0.34166666666666662</v>
      </c>
      <c r="N116" s="275">
        <v>0.52777777777777779</v>
      </c>
      <c r="O116" s="275">
        <v>0.58333333333333337</v>
      </c>
      <c r="P116" s="275">
        <v>0.67361111111111116</v>
      </c>
      <c r="Q116" s="276">
        <v>41983</v>
      </c>
      <c r="R116" s="284" t="str">
        <f t="shared" ca="1" si="10"/>
        <v>W4+</v>
      </c>
      <c r="S116" s="276">
        <v>42009</v>
      </c>
      <c r="T116" s="284">
        <f t="shared" ca="1" si="11"/>
        <v>711</v>
      </c>
      <c r="U116" s="314" t="s">
        <v>2218</v>
      </c>
      <c r="V116" s="276">
        <v>42663</v>
      </c>
      <c r="W116" s="276">
        <v>42664</v>
      </c>
      <c r="X116" s="276" t="s">
        <v>2</v>
      </c>
      <c r="Y116" s="314" t="s">
        <v>2</v>
      </c>
      <c r="Z116" s="314" t="s">
        <v>2</v>
      </c>
      <c r="AA116" s="314" t="s">
        <v>2</v>
      </c>
      <c r="AB116" s="276" t="s">
        <v>2</v>
      </c>
      <c r="AC116" s="314" t="s">
        <v>2891</v>
      </c>
      <c r="AD116" s="314" t="s">
        <v>2</v>
      </c>
      <c r="AE116" s="277">
        <v>3807190</v>
      </c>
      <c r="AF116" s="314" t="s">
        <v>2</v>
      </c>
      <c r="AG116" s="314" t="s">
        <v>2</v>
      </c>
      <c r="AH116" s="216" t="s">
        <v>2</v>
      </c>
      <c r="AI116" s="314" t="s">
        <v>2195</v>
      </c>
      <c r="AJ116" s="278" t="s">
        <v>2</v>
      </c>
      <c r="AK116" s="279" t="s">
        <v>2</v>
      </c>
      <c r="AL116" s="314" t="s">
        <v>775</v>
      </c>
      <c r="AM116" s="314" t="s">
        <v>68</v>
      </c>
      <c r="AN116" s="314" t="s">
        <v>89</v>
      </c>
      <c r="AO116" s="281">
        <v>810243</v>
      </c>
      <c r="AP116" s="221" t="s">
        <v>997</v>
      </c>
      <c r="AQ116" s="316" t="s">
        <v>646</v>
      </c>
      <c r="AR116" s="316" t="s">
        <v>2</v>
      </c>
      <c r="AS116" s="316" t="s">
        <v>414</v>
      </c>
      <c r="AT116" s="316" t="s">
        <v>2635</v>
      </c>
      <c r="AU116" s="316" t="s">
        <v>2</v>
      </c>
      <c r="AV116" s="282" t="s">
        <v>1249</v>
      </c>
    </row>
    <row r="117" spans="2:48" ht="15" customHeight="1">
      <c r="B117" s="280" t="e">
        <f t="shared" si="12"/>
        <v>#REF!</v>
      </c>
      <c r="D117" s="272">
        <v>30456</v>
      </c>
      <c r="E117" s="229">
        <v>876661</v>
      </c>
      <c r="F117" s="238">
        <v>17134</v>
      </c>
      <c r="G117" s="239" t="s">
        <v>301</v>
      </c>
      <c r="H117" s="314" t="s">
        <v>418</v>
      </c>
      <c r="I117" s="239" t="s">
        <v>10</v>
      </c>
      <c r="J117" s="239" t="s">
        <v>403</v>
      </c>
      <c r="K117" s="275">
        <v>0.41666666666666669</v>
      </c>
      <c r="L117" s="275">
        <v>0.7583333333333333</v>
      </c>
      <c r="M117" s="275">
        <v>0.34166666666666662</v>
      </c>
      <c r="N117" s="275">
        <v>0.47222222222222227</v>
      </c>
      <c r="O117" s="275">
        <v>0.5625</v>
      </c>
      <c r="P117" s="275">
        <v>0.65277777777777779</v>
      </c>
      <c r="Q117" s="241">
        <v>42079</v>
      </c>
      <c r="R117" s="245" t="str">
        <f t="shared" ca="1" si="10"/>
        <v>W4+</v>
      </c>
      <c r="S117" s="241">
        <v>42103</v>
      </c>
      <c r="T117" s="245">
        <f t="shared" ca="1" si="11"/>
        <v>617</v>
      </c>
      <c r="U117" s="239" t="s">
        <v>2218</v>
      </c>
      <c r="V117" s="241">
        <v>42705</v>
      </c>
      <c r="W117" s="241">
        <v>42705</v>
      </c>
      <c r="X117" s="276">
        <v>42735</v>
      </c>
      <c r="Y117" s="239" t="s">
        <v>2</v>
      </c>
      <c r="Z117" s="274" t="s">
        <v>2</v>
      </c>
      <c r="AA117" s="239" t="s">
        <v>2</v>
      </c>
      <c r="AB117" s="241" t="s">
        <v>2</v>
      </c>
      <c r="AC117" s="274" t="s">
        <v>2891</v>
      </c>
      <c r="AD117" s="274" t="s">
        <v>2</v>
      </c>
      <c r="AE117" s="51" t="s">
        <v>760</v>
      </c>
      <c r="AF117" s="274" t="s">
        <v>2</v>
      </c>
      <c r="AG117" s="274" t="s">
        <v>2</v>
      </c>
      <c r="AH117" s="216">
        <v>35102</v>
      </c>
      <c r="AI117" s="274" t="s">
        <v>2192</v>
      </c>
      <c r="AJ117" s="278" t="s">
        <v>2</v>
      </c>
      <c r="AK117" s="279" t="s">
        <v>2</v>
      </c>
      <c r="AL117" s="239" t="s">
        <v>775</v>
      </c>
      <c r="AM117" s="239" t="s">
        <v>68</v>
      </c>
      <c r="AN117" s="239" t="s">
        <v>89</v>
      </c>
      <c r="AO117" s="242">
        <v>810277</v>
      </c>
      <c r="AP117" s="221" t="s">
        <v>981</v>
      </c>
      <c r="AQ117" s="152" t="s">
        <v>629</v>
      </c>
      <c r="AR117" s="152" t="s">
        <v>2</v>
      </c>
      <c r="AS117" s="152" t="s">
        <v>414</v>
      </c>
      <c r="AT117" s="152" t="s">
        <v>2596</v>
      </c>
      <c r="AU117" s="152" t="s">
        <v>1249</v>
      </c>
      <c r="AV117" s="243" t="s">
        <v>1249</v>
      </c>
    </row>
    <row r="118" spans="2:48" ht="15" customHeight="1">
      <c r="B118" s="280" t="e">
        <f t="shared" si="12"/>
        <v>#REF!</v>
      </c>
      <c r="D118" s="272">
        <v>16379</v>
      </c>
      <c r="E118" s="315">
        <v>724445</v>
      </c>
      <c r="F118" s="238">
        <v>12878</v>
      </c>
      <c r="G118" s="239" t="s">
        <v>347</v>
      </c>
      <c r="H118" s="314" t="s">
        <v>418</v>
      </c>
      <c r="I118" s="239" t="s">
        <v>9</v>
      </c>
      <c r="J118" s="239" t="s">
        <v>403</v>
      </c>
      <c r="K118" s="275">
        <v>0.41666666666666669</v>
      </c>
      <c r="L118" s="275">
        <v>0.7583333333333333</v>
      </c>
      <c r="M118" s="275">
        <v>0.34166666666666662</v>
      </c>
      <c r="N118" s="275">
        <v>0.52777777777777779</v>
      </c>
      <c r="O118" s="275">
        <v>0.58333333333333337</v>
      </c>
      <c r="P118" s="275">
        <v>0.66666666666666663</v>
      </c>
      <c r="Q118" s="241">
        <v>40634</v>
      </c>
      <c r="R118" s="245" t="str">
        <f t="shared" ca="1" si="10"/>
        <v>W4+</v>
      </c>
      <c r="S118" s="241">
        <v>40657</v>
      </c>
      <c r="T118" s="245">
        <f t="shared" ca="1" si="11"/>
        <v>2063</v>
      </c>
      <c r="U118" s="239" t="s">
        <v>2218</v>
      </c>
      <c r="V118" s="241">
        <v>42710</v>
      </c>
      <c r="W118" s="241">
        <v>42710</v>
      </c>
      <c r="X118" s="227" t="s">
        <v>2</v>
      </c>
      <c r="Y118" s="248" t="s">
        <v>2246</v>
      </c>
      <c r="Z118" s="239" t="s">
        <v>2</v>
      </c>
      <c r="AA118" s="239" t="s">
        <v>2</v>
      </c>
      <c r="AB118" s="241" t="s">
        <v>2</v>
      </c>
      <c r="AC118" s="239" t="s">
        <v>2891</v>
      </c>
      <c r="AD118" s="274" t="s">
        <v>2</v>
      </c>
      <c r="AE118" s="51">
        <v>3324002</v>
      </c>
      <c r="AF118" s="239" t="s">
        <v>2</v>
      </c>
      <c r="AG118" s="239" t="s">
        <v>2</v>
      </c>
      <c r="AH118" s="216">
        <v>31573</v>
      </c>
      <c r="AI118" s="239" t="s">
        <v>2195</v>
      </c>
      <c r="AJ118" s="278" t="s">
        <v>2</v>
      </c>
      <c r="AK118" s="279" t="s">
        <v>2</v>
      </c>
      <c r="AL118" s="274" t="s">
        <v>775</v>
      </c>
      <c r="AM118" s="274" t="s">
        <v>68</v>
      </c>
      <c r="AN118" s="274" t="s">
        <v>89</v>
      </c>
      <c r="AO118" s="242">
        <v>23479</v>
      </c>
      <c r="AP118" s="221" t="s">
        <v>1025</v>
      </c>
      <c r="AQ118" s="152" t="s">
        <v>674</v>
      </c>
      <c r="AR118" s="152" t="s">
        <v>2</v>
      </c>
      <c r="AS118" s="152" t="s">
        <v>414</v>
      </c>
      <c r="AT118" s="152" t="s">
        <v>2622</v>
      </c>
      <c r="AU118" s="152" t="s">
        <v>2</v>
      </c>
      <c r="AV118" s="282" t="s">
        <v>1249</v>
      </c>
    </row>
    <row r="119" spans="2:48" ht="15.75" customHeight="1">
      <c r="B119" s="280" t="e">
        <f t="shared" si="12"/>
        <v>#REF!</v>
      </c>
      <c r="D119" s="272">
        <v>26949</v>
      </c>
      <c r="E119" s="315">
        <v>823999</v>
      </c>
      <c r="F119" s="238">
        <v>17137</v>
      </c>
      <c r="G119" s="239" t="s">
        <v>317</v>
      </c>
      <c r="H119" s="314" t="s">
        <v>417</v>
      </c>
      <c r="I119" s="239" t="s">
        <v>4</v>
      </c>
      <c r="J119" s="239" t="s">
        <v>403</v>
      </c>
      <c r="K119" s="275">
        <v>0.4916666666666667</v>
      </c>
      <c r="L119" s="275">
        <v>0.83333333333333337</v>
      </c>
      <c r="M119" s="275">
        <v>0.34166666666666662</v>
      </c>
      <c r="N119" s="275">
        <v>0.63194444444444442</v>
      </c>
      <c r="O119" s="275">
        <v>0.68055555555555547</v>
      </c>
      <c r="P119" s="275">
        <v>0.78472222222222221</v>
      </c>
      <c r="Q119" s="241">
        <v>41584</v>
      </c>
      <c r="R119" s="245" t="str">
        <f t="shared" ca="1" si="10"/>
        <v>W4+</v>
      </c>
      <c r="S119" s="241">
        <v>41619</v>
      </c>
      <c r="T119" s="245">
        <f t="shared" ca="1" si="11"/>
        <v>1101</v>
      </c>
      <c r="U119" s="239" t="s">
        <v>2218</v>
      </c>
      <c r="V119" s="241">
        <v>42523</v>
      </c>
      <c r="W119" s="276">
        <v>42523</v>
      </c>
      <c r="X119" s="276" t="s">
        <v>2</v>
      </c>
      <c r="Y119" s="239" t="s">
        <v>2</v>
      </c>
      <c r="Z119" s="239" t="s">
        <v>2</v>
      </c>
      <c r="AA119" s="239" t="s">
        <v>2</v>
      </c>
      <c r="AB119" s="241" t="s">
        <v>2</v>
      </c>
      <c r="AC119" s="239" t="s">
        <v>2891</v>
      </c>
      <c r="AD119" s="239" t="s">
        <v>2</v>
      </c>
      <c r="AE119" s="51" t="s">
        <v>763</v>
      </c>
      <c r="AF119" s="274" t="s">
        <v>2</v>
      </c>
      <c r="AG119" s="274" t="s">
        <v>2</v>
      </c>
      <c r="AH119" s="216">
        <v>29315</v>
      </c>
      <c r="AI119" s="274" t="s">
        <v>2189</v>
      </c>
      <c r="AJ119" s="278" t="s">
        <v>2</v>
      </c>
      <c r="AK119" s="54" t="s">
        <v>2</v>
      </c>
      <c r="AL119" s="239" t="s">
        <v>775</v>
      </c>
      <c r="AM119" s="239" t="s">
        <v>68</v>
      </c>
      <c r="AN119" s="239" t="s">
        <v>89</v>
      </c>
      <c r="AO119" s="242">
        <v>810080</v>
      </c>
      <c r="AP119" s="221" t="s">
        <v>995</v>
      </c>
      <c r="AQ119" s="152" t="s">
        <v>644</v>
      </c>
      <c r="AR119" s="152" t="s">
        <v>2</v>
      </c>
      <c r="AS119" s="152" t="s">
        <v>414</v>
      </c>
      <c r="AT119" s="152" t="s">
        <v>2634</v>
      </c>
      <c r="AU119" s="152" t="s">
        <v>2</v>
      </c>
      <c r="AV119" s="282" t="s">
        <v>1249</v>
      </c>
    </row>
    <row r="120" spans="2:48" ht="15" customHeight="1">
      <c r="B120" s="280" t="e">
        <f t="shared" si="12"/>
        <v>#REF!</v>
      </c>
      <c r="D120" s="272">
        <v>29863</v>
      </c>
      <c r="E120" s="315">
        <v>868179</v>
      </c>
      <c r="F120" s="238">
        <v>17023</v>
      </c>
      <c r="G120" s="239" t="s">
        <v>326</v>
      </c>
      <c r="H120" s="314" t="s">
        <v>417</v>
      </c>
      <c r="I120" s="239" t="s">
        <v>9</v>
      </c>
      <c r="J120" s="239" t="s">
        <v>403</v>
      </c>
      <c r="K120" s="275">
        <v>0.57500000000000007</v>
      </c>
      <c r="L120" s="275">
        <v>0.91666666666666663</v>
      </c>
      <c r="M120" s="275">
        <v>0.34166666666666662</v>
      </c>
      <c r="N120" s="275">
        <v>0.65277777777777779</v>
      </c>
      <c r="O120" s="275">
        <v>0.73611111111111116</v>
      </c>
      <c r="P120" s="275">
        <v>0.82638888888888884</v>
      </c>
      <c r="Q120" s="241">
        <v>41983</v>
      </c>
      <c r="R120" s="245" t="str">
        <f t="shared" ca="1" si="10"/>
        <v>W4+</v>
      </c>
      <c r="S120" s="241">
        <v>42009</v>
      </c>
      <c r="T120" s="245">
        <f t="shared" ca="1" si="11"/>
        <v>711</v>
      </c>
      <c r="U120" s="239" t="s">
        <v>2218</v>
      </c>
      <c r="V120" s="241">
        <v>42710</v>
      </c>
      <c r="W120" s="241">
        <v>42710</v>
      </c>
      <c r="X120" s="227" t="s">
        <v>2</v>
      </c>
      <c r="Y120" s="239" t="s">
        <v>2246</v>
      </c>
      <c r="Z120" s="239" t="s">
        <v>2</v>
      </c>
      <c r="AA120" s="239" t="s">
        <v>2</v>
      </c>
      <c r="AB120" s="241" t="s">
        <v>2</v>
      </c>
      <c r="AC120" s="239" t="s">
        <v>2891</v>
      </c>
      <c r="AD120" s="239" t="s">
        <v>2</v>
      </c>
      <c r="AE120" s="51">
        <v>8072210</v>
      </c>
      <c r="AF120" s="239" t="s">
        <v>2</v>
      </c>
      <c r="AG120" s="239" t="s">
        <v>2</v>
      </c>
      <c r="AH120" s="216" t="s">
        <v>2</v>
      </c>
      <c r="AI120" s="239" t="s">
        <v>2194</v>
      </c>
      <c r="AJ120" s="53" t="s">
        <v>2</v>
      </c>
      <c r="AK120" s="54" t="s">
        <v>2</v>
      </c>
      <c r="AL120" s="239" t="s">
        <v>775</v>
      </c>
      <c r="AM120" s="239" t="s">
        <v>68</v>
      </c>
      <c r="AN120" s="239" t="s">
        <v>89</v>
      </c>
      <c r="AO120" s="242">
        <v>810242</v>
      </c>
      <c r="AP120" s="221" t="s">
        <v>1004</v>
      </c>
      <c r="AQ120" s="152" t="s">
        <v>653</v>
      </c>
      <c r="AR120" s="152" t="s">
        <v>2</v>
      </c>
      <c r="AS120" s="152" t="s">
        <v>414</v>
      </c>
      <c r="AT120" s="152" t="s">
        <v>2625</v>
      </c>
      <c r="AU120" s="152" t="s">
        <v>2</v>
      </c>
      <c r="AV120" s="282" t="s">
        <v>1249</v>
      </c>
    </row>
    <row r="121" spans="2:48" ht="15" customHeight="1">
      <c r="B121" s="280" t="e">
        <f t="shared" si="12"/>
        <v>#REF!</v>
      </c>
      <c r="D121" s="272">
        <v>28885</v>
      </c>
      <c r="E121" s="229">
        <v>847839</v>
      </c>
      <c r="F121" s="47">
        <v>12055</v>
      </c>
      <c r="G121" s="48" t="s">
        <v>318</v>
      </c>
      <c r="H121" s="314" t="s">
        <v>417</v>
      </c>
      <c r="I121" s="48" t="s">
        <v>6</v>
      </c>
      <c r="J121" s="48" t="s">
        <v>403</v>
      </c>
      <c r="K121" s="275">
        <v>0.57500000000000007</v>
      </c>
      <c r="L121" s="275">
        <v>0.91666666666666663</v>
      </c>
      <c r="M121" s="275">
        <v>0.34166666666666662</v>
      </c>
      <c r="N121" s="275" t="s">
        <v>2</v>
      </c>
      <c r="O121" s="275" t="s">
        <v>2</v>
      </c>
      <c r="P121" s="275" t="s">
        <v>2</v>
      </c>
      <c r="Q121" s="50">
        <v>41830</v>
      </c>
      <c r="R121" s="245" t="str">
        <f t="shared" ca="1" si="10"/>
        <v>W4+</v>
      </c>
      <c r="S121" s="50">
        <v>41858</v>
      </c>
      <c r="T121" s="245">
        <f t="shared" ca="1" si="11"/>
        <v>862</v>
      </c>
      <c r="U121" s="48" t="s">
        <v>2220</v>
      </c>
      <c r="V121" s="50">
        <v>42534</v>
      </c>
      <c r="W121" s="50">
        <v>42527</v>
      </c>
      <c r="X121" s="276">
        <v>42557</v>
      </c>
      <c r="Y121" s="48" t="s">
        <v>2</v>
      </c>
      <c r="Z121" s="274" t="s">
        <v>2</v>
      </c>
      <c r="AA121" s="274" t="s">
        <v>2</v>
      </c>
      <c r="AB121" s="50" t="s">
        <v>2</v>
      </c>
      <c r="AC121" s="239" t="s">
        <v>2891</v>
      </c>
      <c r="AD121" s="239" t="s">
        <v>2</v>
      </c>
      <c r="AE121" s="51" t="s">
        <v>2</v>
      </c>
      <c r="AF121" s="239" t="s">
        <v>2</v>
      </c>
      <c r="AG121" s="239" t="s">
        <v>2</v>
      </c>
      <c r="AH121" s="216">
        <v>31790</v>
      </c>
      <c r="AI121" s="239" t="s">
        <v>2</v>
      </c>
      <c r="AJ121" s="278" t="s">
        <v>2</v>
      </c>
      <c r="AK121" s="279" t="s">
        <v>2</v>
      </c>
      <c r="AL121" s="48" t="s">
        <v>775</v>
      </c>
      <c r="AM121" s="48" t="s">
        <v>68</v>
      </c>
      <c r="AN121" s="48" t="s">
        <v>89</v>
      </c>
      <c r="AO121" s="96">
        <v>810084</v>
      </c>
      <c r="AP121" s="221" t="s">
        <v>996</v>
      </c>
      <c r="AQ121" s="152" t="s">
        <v>645</v>
      </c>
      <c r="AR121" s="152" t="s">
        <v>2</v>
      </c>
      <c r="AS121" s="152" t="s">
        <v>414</v>
      </c>
      <c r="AT121" s="152" t="s">
        <v>2629</v>
      </c>
      <c r="AU121" s="152" t="s">
        <v>2</v>
      </c>
      <c r="AV121" s="282" t="s">
        <v>1249</v>
      </c>
    </row>
    <row r="122" spans="2:48" ht="15" customHeight="1">
      <c r="B122" s="280" t="e">
        <f t="shared" si="12"/>
        <v>#REF!</v>
      </c>
      <c r="D122" s="272">
        <v>31405</v>
      </c>
      <c r="E122" s="315">
        <v>909818</v>
      </c>
      <c r="F122" s="313">
        <v>12303</v>
      </c>
      <c r="G122" s="314" t="s">
        <v>2420</v>
      </c>
      <c r="H122" s="314" t="s">
        <v>417</v>
      </c>
      <c r="I122" s="314" t="s">
        <v>4</v>
      </c>
      <c r="J122" s="314" t="s">
        <v>403</v>
      </c>
      <c r="K122" s="275">
        <v>0.59722222222222221</v>
      </c>
      <c r="L122" s="275">
        <v>0.86111111111111116</v>
      </c>
      <c r="M122" s="275">
        <v>0.2638888888888889</v>
      </c>
      <c r="N122" s="275">
        <v>0.66666666666666663</v>
      </c>
      <c r="O122" s="275">
        <v>0.74305555555555547</v>
      </c>
      <c r="P122" s="275">
        <v>0.80555555555555547</v>
      </c>
      <c r="Q122" s="276">
        <v>42340</v>
      </c>
      <c r="R122" s="284" t="str">
        <f t="shared" ca="1" si="10"/>
        <v>W4+</v>
      </c>
      <c r="S122" s="276">
        <v>42362</v>
      </c>
      <c r="T122" s="284">
        <f t="shared" ca="1" si="11"/>
        <v>358</v>
      </c>
      <c r="U122" s="314" t="s">
        <v>2218</v>
      </c>
      <c r="V122" s="276">
        <v>42706</v>
      </c>
      <c r="W122" s="276">
        <v>42706</v>
      </c>
      <c r="X122" s="276" t="s">
        <v>2</v>
      </c>
      <c r="Y122" s="314" t="s">
        <v>2</v>
      </c>
      <c r="Z122" s="314" t="s">
        <v>2</v>
      </c>
      <c r="AA122" s="314" t="s">
        <v>2</v>
      </c>
      <c r="AB122" s="276" t="s">
        <v>2</v>
      </c>
      <c r="AC122" s="314" t="s">
        <v>2891</v>
      </c>
      <c r="AD122" s="314" t="s">
        <v>2</v>
      </c>
      <c r="AE122" s="277" t="s">
        <v>2512</v>
      </c>
      <c r="AF122" s="314" t="s">
        <v>2</v>
      </c>
      <c r="AG122" s="314" t="s">
        <v>2</v>
      </c>
      <c r="AH122" s="216">
        <v>35431</v>
      </c>
      <c r="AI122" s="314" t="s">
        <v>2188</v>
      </c>
      <c r="AJ122" s="278" t="s">
        <v>2</v>
      </c>
      <c r="AK122" s="279" t="s">
        <v>2</v>
      </c>
      <c r="AL122" s="314" t="s">
        <v>775</v>
      </c>
      <c r="AM122" s="314" t="s">
        <v>68</v>
      </c>
      <c r="AN122" s="314" t="s">
        <v>89</v>
      </c>
      <c r="AO122" s="281">
        <v>24216</v>
      </c>
      <c r="AP122" s="221" t="s">
        <v>2447</v>
      </c>
      <c r="AQ122" s="316" t="s">
        <v>2470</v>
      </c>
      <c r="AR122" s="316" t="s">
        <v>2</v>
      </c>
      <c r="AS122" s="316" t="s">
        <v>414</v>
      </c>
      <c r="AT122" s="316" t="s">
        <v>2491</v>
      </c>
      <c r="AU122" s="316" t="s">
        <v>1249</v>
      </c>
      <c r="AV122" s="282" t="s">
        <v>1249</v>
      </c>
    </row>
    <row r="123" spans="2:48" ht="15" customHeight="1">
      <c r="B123" s="280" t="e">
        <f t="shared" si="12"/>
        <v>#REF!</v>
      </c>
      <c r="D123" s="272">
        <v>31400</v>
      </c>
      <c r="E123" s="312">
        <v>909813</v>
      </c>
      <c r="F123" s="47">
        <v>12295</v>
      </c>
      <c r="G123" s="239" t="s">
        <v>2424</v>
      </c>
      <c r="H123" s="314" t="s">
        <v>417</v>
      </c>
      <c r="I123" s="239" t="s">
        <v>4</v>
      </c>
      <c r="J123" s="239" t="s">
        <v>403</v>
      </c>
      <c r="K123" s="275">
        <v>0.59722222222222221</v>
      </c>
      <c r="L123" s="275">
        <v>0.86111111111111116</v>
      </c>
      <c r="M123" s="275">
        <v>0.2638888888888889</v>
      </c>
      <c r="N123" s="275">
        <v>0.65972222222222221</v>
      </c>
      <c r="O123" s="275">
        <v>0.72916666666666663</v>
      </c>
      <c r="P123" s="275">
        <v>0.80555555555555547</v>
      </c>
      <c r="Q123" s="241">
        <v>42340</v>
      </c>
      <c r="R123" s="245" t="str">
        <f t="shared" ca="1" si="10"/>
        <v>W4+</v>
      </c>
      <c r="S123" s="241">
        <v>42362</v>
      </c>
      <c r="T123" s="245">
        <f t="shared" ca="1" si="11"/>
        <v>358</v>
      </c>
      <c r="U123" s="239" t="s">
        <v>2218</v>
      </c>
      <c r="V123" s="241">
        <v>42691</v>
      </c>
      <c r="W123" s="276">
        <v>42691</v>
      </c>
      <c r="X123" s="276">
        <v>42704</v>
      </c>
      <c r="Y123" s="239" t="s">
        <v>2</v>
      </c>
      <c r="Z123" s="314" t="s">
        <v>2</v>
      </c>
      <c r="AA123" s="274" t="s">
        <v>2</v>
      </c>
      <c r="AB123" s="241" t="s">
        <v>2</v>
      </c>
      <c r="AC123" s="314" t="s">
        <v>2891</v>
      </c>
      <c r="AD123" s="314" t="s">
        <v>2</v>
      </c>
      <c r="AE123" s="51" t="s">
        <v>2509</v>
      </c>
      <c r="AF123" s="314" t="s">
        <v>2</v>
      </c>
      <c r="AG123" s="314" t="s">
        <v>2</v>
      </c>
      <c r="AH123" s="216">
        <v>34318</v>
      </c>
      <c r="AI123" s="314" t="s">
        <v>2193</v>
      </c>
      <c r="AJ123" s="278" t="s">
        <v>2</v>
      </c>
      <c r="AK123" s="279" t="s">
        <v>2</v>
      </c>
      <c r="AL123" s="239" t="s">
        <v>775</v>
      </c>
      <c r="AM123" s="239" t="s">
        <v>68</v>
      </c>
      <c r="AN123" s="239" t="s">
        <v>89</v>
      </c>
      <c r="AO123" s="96">
        <v>24214</v>
      </c>
      <c r="AP123" s="221" t="s">
        <v>2444</v>
      </c>
      <c r="AQ123" s="152" t="s">
        <v>2467</v>
      </c>
      <c r="AR123" s="152" t="s">
        <v>2</v>
      </c>
      <c r="AS123" s="152" t="s">
        <v>414</v>
      </c>
      <c r="AT123" s="152" t="s">
        <v>2488</v>
      </c>
      <c r="AU123" s="152" t="s">
        <v>1249</v>
      </c>
      <c r="AV123" s="282" t="s">
        <v>1249</v>
      </c>
    </row>
    <row r="124" spans="2:48" ht="15" customHeight="1">
      <c r="B124" s="280" t="e">
        <f t="shared" si="12"/>
        <v>#REF!</v>
      </c>
      <c r="D124" s="272">
        <v>31518</v>
      </c>
      <c r="E124" s="229">
        <v>915118</v>
      </c>
      <c r="F124" s="238">
        <v>17048</v>
      </c>
      <c r="G124" s="239" t="s">
        <v>2684</v>
      </c>
      <c r="H124" s="314" t="s">
        <v>417</v>
      </c>
      <c r="I124" s="239" t="s">
        <v>4</v>
      </c>
      <c r="J124" s="239" t="s">
        <v>403</v>
      </c>
      <c r="K124" s="275">
        <v>0.59722222222222221</v>
      </c>
      <c r="L124" s="275">
        <v>0.86111111111111116</v>
      </c>
      <c r="M124" s="275">
        <v>0.2638888888888889</v>
      </c>
      <c r="N124" s="275">
        <v>0.67361111111111116</v>
      </c>
      <c r="O124" s="275">
        <v>0.72916666666666663</v>
      </c>
      <c r="P124" s="275">
        <v>0.79166666666666663</v>
      </c>
      <c r="Q124" s="241">
        <v>42404</v>
      </c>
      <c r="R124" s="245" t="str">
        <f t="shared" ca="1" si="10"/>
        <v>W4+</v>
      </c>
      <c r="S124" s="241">
        <v>42429</v>
      </c>
      <c r="T124" s="245">
        <f t="shared" ca="1" si="11"/>
        <v>291</v>
      </c>
      <c r="U124" s="239" t="s">
        <v>2218</v>
      </c>
      <c r="V124" s="241">
        <v>42427</v>
      </c>
      <c r="W124" s="241" t="s">
        <v>2</v>
      </c>
      <c r="X124" s="227" t="s">
        <v>2</v>
      </c>
      <c r="Y124" s="239" t="s">
        <v>2</v>
      </c>
      <c r="Z124" s="239" t="s">
        <v>2</v>
      </c>
      <c r="AA124" s="239" t="s">
        <v>2</v>
      </c>
      <c r="AB124" s="241" t="s">
        <v>2</v>
      </c>
      <c r="AC124" s="239" t="s">
        <v>2891</v>
      </c>
      <c r="AD124" s="239" t="s">
        <v>2</v>
      </c>
      <c r="AE124" s="51" t="s">
        <v>2</v>
      </c>
      <c r="AF124" s="239" t="s">
        <v>2</v>
      </c>
      <c r="AG124" s="239" t="s">
        <v>2</v>
      </c>
      <c r="AH124" s="216" t="s">
        <v>2</v>
      </c>
      <c r="AI124" s="239" t="s">
        <v>2</v>
      </c>
      <c r="AJ124" s="53" t="s">
        <v>2</v>
      </c>
      <c r="AK124" s="54" t="s">
        <v>2</v>
      </c>
      <c r="AL124" s="239" t="s">
        <v>775</v>
      </c>
      <c r="AM124" s="239" t="s">
        <v>68</v>
      </c>
      <c r="AN124" s="239" t="s">
        <v>89</v>
      </c>
      <c r="AO124" s="96">
        <v>810389</v>
      </c>
      <c r="AP124" s="221" t="s">
        <v>2700</v>
      </c>
      <c r="AQ124" s="152" t="s">
        <v>2748</v>
      </c>
      <c r="AR124" s="152" t="s">
        <v>2</v>
      </c>
      <c r="AS124" s="152" t="s">
        <v>414</v>
      </c>
      <c r="AT124" s="152" t="s">
        <v>2749</v>
      </c>
      <c r="AU124" s="152" t="s">
        <v>2</v>
      </c>
      <c r="AV124" s="282" t="s">
        <v>1249</v>
      </c>
    </row>
    <row r="125" spans="2:48" ht="15" customHeight="1">
      <c r="B125" s="280" t="e">
        <f t="shared" si="12"/>
        <v>#REF!</v>
      </c>
      <c r="D125" s="272">
        <v>32625</v>
      </c>
      <c r="E125" s="229">
        <v>930896</v>
      </c>
      <c r="F125" s="238">
        <v>17189</v>
      </c>
      <c r="G125" s="239" t="s">
        <v>2810</v>
      </c>
      <c r="H125" s="314" t="s">
        <v>417</v>
      </c>
      <c r="I125" s="239" t="s">
        <v>4</v>
      </c>
      <c r="J125" s="239" t="s">
        <v>403</v>
      </c>
      <c r="K125" s="275">
        <v>0.59722222222222221</v>
      </c>
      <c r="L125" s="275">
        <v>0.86111111111111116</v>
      </c>
      <c r="M125" s="275">
        <v>0.26388888888888895</v>
      </c>
      <c r="N125" s="275">
        <v>0.65277777777777779</v>
      </c>
      <c r="O125" s="275">
        <v>0.72222222222222221</v>
      </c>
      <c r="P125" s="275">
        <v>0.79861111111111116</v>
      </c>
      <c r="Q125" s="241">
        <v>42529</v>
      </c>
      <c r="R125" s="245" t="str">
        <f t="shared" ca="1" si="10"/>
        <v>W4+</v>
      </c>
      <c r="S125" s="241">
        <v>42555</v>
      </c>
      <c r="T125" s="245">
        <f t="shared" ca="1" si="11"/>
        <v>165</v>
      </c>
      <c r="U125" s="239" t="s">
        <v>2218</v>
      </c>
      <c r="V125" s="241">
        <v>42706</v>
      </c>
      <c r="W125" s="241">
        <v>42709</v>
      </c>
      <c r="X125" s="276" t="s">
        <v>2</v>
      </c>
      <c r="Y125" s="239" t="s">
        <v>2</v>
      </c>
      <c r="Z125" s="314" t="s">
        <v>2</v>
      </c>
      <c r="AA125" s="239" t="s">
        <v>2</v>
      </c>
      <c r="AB125" s="241" t="s">
        <v>2</v>
      </c>
      <c r="AC125" s="314" t="s">
        <v>2891</v>
      </c>
      <c r="AD125" s="314" t="s">
        <v>2</v>
      </c>
      <c r="AE125" s="51" t="s">
        <v>2</v>
      </c>
      <c r="AF125" s="314" t="s">
        <v>2</v>
      </c>
      <c r="AG125" s="314" t="s">
        <v>2</v>
      </c>
      <c r="AH125" s="216" t="s">
        <v>2</v>
      </c>
      <c r="AI125" s="314" t="s">
        <v>2</v>
      </c>
      <c r="AJ125" s="278" t="s">
        <v>2</v>
      </c>
      <c r="AK125" s="279" t="s">
        <v>2</v>
      </c>
      <c r="AL125" s="239" t="s">
        <v>775</v>
      </c>
      <c r="AM125" s="239" t="s">
        <v>68</v>
      </c>
      <c r="AN125" s="239" t="s">
        <v>89</v>
      </c>
      <c r="AO125" s="242">
        <v>24682</v>
      </c>
      <c r="AP125" s="221" t="s">
        <v>2827</v>
      </c>
      <c r="AQ125" s="152" t="s">
        <v>2849</v>
      </c>
      <c r="AR125" s="152" t="s">
        <v>2</v>
      </c>
      <c r="AS125" s="152" t="s">
        <v>414</v>
      </c>
      <c r="AT125" s="152" t="s">
        <v>2838</v>
      </c>
      <c r="AU125" s="152" t="s">
        <v>2</v>
      </c>
      <c r="AV125" s="243" t="s">
        <v>1249</v>
      </c>
    </row>
    <row r="126" spans="2:48" ht="15" customHeight="1">
      <c r="B126" s="280" t="e">
        <f t="shared" si="12"/>
        <v>#REF!</v>
      </c>
      <c r="D126" s="272">
        <v>21689</v>
      </c>
      <c r="E126" s="315">
        <v>767835</v>
      </c>
      <c r="F126" s="238">
        <v>12772</v>
      </c>
      <c r="G126" s="239" t="s">
        <v>227</v>
      </c>
      <c r="H126" s="314" t="s">
        <v>417</v>
      </c>
      <c r="I126" s="239" t="s">
        <v>6</v>
      </c>
      <c r="J126" s="239" t="s">
        <v>403</v>
      </c>
      <c r="K126" s="275">
        <v>0.63888888888888895</v>
      </c>
      <c r="L126" s="275">
        <v>0.90277777777777779</v>
      </c>
      <c r="M126" s="275">
        <v>0.2638888888888889</v>
      </c>
      <c r="N126" s="275" t="s">
        <v>2</v>
      </c>
      <c r="O126" s="275" t="s">
        <v>2</v>
      </c>
      <c r="P126" s="275" t="s">
        <v>2</v>
      </c>
      <c r="Q126" s="241">
        <v>41032</v>
      </c>
      <c r="R126" s="245" t="str">
        <f t="shared" ca="1" si="10"/>
        <v>W4+</v>
      </c>
      <c r="S126" s="241">
        <v>41055</v>
      </c>
      <c r="T126" s="245">
        <f t="shared" ca="1" si="11"/>
        <v>1665</v>
      </c>
      <c r="U126" s="239" t="s">
        <v>2220</v>
      </c>
      <c r="V126" s="241">
        <v>42402</v>
      </c>
      <c r="W126" s="241">
        <v>42401</v>
      </c>
      <c r="X126" s="276" t="s">
        <v>2</v>
      </c>
      <c r="Y126" s="239" t="s">
        <v>2</v>
      </c>
      <c r="Z126" s="239" t="s">
        <v>2</v>
      </c>
      <c r="AA126" s="239" t="s">
        <v>2</v>
      </c>
      <c r="AB126" s="241" t="s">
        <v>2</v>
      </c>
      <c r="AC126" s="239" t="s">
        <v>2891</v>
      </c>
      <c r="AD126" s="239" t="s">
        <v>2</v>
      </c>
      <c r="AE126" s="51">
        <v>8490600</v>
      </c>
      <c r="AF126" s="239" t="s">
        <v>2</v>
      </c>
      <c r="AG126" s="239" t="s">
        <v>2</v>
      </c>
      <c r="AH126" s="216">
        <v>30770</v>
      </c>
      <c r="AI126" s="239" t="s">
        <v>2194</v>
      </c>
      <c r="AJ126" s="53" t="s">
        <v>2</v>
      </c>
      <c r="AK126" s="54" t="s">
        <v>2</v>
      </c>
      <c r="AL126" s="239" t="s">
        <v>775</v>
      </c>
      <c r="AM126" s="239" t="s">
        <v>68</v>
      </c>
      <c r="AN126" s="239" t="s">
        <v>89</v>
      </c>
      <c r="AO126" s="242">
        <v>810120</v>
      </c>
      <c r="AP126" s="221" t="s">
        <v>910</v>
      </c>
      <c r="AQ126" s="152" t="s">
        <v>559</v>
      </c>
      <c r="AR126" s="152" t="s">
        <v>2</v>
      </c>
      <c r="AS126" s="152" t="s">
        <v>414</v>
      </c>
      <c r="AT126" s="152" t="s">
        <v>1174</v>
      </c>
      <c r="AU126" s="152" t="s">
        <v>2</v>
      </c>
      <c r="AV126" s="282" t="s">
        <v>1249</v>
      </c>
    </row>
    <row r="127" spans="2:48" ht="15" customHeight="1">
      <c r="B127" s="280" t="e">
        <f t="shared" ref="B127:B155" si="13">IF(B126="x","","x")</f>
        <v>#REF!</v>
      </c>
      <c r="D127" s="272">
        <v>22384</v>
      </c>
      <c r="E127" s="229">
        <v>772790</v>
      </c>
      <c r="F127" s="238">
        <v>17141</v>
      </c>
      <c r="G127" s="239" t="s">
        <v>311</v>
      </c>
      <c r="H127" s="314" t="s">
        <v>417</v>
      </c>
      <c r="I127" s="239" t="s">
        <v>4</v>
      </c>
      <c r="J127" s="239" t="s">
        <v>403</v>
      </c>
      <c r="K127" s="275">
        <v>0.65277777777777779</v>
      </c>
      <c r="L127" s="275">
        <v>0.91666666666666663</v>
      </c>
      <c r="M127" s="275">
        <v>0.2638888888888889</v>
      </c>
      <c r="N127" s="275">
        <v>0.72916666666666663</v>
      </c>
      <c r="O127" s="275">
        <v>0.79166666666666663</v>
      </c>
      <c r="P127" s="275">
        <v>0.86111111111111116</v>
      </c>
      <c r="Q127" s="241">
        <v>41092</v>
      </c>
      <c r="R127" s="245" t="str">
        <f t="shared" ca="1" si="10"/>
        <v>W4+</v>
      </c>
      <c r="S127" s="241">
        <v>41115</v>
      </c>
      <c r="T127" s="245">
        <f t="shared" ca="1" si="11"/>
        <v>1605</v>
      </c>
      <c r="U127" s="239" t="s">
        <v>2218</v>
      </c>
      <c r="V127" s="241">
        <v>42670</v>
      </c>
      <c r="W127" s="241">
        <v>42670</v>
      </c>
      <c r="X127" s="276" t="s">
        <v>2</v>
      </c>
      <c r="Y127" s="239" t="s">
        <v>2</v>
      </c>
      <c r="Z127" s="239" t="s">
        <v>2</v>
      </c>
      <c r="AA127" s="239" t="s">
        <v>2</v>
      </c>
      <c r="AB127" s="241" t="s">
        <v>2</v>
      </c>
      <c r="AC127" s="239" t="s">
        <v>2891</v>
      </c>
      <c r="AD127" s="239" t="s">
        <v>2</v>
      </c>
      <c r="AE127" s="51">
        <v>5763450</v>
      </c>
      <c r="AF127" s="239" t="s">
        <v>2</v>
      </c>
      <c r="AG127" s="239" t="s">
        <v>2</v>
      </c>
      <c r="AH127" s="216">
        <v>33532</v>
      </c>
      <c r="AI127" s="239" t="s">
        <v>2191</v>
      </c>
      <c r="AJ127" s="53" t="s">
        <v>2</v>
      </c>
      <c r="AK127" s="54" t="s">
        <v>2</v>
      </c>
      <c r="AL127" s="239" t="s">
        <v>775</v>
      </c>
      <c r="AM127" s="239" t="s">
        <v>68</v>
      </c>
      <c r="AN127" s="239" t="s">
        <v>89</v>
      </c>
      <c r="AO127" s="242">
        <v>810051</v>
      </c>
      <c r="AP127" s="221" t="s">
        <v>989</v>
      </c>
      <c r="AQ127" s="152" t="s">
        <v>638</v>
      </c>
      <c r="AR127" s="152" t="s">
        <v>2</v>
      </c>
      <c r="AS127" s="152" t="s">
        <v>414</v>
      </c>
      <c r="AT127" s="152" t="s">
        <v>1194</v>
      </c>
      <c r="AU127" s="152" t="s">
        <v>2</v>
      </c>
      <c r="AV127" s="282" t="s">
        <v>1249</v>
      </c>
    </row>
    <row r="128" spans="2:48" ht="15" customHeight="1">
      <c r="B128" s="280" t="e">
        <f t="shared" si="13"/>
        <v>#REF!</v>
      </c>
      <c r="D128" s="272">
        <v>32628</v>
      </c>
      <c r="E128" s="315">
        <v>930899</v>
      </c>
      <c r="F128" s="313">
        <v>17193</v>
      </c>
      <c r="G128" s="314" t="s">
        <v>2813</v>
      </c>
      <c r="H128" s="314" t="s">
        <v>417</v>
      </c>
      <c r="I128" s="314" t="s">
        <v>4</v>
      </c>
      <c r="J128" s="314" t="s">
        <v>403</v>
      </c>
      <c r="K128" s="275">
        <v>0.65277777777777779</v>
      </c>
      <c r="L128" s="275">
        <v>0.91666666666666663</v>
      </c>
      <c r="M128" s="275">
        <v>0.2638888888888889</v>
      </c>
      <c r="N128" s="275">
        <v>0.72916666666666663</v>
      </c>
      <c r="O128" s="275">
        <v>0.8125</v>
      </c>
      <c r="P128" s="275">
        <v>0.86805555555555547</v>
      </c>
      <c r="Q128" s="276">
        <v>42529</v>
      </c>
      <c r="R128" s="284" t="str">
        <f t="shared" ca="1" si="10"/>
        <v>W4+</v>
      </c>
      <c r="S128" s="276">
        <v>42555</v>
      </c>
      <c r="T128" s="284">
        <f t="shared" ca="1" si="11"/>
        <v>165</v>
      </c>
      <c r="U128" s="314" t="s">
        <v>2218</v>
      </c>
      <c r="V128" s="276">
        <v>42529</v>
      </c>
      <c r="W128" s="276">
        <v>42529</v>
      </c>
      <c r="X128" s="227">
        <v>42524</v>
      </c>
      <c r="Y128" s="314" t="s">
        <v>2</v>
      </c>
      <c r="Z128" s="131" t="s">
        <v>2</v>
      </c>
      <c r="AA128" s="314" t="s">
        <v>2</v>
      </c>
      <c r="AB128" s="276" t="s">
        <v>2</v>
      </c>
      <c r="AC128" s="131" t="s">
        <v>2891</v>
      </c>
      <c r="AD128" s="131" t="s">
        <v>2</v>
      </c>
      <c r="AE128" s="277" t="s">
        <v>2</v>
      </c>
      <c r="AF128" s="131" t="s">
        <v>2</v>
      </c>
      <c r="AG128" s="131" t="s">
        <v>2</v>
      </c>
      <c r="AH128" s="216" t="s">
        <v>2</v>
      </c>
      <c r="AI128" s="131" t="s">
        <v>2</v>
      </c>
      <c r="AJ128" s="131" t="s">
        <v>2</v>
      </c>
      <c r="AK128" s="131" t="s">
        <v>2</v>
      </c>
      <c r="AL128" s="314" t="s">
        <v>775</v>
      </c>
      <c r="AM128" s="314" t="s">
        <v>68</v>
      </c>
      <c r="AN128" s="314" t="s">
        <v>89</v>
      </c>
      <c r="AO128" s="281">
        <v>24685</v>
      </c>
      <c r="AP128" s="221" t="s">
        <v>2829</v>
      </c>
      <c r="AQ128" s="316" t="s">
        <v>2850</v>
      </c>
      <c r="AR128" s="316" t="s">
        <v>2</v>
      </c>
      <c r="AS128" s="316" t="s">
        <v>414</v>
      </c>
      <c r="AT128" s="316" t="s">
        <v>2839</v>
      </c>
      <c r="AU128" s="316" t="s">
        <v>2</v>
      </c>
      <c r="AV128" s="282" t="s">
        <v>1249</v>
      </c>
    </row>
    <row r="129" spans="2:48" ht="15" customHeight="1">
      <c r="B129" s="280" t="e">
        <f t="shared" si="13"/>
        <v>#REF!</v>
      </c>
      <c r="D129" s="272">
        <v>31436</v>
      </c>
      <c r="E129" s="229">
        <v>911887</v>
      </c>
      <c r="F129" s="47">
        <v>17102</v>
      </c>
      <c r="G129" s="239" t="s">
        <v>2642</v>
      </c>
      <c r="H129" s="239" t="s">
        <v>417</v>
      </c>
      <c r="I129" s="239" t="s">
        <v>4</v>
      </c>
      <c r="J129" s="239" t="s">
        <v>403</v>
      </c>
      <c r="K129" s="275">
        <v>0.65277777777777779</v>
      </c>
      <c r="L129" s="275">
        <v>0.91666666666666663</v>
      </c>
      <c r="M129" s="275">
        <v>0.2638888888888889</v>
      </c>
      <c r="N129" s="275">
        <v>0.70833333333333337</v>
      </c>
      <c r="O129" s="275">
        <v>0.76388888888888884</v>
      </c>
      <c r="P129" s="275">
        <v>0.84722222222222221</v>
      </c>
      <c r="Q129" s="241">
        <v>42373</v>
      </c>
      <c r="R129" s="245" t="str">
        <f t="shared" ca="1" si="10"/>
        <v>W4+</v>
      </c>
      <c r="S129" s="241">
        <v>42401</v>
      </c>
      <c r="T129" s="245">
        <f t="shared" ca="1" si="11"/>
        <v>319</v>
      </c>
      <c r="U129" s="239" t="s">
        <v>2218</v>
      </c>
      <c r="V129" s="241" t="s">
        <v>2</v>
      </c>
      <c r="W129" s="241" t="s">
        <v>2</v>
      </c>
      <c r="X129" s="276" t="s">
        <v>2</v>
      </c>
      <c r="Y129" s="239" t="s">
        <v>2</v>
      </c>
      <c r="Z129" s="239" t="s">
        <v>2</v>
      </c>
      <c r="AA129" s="239" t="s">
        <v>2</v>
      </c>
      <c r="AB129" s="241" t="s">
        <v>2</v>
      </c>
      <c r="AC129" s="239" t="s">
        <v>2891</v>
      </c>
      <c r="AD129" s="239" t="s">
        <v>2</v>
      </c>
      <c r="AE129" s="51" t="s">
        <v>2</v>
      </c>
      <c r="AF129" s="239" t="s">
        <v>2</v>
      </c>
      <c r="AG129" s="239" t="s">
        <v>2</v>
      </c>
      <c r="AH129" s="216" t="s">
        <v>2</v>
      </c>
      <c r="AI129" s="239" t="s">
        <v>2</v>
      </c>
      <c r="AJ129" s="53" t="s">
        <v>2</v>
      </c>
      <c r="AK129" s="54" t="s">
        <v>2</v>
      </c>
      <c r="AL129" s="239" t="s">
        <v>775</v>
      </c>
      <c r="AM129" s="239" t="s">
        <v>68</v>
      </c>
      <c r="AN129" s="239" t="s">
        <v>89</v>
      </c>
      <c r="AO129" s="242">
        <v>810370</v>
      </c>
      <c r="AP129" s="221" t="s">
        <v>2651</v>
      </c>
      <c r="AQ129" s="152" t="s">
        <v>2658</v>
      </c>
      <c r="AR129" s="152" t="s">
        <v>2</v>
      </c>
      <c r="AS129" s="152" t="s">
        <v>414</v>
      </c>
      <c r="AT129" s="152" t="s">
        <v>2666</v>
      </c>
      <c r="AU129" s="152" t="s">
        <v>2</v>
      </c>
      <c r="AV129" s="243" t="s">
        <v>1249</v>
      </c>
    </row>
    <row r="130" spans="2:48" ht="15" customHeight="1">
      <c r="B130" s="280" t="e">
        <f t="shared" si="13"/>
        <v>#REF!</v>
      </c>
      <c r="D130" s="272">
        <v>30185</v>
      </c>
      <c r="E130" s="315">
        <v>873191</v>
      </c>
      <c r="F130" s="313">
        <v>12521</v>
      </c>
      <c r="G130" s="314" t="s">
        <v>330</v>
      </c>
      <c r="H130" s="314" t="s">
        <v>417</v>
      </c>
      <c r="I130" s="314" t="s">
        <v>5</v>
      </c>
      <c r="J130" s="314" t="s">
        <v>403</v>
      </c>
      <c r="K130" s="275">
        <v>0.65277777777777779</v>
      </c>
      <c r="L130" s="275">
        <v>0.91666666666666663</v>
      </c>
      <c r="M130" s="275">
        <v>0.2638888888888889</v>
      </c>
      <c r="N130" s="275">
        <v>0.69444444444444453</v>
      </c>
      <c r="O130" s="275">
        <v>0.77777777777777779</v>
      </c>
      <c r="P130" s="275">
        <v>0.84027777777777779</v>
      </c>
      <c r="Q130" s="276">
        <v>42044</v>
      </c>
      <c r="R130" s="284" t="str">
        <f t="shared" ca="1" si="10"/>
        <v>W4+</v>
      </c>
      <c r="S130" s="276">
        <v>42068</v>
      </c>
      <c r="T130" s="284">
        <f t="shared" ca="1" si="11"/>
        <v>652</v>
      </c>
      <c r="U130" s="314" t="s">
        <v>2218</v>
      </c>
      <c r="V130" s="276">
        <v>42709</v>
      </c>
      <c r="W130" s="276">
        <v>42709</v>
      </c>
      <c r="X130" s="276">
        <v>42738</v>
      </c>
      <c r="Y130" s="314" t="s">
        <v>2</v>
      </c>
      <c r="Z130" s="314" t="s">
        <v>2</v>
      </c>
      <c r="AA130" s="314" t="s">
        <v>2</v>
      </c>
      <c r="AB130" s="276" t="s">
        <v>2</v>
      </c>
      <c r="AC130" s="314" t="s">
        <v>2891</v>
      </c>
      <c r="AD130" s="314" t="s">
        <v>2</v>
      </c>
      <c r="AE130" s="277" t="s">
        <v>767</v>
      </c>
      <c r="AF130" s="314" t="s">
        <v>2</v>
      </c>
      <c r="AG130" s="314" t="s">
        <v>2</v>
      </c>
      <c r="AH130" s="216">
        <v>35242</v>
      </c>
      <c r="AI130" s="314" t="s">
        <v>2194</v>
      </c>
      <c r="AJ130" s="278" t="s">
        <v>2</v>
      </c>
      <c r="AK130" s="279" t="s">
        <v>2</v>
      </c>
      <c r="AL130" s="314" t="s">
        <v>775</v>
      </c>
      <c r="AM130" s="314" t="s">
        <v>68</v>
      </c>
      <c r="AN130" s="314" t="s">
        <v>89</v>
      </c>
      <c r="AO130" s="281">
        <v>810239</v>
      </c>
      <c r="AP130" s="221" t="s">
        <v>1008</v>
      </c>
      <c r="AQ130" s="316" t="s">
        <v>657</v>
      </c>
      <c r="AR130" s="316" t="s">
        <v>2</v>
      </c>
      <c r="AS130" s="316" t="s">
        <v>414</v>
      </c>
      <c r="AT130" s="316" t="s">
        <v>1201</v>
      </c>
      <c r="AU130" s="316" t="s">
        <v>1249</v>
      </c>
      <c r="AV130" s="282" t="s">
        <v>1249</v>
      </c>
    </row>
    <row r="131" spans="2:48" ht="15" customHeight="1">
      <c r="B131" s="280" t="e">
        <f t="shared" si="13"/>
        <v>#REF!</v>
      </c>
      <c r="D131" s="272">
        <v>9780</v>
      </c>
      <c r="E131" s="229">
        <v>689490</v>
      </c>
      <c r="F131" s="47">
        <v>12645</v>
      </c>
      <c r="G131" s="239" t="s">
        <v>328</v>
      </c>
      <c r="H131" s="48" t="s">
        <v>417</v>
      </c>
      <c r="I131" s="239" t="s">
        <v>6</v>
      </c>
      <c r="J131" s="239" t="s">
        <v>403</v>
      </c>
      <c r="K131" s="275">
        <v>0.65277777777777779</v>
      </c>
      <c r="L131" s="275">
        <v>0.91666666666666663</v>
      </c>
      <c r="M131" s="275">
        <v>0.2638888888888889</v>
      </c>
      <c r="N131" s="275" t="s">
        <v>2</v>
      </c>
      <c r="O131" s="275" t="s">
        <v>2</v>
      </c>
      <c r="P131" s="275" t="s">
        <v>2</v>
      </c>
      <c r="Q131" s="241">
        <v>39765</v>
      </c>
      <c r="R131" s="245" t="str">
        <f t="shared" ca="1" si="10"/>
        <v>W4+</v>
      </c>
      <c r="S131" s="241">
        <v>39788</v>
      </c>
      <c r="T131" s="245">
        <f t="shared" ca="1" si="11"/>
        <v>2932</v>
      </c>
      <c r="U131" s="239" t="s">
        <v>2</v>
      </c>
      <c r="V131" s="241" t="s">
        <v>2</v>
      </c>
      <c r="W131" s="241" t="s">
        <v>2</v>
      </c>
      <c r="X131" s="276" t="s">
        <v>2</v>
      </c>
      <c r="Y131" s="239" t="s">
        <v>2</v>
      </c>
      <c r="Z131" s="239" t="s">
        <v>2</v>
      </c>
      <c r="AA131" s="239" t="s">
        <v>2</v>
      </c>
      <c r="AB131" s="241" t="s">
        <v>2</v>
      </c>
      <c r="AC131" s="239" t="s">
        <v>2891</v>
      </c>
      <c r="AD131" s="239" t="s">
        <v>2</v>
      </c>
      <c r="AE131" s="51">
        <v>5892340</v>
      </c>
      <c r="AF131" s="239" t="s">
        <v>2</v>
      </c>
      <c r="AG131" s="239" t="s">
        <v>2</v>
      </c>
      <c r="AH131" s="216">
        <v>32500</v>
      </c>
      <c r="AI131" s="239" t="s">
        <v>2191</v>
      </c>
      <c r="AJ131" s="278" t="s">
        <v>2</v>
      </c>
      <c r="AK131" s="54" t="s">
        <v>2</v>
      </c>
      <c r="AL131" s="239" t="s">
        <v>775</v>
      </c>
      <c r="AM131" s="239" t="s">
        <v>68</v>
      </c>
      <c r="AN131" s="239" t="s">
        <v>89</v>
      </c>
      <c r="AO131" s="242">
        <v>810076</v>
      </c>
      <c r="AP131" s="221" t="s">
        <v>1006</v>
      </c>
      <c r="AQ131" s="152" t="s">
        <v>655</v>
      </c>
      <c r="AR131" s="152" t="s">
        <v>2</v>
      </c>
      <c r="AS131" s="152" t="s">
        <v>414</v>
      </c>
      <c r="AT131" s="152" t="s">
        <v>1200</v>
      </c>
      <c r="AU131" s="152" t="s">
        <v>2</v>
      </c>
      <c r="AV131" s="243" t="s">
        <v>1249</v>
      </c>
    </row>
    <row r="132" spans="2:48" ht="15" customHeight="1">
      <c r="B132" s="280" t="e">
        <f t="shared" si="13"/>
        <v>#REF!</v>
      </c>
      <c r="D132" s="272">
        <v>10683</v>
      </c>
      <c r="E132" s="229">
        <v>689277</v>
      </c>
      <c r="F132" s="47" t="s">
        <v>2</v>
      </c>
      <c r="G132" s="239" t="s">
        <v>357</v>
      </c>
      <c r="H132" s="48" t="s">
        <v>414</v>
      </c>
      <c r="I132" s="239" t="s">
        <v>6</v>
      </c>
      <c r="J132" s="239" t="s">
        <v>404</v>
      </c>
      <c r="K132" s="275">
        <v>0.33333333333333331</v>
      </c>
      <c r="L132" s="275">
        <v>0.67499999999999993</v>
      </c>
      <c r="M132" s="275">
        <v>0.34166666666666662</v>
      </c>
      <c r="N132" s="275" t="s">
        <v>2</v>
      </c>
      <c r="O132" s="275" t="s">
        <v>2</v>
      </c>
      <c r="P132" s="275" t="s">
        <v>2</v>
      </c>
      <c r="Q132" s="241">
        <v>39917</v>
      </c>
      <c r="R132" s="245" t="str">
        <f t="shared" ca="1" si="10"/>
        <v>W4+</v>
      </c>
      <c r="S132" s="241">
        <v>39940</v>
      </c>
      <c r="T132" s="245">
        <f t="shared" ca="1" si="11"/>
        <v>2780</v>
      </c>
      <c r="U132" s="239" t="s">
        <v>2</v>
      </c>
      <c r="V132" s="241" t="s">
        <v>2</v>
      </c>
      <c r="W132" s="276" t="s">
        <v>2</v>
      </c>
      <c r="X132" s="241" t="s">
        <v>2</v>
      </c>
      <c r="Y132" s="239" t="s">
        <v>2</v>
      </c>
      <c r="Z132" s="239" t="s">
        <v>2</v>
      </c>
      <c r="AA132" s="239" t="s">
        <v>2</v>
      </c>
      <c r="AB132" s="241" t="s">
        <v>2</v>
      </c>
      <c r="AC132" s="239" t="s">
        <v>2</v>
      </c>
      <c r="AD132" s="239" t="s">
        <v>2</v>
      </c>
      <c r="AE132" s="51">
        <v>7852030</v>
      </c>
      <c r="AF132" s="239" t="s">
        <v>2</v>
      </c>
      <c r="AG132" s="239" t="s">
        <v>2</v>
      </c>
      <c r="AH132" s="216">
        <v>28130</v>
      </c>
      <c r="AI132" s="239" t="s">
        <v>2196</v>
      </c>
      <c r="AJ132" s="53" t="s">
        <v>2</v>
      </c>
      <c r="AK132" s="54" t="s">
        <v>2</v>
      </c>
      <c r="AL132" s="239" t="s">
        <v>775</v>
      </c>
      <c r="AM132" s="239" t="s">
        <v>68</v>
      </c>
      <c r="AN132" s="239" t="s">
        <v>89</v>
      </c>
      <c r="AO132" s="242" t="s">
        <v>2</v>
      </c>
      <c r="AP132" s="221" t="s">
        <v>1036</v>
      </c>
      <c r="AQ132" s="152" t="s">
        <v>685</v>
      </c>
      <c r="AR132" s="152" t="s">
        <v>2</v>
      </c>
      <c r="AS132" s="152" t="s">
        <v>413</v>
      </c>
      <c r="AT132" s="152" t="s">
        <v>1215</v>
      </c>
      <c r="AU132" s="152" t="s">
        <v>2</v>
      </c>
      <c r="AV132" s="243" t="s">
        <v>2</v>
      </c>
    </row>
    <row r="133" spans="2:48" ht="15" customHeight="1">
      <c r="B133" s="280" t="e">
        <f t="shared" si="13"/>
        <v>#REF!</v>
      </c>
      <c r="D133" s="272">
        <v>19903</v>
      </c>
      <c r="E133" s="229">
        <v>754857</v>
      </c>
      <c r="F133" s="47">
        <v>12866</v>
      </c>
      <c r="G133" s="239" t="s">
        <v>119</v>
      </c>
      <c r="H133" s="274" t="s">
        <v>424</v>
      </c>
      <c r="I133" s="239" t="s">
        <v>4</v>
      </c>
      <c r="J133" s="239" t="s">
        <v>405</v>
      </c>
      <c r="K133" s="275">
        <v>0.33333333333333331</v>
      </c>
      <c r="L133" s="275">
        <v>0.67499999999999993</v>
      </c>
      <c r="M133" s="275">
        <v>0.34166666666666662</v>
      </c>
      <c r="N133" s="275" t="s">
        <v>2</v>
      </c>
      <c r="O133" s="275" t="s">
        <v>2</v>
      </c>
      <c r="P133" s="275" t="s">
        <v>2</v>
      </c>
      <c r="Q133" s="241">
        <v>40882</v>
      </c>
      <c r="R133" s="245" t="str">
        <f t="shared" ca="1" si="10"/>
        <v>W4+</v>
      </c>
      <c r="S133" s="241">
        <v>40905</v>
      </c>
      <c r="T133" s="245">
        <f t="shared" ca="1" si="11"/>
        <v>1815</v>
      </c>
      <c r="U133" s="239" t="s">
        <v>2216</v>
      </c>
      <c r="V133" s="241">
        <v>42594</v>
      </c>
      <c r="W133" s="276">
        <v>42594</v>
      </c>
      <c r="X133" s="241" t="s">
        <v>2</v>
      </c>
      <c r="Y133" s="239" t="s">
        <v>2</v>
      </c>
      <c r="Z133" s="239" t="s">
        <v>2</v>
      </c>
      <c r="AA133" s="239" t="s">
        <v>2</v>
      </c>
      <c r="AB133" s="241" t="s">
        <v>2</v>
      </c>
      <c r="AC133" s="239" t="s">
        <v>1251</v>
      </c>
      <c r="AD133" s="239" t="s">
        <v>2</v>
      </c>
      <c r="AE133" s="51">
        <v>7174060</v>
      </c>
      <c r="AF133" s="239" t="s">
        <v>2</v>
      </c>
      <c r="AG133" s="239" t="s">
        <v>2</v>
      </c>
      <c r="AH133" s="216">
        <v>33795</v>
      </c>
      <c r="AI133" s="239" t="s">
        <v>2196</v>
      </c>
      <c r="AJ133" s="53" t="s">
        <v>2</v>
      </c>
      <c r="AK133" s="54" t="s">
        <v>2</v>
      </c>
      <c r="AL133" s="239" t="s">
        <v>775</v>
      </c>
      <c r="AM133" s="239" t="s">
        <v>68</v>
      </c>
      <c r="AN133" s="239" t="s">
        <v>89</v>
      </c>
      <c r="AO133" s="242">
        <v>810002</v>
      </c>
      <c r="AP133" s="221" t="s">
        <v>806</v>
      </c>
      <c r="AQ133" s="152" t="s">
        <v>454</v>
      </c>
      <c r="AR133" s="152" t="s">
        <v>2</v>
      </c>
      <c r="AS133" s="152" t="s">
        <v>413</v>
      </c>
      <c r="AT133" s="152" t="s">
        <v>1096</v>
      </c>
      <c r="AU133" s="152" t="s">
        <v>1249</v>
      </c>
      <c r="AV133" s="243" t="s">
        <v>1249</v>
      </c>
    </row>
    <row r="134" spans="2:48" ht="15" customHeight="1">
      <c r="B134" s="280" t="e">
        <f t="shared" si="13"/>
        <v>#REF!</v>
      </c>
      <c r="D134" s="272">
        <v>17315</v>
      </c>
      <c r="E134" s="229">
        <v>730379</v>
      </c>
      <c r="F134" s="273">
        <v>12185</v>
      </c>
      <c r="G134" s="274" t="s">
        <v>103</v>
      </c>
      <c r="H134" s="314" t="s">
        <v>424</v>
      </c>
      <c r="I134" s="274" t="s">
        <v>4</v>
      </c>
      <c r="J134" s="274" t="s">
        <v>405</v>
      </c>
      <c r="K134" s="275">
        <v>0.33333333333333331</v>
      </c>
      <c r="L134" s="275">
        <v>0.67499999999999993</v>
      </c>
      <c r="M134" s="275">
        <v>0.34166666666666662</v>
      </c>
      <c r="N134" s="275" t="s">
        <v>2</v>
      </c>
      <c r="O134" s="275" t="s">
        <v>2</v>
      </c>
      <c r="P134" s="275" t="s">
        <v>2</v>
      </c>
      <c r="Q134" s="276">
        <v>40695</v>
      </c>
      <c r="R134" s="284" t="str">
        <f t="shared" ca="1" si="10"/>
        <v>W4+</v>
      </c>
      <c r="S134" s="276">
        <v>40718</v>
      </c>
      <c r="T134" s="284">
        <f t="shared" ca="1" si="11"/>
        <v>2002</v>
      </c>
      <c r="U134" s="274" t="s">
        <v>2216</v>
      </c>
      <c r="V134" s="276">
        <v>42594</v>
      </c>
      <c r="W134" s="276">
        <v>42594</v>
      </c>
      <c r="X134" s="276" t="s">
        <v>2</v>
      </c>
      <c r="Y134" s="274" t="s">
        <v>2</v>
      </c>
      <c r="Z134" s="274" t="s">
        <v>2</v>
      </c>
      <c r="AA134" s="274" t="s">
        <v>2</v>
      </c>
      <c r="AB134" s="276" t="s">
        <v>2</v>
      </c>
      <c r="AC134" s="274" t="s">
        <v>1251</v>
      </c>
      <c r="AD134" s="274" t="s">
        <v>2</v>
      </c>
      <c r="AE134" s="277">
        <v>8070290</v>
      </c>
      <c r="AF134" s="274" t="s">
        <v>2</v>
      </c>
      <c r="AG134" s="274" t="s">
        <v>2</v>
      </c>
      <c r="AH134" s="216">
        <v>32160</v>
      </c>
      <c r="AI134" s="274" t="s">
        <v>2194</v>
      </c>
      <c r="AJ134" s="278" t="s">
        <v>2</v>
      </c>
      <c r="AK134" s="279" t="s">
        <v>2</v>
      </c>
      <c r="AL134" s="274" t="s">
        <v>775</v>
      </c>
      <c r="AM134" s="274" t="s">
        <v>68</v>
      </c>
      <c r="AN134" s="274" t="s">
        <v>89</v>
      </c>
      <c r="AO134" s="96">
        <v>810003</v>
      </c>
      <c r="AP134" s="221" t="s">
        <v>790</v>
      </c>
      <c r="AQ134" s="152" t="s">
        <v>438</v>
      </c>
      <c r="AR134" s="152" t="s">
        <v>2</v>
      </c>
      <c r="AS134" s="152" t="s">
        <v>413</v>
      </c>
      <c r="AT134" s="152" t="s">
        <v>1080</v>
      </c>
      <c r="AU134" s="152" t="s">
        <v>1249</v>
      </c>
      <c r="AV134" s="243" t="s">
        <v>1249</v>
      </c>
    </row>
    <row r="135" spans="2:48" ht="15" customHeight="1">
      <c r="B135" s="280" t="e">
        <f t="shared" si="13"/>
        <v>#REF!</v>
      </c>
      <c r="D135" s="272">
        <v>18572</v>
      </c>
      <c r="E135" s="229">
        <v>739305</v>
      </c>
      <c r="F135" s="47">
        <v>12809</v>
      </c>
      <c r="G135" s="239" t="s">
        <v>109</v>
      </c>
      <c r="H135" s="314" t="s">
        <v>424</v>
      </c>
      <c r="I135" s="239" t="s">
        <v>4</v>
      </c>
      <c r="J135" s="239" t="s">
        <v>405</v>
      </c>
      <c r="K135" s="275">
        <v>0.33333333333333331</v>
      </c>
      <c r="L135" s="275">
        <v>0.59166666666666667</v>
      </c>
      <c r="M135" s="275">
        <v>0.25833333333333336</v>
      </c>
      <c r="N135" s="275" t="s">
        <v>2</v>
      </c>
      <c r="O135" s="275" t="s">
        <v>2</v>
      </c>
      <c r="P135" s="275" t="s">
        <v>2</v>
      </c>
      <c r="Q135" s="241">
        <v>40787</v>
      </c>
      <c r="R135" s="245" t="str">
        <f t="shared" ca="1" si="10"/>
        <v>W4+</v>
      </c>
      <c r="S135" s="241">
        <v>40810</v>
      </c>
      <c r="T135" s="245">
        <f t="shared" ca="1" si="11"/>
        <v>1910</v>
      </c>
      <c r="U135" s="239" t="s">
        <v>2216</v>
      </c>
      <c r="V135" s="241">
        <v>42706</v>
      </c>
      <c r="W135" s="276">
        <v>42709</v>
      </c>
      <c r="X135" s="276" t="s">
        <v>2</v>
      </c>
      <c r="Y135" s="239" t="s">
        <v>2</v>
      </c>
      <c r="Z135" s="239" t="s">
        <v>2</v>
      </c>
      <c r="AA135" s="239" t="s">
        <v>2</v>
      </c>
      <c r="AB135" s="241" t="s">
        <v>2</v>
      </c>
      <c r="AC135" s="239" t="s">
        <v>1251</v>
      </c>
      <c r="AD135" s="239" t="s">
        <v>2</v>
      </c>
      <c r="AE135" s="51">
        <v>6154120</v>
      </c>
      <c r="AF135" s="239" t="s">
        <v>2</v>
      </c>
      <c r="AG135" s="239" t="s">
        <v>2</v>
      </c>
      <c r="AH135" s="216">
        <v>32865</v>
      </c>
      <c r="AI135" s="239" t="s">
        <v>2193</v>
      </c>
      <c r="AJ135" s="53" t="s">
        <v>2</v>
      </c>
      <c r="AK135" s="54" t="s">
        <v>2</v>
      </c>
      <c r="AL135" s="239" t="s">
        <v>775</v>
      </c>
      <c r="AM135" s="239" t="s">
        <v>68</v>
      </c>
      <c r="AN135" s="239" t="s">
        <v>89</v>
      </c>
      <c r="AO135" s="242">
        <v>810008</v>
      </c>
      <c r="AP135" s="221" t="s">
        <v>796</v>
      </c>
      <c r="AQ135" s="152" t="s">
        <v>444</v>
      </c>
      <c r="AR135" s="152" t="s">
        <v>2</v>
      </c>
      <c r="AS135" s="152" t="s">
        <v>413</v>
      </c>
      <c r="AT135" s="152" t="s">
        <v>1086</v>
      </c>
      <c r="AU135" s="152" t="s">
        <v>1249</v>
      </c>
      <c r="AV135" s="243" t="s">
        <v>1249</v>
      </c>
    </row>
    <row r="136" spans="2:48" ht="15" customHeight="1">
      <c r="B136" s="280" t="e">
        <f t="shared" si="13"/>
        <v>#REF!</v>
      </c>
      <c r="D136" s="272">
        <v>16545</v>
      </c>
      <c r="E136" s="229">
        <v>725079</v>
      </c>
      <c r="F136" s="47">
        <v>12577</v>
      </c>
      <c r="G136" s="239" t="s">
        <v>101</v>
      </c>
      <c r="H136" s="314" t="s">
        <v>424</v>
      </c>
      <c r="I136" s="274" t="s">
        <v>4</v>
      </c>
      <c r="J136" s="239" t="s">
        <v>405</v>
      </c>
      <c r="K136" s="275">
        <v>0.33333333333333331</v>
      </c>
      <c r="L136" s="275">
        <v>0.67499999999999993</v>
      </c>
      <c r="M136" s="275">
        <v>0.34166666666666662</v>
      </c>
      <c r="N136" s="275" t="s">
        <v>2</v>
      </c>
      <c r="O136" s="275" t="s">
        <v>2</v>
      </c>
      <c r="P136" s="275" t="s">
        <v>2</v>
      </c>
      <c r="Q136" s="241">
        <v>40642</v>
      </c>
      <c r="R136" s="245" t="str">
        <f t="shared" ref="R136:R155" ca="1" si="14">IF(T136&lt;0,"TRN",IF(AND(T136&gt;=0,T136&lt;7),"OCP W1",IF(AND(T136&gt;=7,T136&lt;14),"OCP W2",IF(AND(T136&gt;=14,T136&lt;21),"OCP W3",IF(T136&gt;=21,"W4+")))))</f>
        <v>W4+</v>
      </c>
      <c r="S136" s="241">
        <v>40665</v>
      </c>
      <c r="T136" s="245">
        <f t="shared" ref="T136:T155" ca="1" si="15">TODAY()-S136</f>
        <v>2055</v>
      </c>
      <c r="U136" s="239" t="s">
        <v>2216</v>
      </c>
      <c r="V136" s="241">
        <v>42697</v>
      </c>
      <c r="W136" s="276">
        <v>42697</v>
      </c>
      <c r="X136" s="276" t="s">
        <v>2</v>
      </c>
      <c r="Y136" s="239" t="s">
        <v>2</v>
      </c>
      <c r="Z136" s="239" t="s">
        <v>2</v>
      </c>
      <c r="AA136" s="239" t="s">
        <v>2</v>
      </c>
      <c r="AB136" s="241" t="s">
        <v>2</v>
      </c>
      <c r="AC136" s="239" t="s">
        <v>1251</v>
      </c>
      <c r="AD136" s="239" t="s">
        <v>2</v>
      </c>
      <c r="AE136" s="51">
        <v>4601030</v>
      </c>
      <c r="AF136" s="239" t="s">
        <v>2</v>
      </c>
      <c r="AG136" s="239" t="s">
        <v>2</v>
      </c>
      <c r="AH136" s="216">
        <v>25290</v>
      </c>
      <c r="AI136" s="239" t="s">
        <v>2188</v>
      </c>
      <c r="AJ136" s="53" t="s">
        <v>2</v>
      </c>
      <c r="AK136" s="54" t="s">
        <v>2</v>
      </c>
      <c r="AL136" s="239" t="s">
        <v>775</v>
      </c>
      <c r="AM136" s="239" t="s">
        <v>68</v>
      </c>
      <c r="AN136" s="239" t="s">
        <v>89</v>
      </c>
      <c r="AO136" s="242">
        <v>810035</v>
      </c>
      <c r="AP136" s="221" t="s">
        <v>788</v>
      </c>
      <c r="AQ136" s="152" t="s">
        <v>436</v>
      </c>
      <c r="AR136" s="152" t="s">
        <v>2</v>
      </c>
      <c r="AS136" s="152" t="s">
        <v>413</v>
      </c>
      <c r="AT136" s="152" t="s">
        <v>1078</v>
      </c>
      <c r="AU136" s="152" t="s">
        <v>1249</v>
      </c>
      <c r="AV136" s="243" t="s">
        <v>1249</v>
      </c>
    </row>
    <row r="137" spans="2:48" ht="15" customHeight="1">
      <c r="B137" s="280" t="e">
        <f t="shared" si="13"/>
        <v>#REF!</v>
      </c>
      <c r="D137" s="272">
        <v>1267</v>
      </c>
      <c r="E137" s="229">
        <v>689163</v>
      </c>
      <c r="F137" s="273">
        <v>12191</v>
      </c>
      <c r="G137" s="274" t="s">
        <v>365</v>
      </c>
      <c r="H137" s="314" t="s">
        <v>424</v>
      </c>
      <c r="I137" s="274" t="s">
        <v>6</v>
      </c>
      <c r="J137" s="274" t="s">
        <v>405</v>
      </c>
      <c r="K137" s="275">
        <v>0.33333333333333331</v>
      </c>
      <c r="L137" s="275">
        <v>0.59722222222222221</v>
      </c>
      <c r="M137" s="275">
        <v>0.2638888888888889</v>
      </c>
      <c r="N137" s="275" t="s">
        <v>2</v>
      </c>
      <c r="O137" s="275" t="s">
        <v>2</v>
      </c>
      <c r="P137" s="275" t="s">
        <v>2</v>
      </c>
      <c r="Q137" s="276">
        <v>37316</v>
      </c>
      <c r="R137" s="245" t="str">
        <f t="shared" ca="1" si="14"/>
        <v>W4+</v>
      </c>
      <c r="S137" s="276">
        <v>37339</v>
      </c>
      <c r="T137" s="245">
        <f t="shared" ca="1" si="15"/>
        <v>5381</v>
      </c>
      <c r="U137" s="274" t="s">
        <v>2</v>
      </c>
      <c r="V137" s="276">
        <v>42594</v>
      </c>
      <c r="W137" s="276">
        <v>42594</v>
      </c>
      <c r="X137" s="276" t="s">
        <v>2</v>
      </c>
      <c r="Y137" s="274" t="s">
        <v>2</v>
      </c>
      <c r="Z137" s="274" t="s">
        <v>2</v>
      </c>
      <c r="AA137" s="274" t="s">
        <v>2</v>
      </c>
      <c r="AB137" s="276" t="s">
        <v>2</v>
      </c>
      <c r="AC137" s="274" t="s">
        <v>1251</v>
      </c>
      <c r="AD137" s="314" t="s">
        <v>2</v>
      </c>
      <c r="AE137" s="277">
        <v>14720000</v>
      </c>
      <c r="AF137" s="274" t="s">
        <v>2</v>
      </c>
      <c r="AG137" s="274" t="s">
        <v>2</v>
      </c>
      <c r="AH137" s="216">
        <v>28027</v>
      </c>
      <c r="AI137" s="274" t="s">
        <v>2188</v>
      </c>
      <c r="AJ137" s="278" t="s">
        <v>2</v>
      </c>
      <c r="AK137" s="279" t="s">
        <v>2</v>
      </c>
      <c r="AL137" s="314" t="s">
        <v>775</v>
      </c>
      <c r="AM137" s="314" t="s">
        <v>68</v>
      </c>
      <c r="AN137" s="314" t="s">
        <v>89</v>
      </c>
      <c r="AO137" s="242" t="s">
        <v>2</v>
      </c>
      <c r="AP137" s="221" t="s">
        <v>2</v>
      </c>
      <c r="AQ137" s="152" t="s">
        <v>2</v>
      </c>
      <c r="AR137" s="152" t="s">
        <v>2</v>
      </c>
      <c r="AS137" s="152" t="s">
        <v>413</v>
      </c>
      <c r="AT137" s="152">
        <v>0</v>
      </c>
      <c r="AU137" s="152" t="s">
        <v>2</v>
      </c>
      <c r="AV137" s="282" t="s">
        <v>1249</v>
      </c>
    </row>
    <row r="138" spans="2:48" ht="15" customHeight="1">
      <c r="B138" s="280" t="e">
        <f t="shared" si="13"/>
        <v>#REF!</v>
      </c>
      <c r="D138" s="272">
        <v>9644</v>
      </c>
      <c r="E138" s="229">
        <v>689938</v>
      </c>
      <c r="F138" s="47">
        <v>12579</v>
      </c>
      <c r="G138" s="239" t="s">
        <v>377</v>
      </c>
      <c r="H138" s="274" t="s">
        <v>411</v>
      </c>
      <c r="I138" s="239" t="s">
        <v>6</v>
      </c>
      <c r="J138" s="239" t="s">
        <v>405</v>
      </c>
      <c r="K138" s="275">
        <v>0.33333333333333331</v>
      </c>
      <c r="L138" s="275">
        <v>0.70833333333333337</v>
      </c>
      <c r="M138" s="275">
        <v>0.375</v>
      </c>
      <c r="N138" s="275" t="s">
        <v>2</v>
      </c>
      <c r="O138" s="275" t="s">
        <v>2</v>
      </c>
      <c r="P138" s="275" t="s">
        <v>2</v>
      </c>
      <c r="Q138" s="241">
        <v>39756</v>
      </c>
      <c r="R138" s="245" t="str">
        <f t="shared" ca="1" si="14"/>
        <v>W4+</v>
      </c>
      <c r="S138" s="241">
        <v>39779</v>
      </c>
      <c r="T138" s="245">
        <f t="shared" ca="1" si="15"/>
        <v>2941</v>
      </c>
      <c r="U138" s="239" t="s">
        <v>2224</v>
      </c>
      <c r="V138" s="241">
        <v>42664</v>
      </c>
      <c r="W138" s="241">
        <v>42667</v>
      </c>
      <c r="X138" s="276">
        <v>42790</v>
      </c>
      <c r="Y138" s="239" t="s">
        <v>2</v>
      </c>
      <c r="Z138" s="239" t="s">
        <v>2</v>
      </c>
      <c r="AA138" s="239" t="s">
        <v>2</v>
      </c>
      <c r="AB138" s="241" t="s">
        <v>2</v>
      </c>
      <c r="AC138" s="239" t="s">
        <v>1251</v>
      </c>
      <c r="AD138" s="239" t="s">
        <v>2</v>
      </c>
      <c r="AE138" s="277">
        <v>7990090</v>
      </c>
      <c r="AF138" s="239" t="s">
        <v>2</v>
      </c>
      <c r="AG138" s="239" t="s">
        <v>2</v>
      </c>
      <c r="AH138" s="216">
        <v>31401</v>
      </c>
      <c r="AI138" s="239" t="s">
        <v>2196</v>
      </c>
      <c r="AJ138" s="278" t="s">
        <v>2</v>
      </c>
      <c r="AK138" s="279" t="s">
        <v>2</v>
      </c>
      <c r="AL138" s="239" t="s">
        <v>775</v>
      </c>
      <c r="AM138" s="239" t="s">
        <v>68</v>
      </c>
      <c r="AN138" s="239" t="s">
        <v>89</v>
      </c>
      <c r="AO138" s="242" t="s">
        <v>2</v>
      </c>
      <c r="AP138" s="221" t="s">
        <v>1051</v>
      </c>
      <c r="AQ138" s="152" t="s">
        <v>702</v>
      </c>
      <c r="AR138" s="152" t="s">
        <v>2</v>
      </c>
      <c r="AS138" s="152" t="s">
        <v>413</v>
      </c>
      <c r="AT138" s="152" t="s">
        <v>1234</v>
      </c>
      <c r="AU138" s="152" t="s">
        <v>2</v>
      </c>
      <c r="AV138" s="243" t="s">
        <v>1249</v>
      </c>
    </row>
    <row r="139" spans="2:48" ht="15" customHeight="1">
      <c r="B139" s="280" t="e">
        <f t="shared" si="13"/>
        <v>#REF!</v>
      </c>
      <c r="D139" s="272">
        <v>26028</v>
      </c>
      <c r="E139" s="229">
        <v>813601</v>
      </c>
      <c r="F139" s="47">
        <v>12536</v>
      </c>
      <c r="G139" s="239" t="s">
        <v>112</v>
      </c>
      <c r="H139" s="314" t="s">
        <v>424</v>
      </c>
      <c r="I139" s="239" t="s">
        <v>4</v>
      </c>
      <c r="J139" s="239" t="s">
        <v>405</v>
      </c>
      <c r="K139" s="275">
        <v>0.375</v>
      </c>
      <c r="L139" s="275">
        <v>0.71666666666666667</v>
      </c>
      <c r="M139" s="275">
        <v>0.34166666666666662</v>
      </c>
      <c r="N139" s="275" t="s">
        <v>2</v>
      </c>
      <c r="O139" s="275" t="s">
        <v>2</v>
      </c>
      <c r="P139" s="275" t="s">
        <v>2</v>
      </c>
      <c r="Q139" s="241">
        <v>41494</v>
      </c>
      <c r="R139" s="245" t="str">
        <f t="shared" ca="1" si="14"/>
        <v>W4+</v>
      </c>
      <c r="S139" s="241">
        <v>41517</v>
      </c>
      <c r="T139" s="245">
        <f t="shared" ca="1" si="15"/>
        <v>1203</v>
      </c>
      <c r="U139" s="239" t="s">
        <v>2216</v>
      </c>
      <c r="V139" s="241">
        <v>42594</v>
      </c>
      <c r="W139" s="276">
        <v>42594</v>
      </c>
      <c r="X139" s="227" t="s">
        <v>2</v>
      </c>
      <c r="Y139" s="239" t="s">
        <v>2</v>
      </c>
      <c r="Z139" s="239" t="s">
        <v>2</v>
      </c>
      <c r="AA139" s="239" t="s">
        <v>2</v>
      </c>
      <c r="AB139" s="241" t="s">
        <v>2</v>
      </c>
      <c r="AC139" s="239" t="s">
        <v>1251</v>
      </c>
      <c r="AD139" s="314" t="s">
        <v>2</v>
      </c>
      <c r="AE139" s="277" t="s">
        <v>2</v>
      </c>
      <c r="AF139" s="239" t="s">
        <v>2</v>
      </c>
      <c r="AG139" s="239" t="s">
        <v>2</v>
      </c>
      <c r="AH139" s="216" t="s">
        <v>2</v>
      </c>
      <c r="AI139" s="239" t="s">
        <v>2</v>
      </c>
      <c r="AJ139" s="278" t="s">
        <v>2</v>
      </c>
      <c r="AK139" s="279" t="s">
        <v>2</v>
      </c>
      <c r="AL139" s="314" t="s">
        <v>775</v>
      </c>
      <c r="AM139" s="314" t="s">
        <v>68</v>
      </c>
      <c r="AN139" s="314" t="s">
        <v>89</v>
      </c>
      <c r="AO139" s="281">
        <v>810014</v>
      </c>
      <c r="AP139" s="221" t="s">
        <v>799</v>
      </c>
      <c r="AQ139" s="152" t="s">
        <v>447</v>
      </c>
      <c r="AR139" s="152" t="s">
        <v>2</v>
      </c>
      <c r="AS139" s="152" t="s">
        <v>413</v>
      </c>
      <c r="AT139" s="152" t="s">
        <v>1089</v>
      </c>
      <c r="AU139" s="152" t="s">
        <v>1249</v>
      </c>
      <c r="AV139" s="243" t="s">
        <v>1249</v>
      </c>
    </row>
    <row r="140" spans="2:48" ht="15" customHeight="1">
      <c r="B140" s="280" t="e">
        <f t="shared" si="13"/>
        <v>#REF!</v>
      </c>
      <c r="D140" s="272">
        <v>16858</v>
      </c>
      <c r="E140" s="229">
        <v>727083</v>
      </c>
      <c r="F140" s="273">
        <v>12557</v>
      </c>
      <c r="G140" s="274" t="s">
        <v>115</v>
      </c>
      <c r="H140" s="314" t="s">
        <v>424</v>
      </c>
      <c r="I140" s="274" t="s">
        <v>4</v>
      </c>
      <c r="J140" s="274" t="s">
        <v>405</v>
      </c>
      <c r="K140" s="275">
        <v>0.375</v>
      </c>
      <c r="L140" s="275">
        <v>0.71666666666666667</v>
      </c>
      <c r="M140" s="275">
        <v>0.34166666666666662</v>
      </c>
      <c r="N140" s="275" t="s">
        <v>2</v>
      </c>
      <c r="O140" s="275" t="s">
        <v>2</v>
      </c>
      <c r="P140" s="275" t="s">
        <v>2</v>
      </c>
      <c r="Q140" s="276">
        <v>40665</v>
      </c>
      <c r="R140" s="245" t="str">
        <f t="shared" ca="1" si="14"/>
        <v>W4+</v>
      </c>
      <c r="S140" s="276">
        <v>40688</v>
      </c>
      <c r="T140" s="245">
        <f t="shared" ca="1" si="15"/>
        <v>2032</v>
      </c>
      <c r="U140" s="274" t="s">
        <v>2216</v>
      </c>
      <c r="V140" s="276">
        <v>42594</v>
      </c>
      <c r="W140" s="276">
        <v>42594</v>
      </c>
      <c r="X140" s="227" t="s">
        <v>2</v>
      </c>
      <c r="Y140" s="274" t="s">
        <v>2</v>
      </c>
      <c r="Z140" s="274" t="s">
        <v>2</v>
      </c>
      <c r="AA140" s="274" t="s">
        <v>2</v>
      </c>
      <c r="AB140" s="276" t="s">
        <v>2</v>
      </c>
      <c r="AC140" s="274" t="s">
        <v>1251</v>
      </c>
      <c r="AD140" s="277" t="s">
        <v>2</v>
      </c>
      <c r="AE140" s="277">
        <v>7500000</v>
      </c>
      <c r="AF140" s="274" t="s">
        <v>2</v>
      </c>
      <c r="AG140" s="274" t="s">
        <v>2</v>
      </c>
      <c r="AH140" s="216">
        <v>34064</v>
      </c>
      <c r="AI140" s="274" t="s">
        <v>2196</v>
      </c>
      <c r="AJ140" s="316" t="s">
        <v>2</v>
      </c>
      <c r="AK140" s="316" t="s">
        <v>2</v>
      </c>
      <c r="AL140" s="316" t="s">
        <v>775</v>
      </c>
      <c r="AM140" s="316" t="s">
        <v>68</v>
      </c>
      <c r="AN140" s="316" t="s">
        <v>89</v>
      </c>
      <c r="AO140" s="242">
        <v>810025</v>
      </c>
      <c r="AP140" s="221" t="s">
        <v>802</v>
      </c>
      <c r="AQ140" s="152" t="s">
        <v>450</v>
      </c>
      <c r="AR140" s="152" t="s">
        <v>2</v>
      </c>
      <c r="AS140" s="152" t="s">
        <v>413</v>
      </c>
      <c r="AT140" s="152" t="s">
        <v>1092</v>
      </c>
      <c r="AU140" s="152" t="s">
        <v>1249</v>
      </c>
      <c r="AV140" s="282" t="s">
        <v>1249</v>
      </c>
    </row>
    <row r="141" spans="2:48" ht="15" customHeight="1">
      <c r="B141" s="280" t="e">
        <f t="shared" si="13"/>
        <v>#REF!</v>
      </c>
      <c r="D141" s="272">
        <v>16685</v>
      </c>
      <c r="E141" s="229">
        <v>725627</v>
      </c>
      <c r="F141" s="238">
        <v>12208</v>
      </c>
      <c r="G141" s="239" t="s">
        <v>371</v>
      </c>
      <c r="H141" s="274" t="s">
        <v>411</v>
      </c>
      <c r="I141" s="239" t="s">
        <v>4</v>
      </c>
      <c r="J141" s="239" t="s">
        <v>405</v>
      </c>
      <c r="K141" s="275">
        <v>0.375</v>
      </c>
      <c r="L141" s="275">
        <v>0.75</v>
      </c>
      <c r="M141" s="275">
        <v>0.375</v>
      </c>
      <c r="N141" s="275" t="s">
        <v>2</v>
      </c>
      <c r="O141" s="275" t="s">
        <v>2</v>
      </c>
      <c r="P141" s="275" t="s">
        <v>2</v>
      </c>
      <c r="Q141" s="241">
        <v>40648</v>
      </c>
      <c r="R141" s="245" t="str">
        <f t="shared" ca="1" si="14"/>
        <v>W4+</v>
      </c>
      <c r="S141" s="241">
        <v>40671</v>
      </c>
      <c r="T141" s="245">
        <f t="shared" ca="1" si="15"/>
        <v>2049</v>
      </c>
      <c r="U141" s="239" t="s">
        <v>2217</v>
      </c>
      <c r="V141" s="241">
        <v>42485</v>
      </c>
      <c r="W141" s="241" t="s">
        <v>2</v>
      </c>
      <c r="X141" s="227" t="s">
        <v>2</v>
      </c>
      <c r="Y141" s="239" t="s">
        <v>2</v>
      </c>
      <c r="Z141" s="239" t="s">
        <v>2</v>
      </c>
      <c r="AA141" s="239" t="s">
        <v>2</v>
      </c>
      <c r="AB141" s="241" t="s">
        <v>2</v>
      </c>
      <c r="AC141" s="239" t="s">
        <v>1251</v>
      </c>
      <c r="AD141" s="314" t="s">
        <v>2</v>
      </c>
      <c r="AE141" s="277">
        <v>9190650</v>
      </c>
      <c r="AF141" s="239" t="s">
        <v>2</v>
      </c>
      <c r="AG141" s="239" t="s">
        <v>2</v>
      </c>
      <c r="AH141" s="216">
        <v>30104</v>
      </c>
      <c r="AI141" s="239" t="s">
        <v>2190</v>
      </c>
      <c r="AJ141" s="278" t="s">
        <v>2</v>
      </c>
      <c r="AK141" s="279" t="s">
        <v>2</v>
      </c>
      <c r="AL141" s="314" t="s">
        <v>775</v>
      </c>
      <c r="AM141" s="314" t="s">
        <v>68</v>
      </c>
      <c r="AN141" s="314" t="s">
        <v>89</v>
      </c>
      <c r="AO141" s="281" t="s">
        <v>2</v>
      </c>
      <c r="AP141" s="221" t="s">
        <v>1046</v>
      </c>
      <c r="AQ141" s="152" t="s">
        <v>697</v>
      </c>
      <c r="AR141" s="152" t="s">
        <v>2</v>
      </c>
      <c r="AS141" s="152" t="s">
        <v>413</v>
      </c>
      <c r="AT141" s="152" t="s">
        <v>1228</v>
      </c>
      <c r="AU141" s="152" t="s">
        <v>2</v>
      </c>
      <c r="AV141" s="243" t="s">
        <v>1249</v>
      </c>
    </row>
    <row r="142" spans="2:48" ht="15" customHeight="1">
      <c r="B142" s="280" t="e">
        <f t="shared" si="13"/>
        <v>#REF!</v>
      </c>
      <c r="D142" s="272">
        <v>14915</v>
      </c>
      <c r="E142" s="229">
        <v>716933</v>
      </c>
      <c r="F142" s="238">
        <v>12358</v>
      </c>
      <c r="G142" s="239" t="s">
        <v>374</v>
      </c>
      <c r="H142" s="314" t="s">
        <v>411</v>
      </c>
      <c r="I142" s="239" t="s">
        <v>4</v>
      </c>
      <c r="J142" s="239" t="s">
        <v>405</v>
      </c>
      <c r="K142" s="275">
        <v>0.375</v>
      </c>
      <c r="L142" s="275">
        <v>0.71666666666666667</v>
      </c>
      <c r="M142" s="275">
        <v>0.34166666666666662</v>
      </c>
      <c r="N142" s="275" t="s">
        <v>2</v>
      </c>
      <c r="O142" s="275" t="s">
        <v>2</v>
      </c>
      <c r="P142" s="275" t="s">
        <v>2</v>
      </c>
      <c r="Q142" s="241">
        <v>40556</v>
      </c>
      <c r="R142" s="245" t="str">
        <f t="shared" ca="1" si="14"/>
        <v>W4+</v>
      </c>
      <c r="S142" s="241">
        <v>40579</v>
      </c>
      <c r="T142" s="245">
        <f t="shared" ca="1" si="15"/>
        <v>2141</v>
      </c>
      <c r="U142" s="239" t="s">
        <v>2217</v>
      </c>
      <c r="V142" s="241">
        <v>42706</v>
      </c>
      <c r="W142" s="276">
        <v>42709</v>
      </c>
      <c r="X142" s="276" t="s">
        <v>2</v>
      </c>
      <c r="Y142" s="239" t="s">
        <v>2</v>
      </c>
      <c r="Z142" s="239" t="s">
        <v>2</v>
      </c>
      <c r="AA142" s="239" t="s">
        <v>2</v>
      </c>
      <c r="AB142" s="241" t="s">
        <v>2</v>
      </c>
      <c r="AC142" s="239" t="s">
        <v>1251</v>
      </c>
      <c r="AD142" s="274" t="s">
        <v>2</v>
      </c>
      <c r="AE142" s="51">
        <v>2851070</v>
      </c>
      <c r="AF142" s="239" t="s">
        <v>2</v>
      </c>
      <c r="AG142" s="239" t="s">
        <v>2</v>
      </c>
      <c r="AH142" s="216">
        <v>33882</v>
      </c>
      <c r="AI142" s="239" t="s">
        <v>2189</v>
      </c>
      <c r="AJ142" s="278" t="s">
        <v>2</v>
      </c>
      <c r="AK142" s="279" t="s">
        <v>2</v>
      </c>
      <c r="AL142" s="274" t="s">
        <v>775</v>
      </c>
      <c r="AM142" s="274" t="s">
        <v>68</v>
      </c>
      <c r="AN142" s="274" t="s">
        <v>89</v>
      </c>
      <c r="AO142" s="242" t="s">
        <v>2</v>
      </c>
      <c r="AP142" s="221" t="s">
        <v>1049</v>
      </c>
      <c r="AQ142" s="152" t="s">
        <v>700</v>
      </c>
      <c r="AR142" s="152" t="s">
        <v>2</v>
      </c>
      <c r="AS142" s="152" t="s">
        <v>413</v>
      </c>
      <c r="AT142" s="152" t="s">
        <v>1231</v>
      </c>
      <c r="AU142" s="152" t="s">
        <v>1249</v>
      </c>
      <c r="AV142" s="243" t="s">
        <v>1249</v>
      </c>
    </row>
    <row r="143" spans="2:48" ht="15" customHeight="1">
      <c r="B143" s="280" t="e">
        <f t="shared" si="13"/>
        <v>#REF!</v>
      </c>
      <c r="D143" s="272">
        <v>14417</v>
      </c>
      <c r="E143" s="229">
        <v>714269</v>
      </c>
      <c r="F143" s="238">
        <v>12161</v>
      </c>
      <c r="G143" s="239" t="s">
        <v>108</v>
      </c>
      <c r="H143" s="274" t="s">
        <v>424</v>
      </c>
      <c r="I143" s="274" t="s">
        <v>4</v>
      </c>
      <c r="J143" s="239" t="s">
        <v>405</v>
      </c>
      <c r="K143" s="275">
        <v>0.40833333333333338</v>
      </c>
      <c r="L143" s="275">
        <v>0.75</v>
      </c>
      <c r="M143" s="275">
        <v>0.34166666666666662</v>
      </c>
      <c r="N143" s="275" t="s">
        <v>2</v>
      </c>
      <c r="O143" s="275" t="s">
        <v>2</v>
      </c>
      <c r="P143" s="275" t="s">
        <v>2</v>
      </c>
      <c r="Q143" s="241">
        <v>40519</v>
      </c>
      <c r="R143" s="245" t="str">
        <f t="shared" ca="1" si="14"/>
        <v>W4+</v>
      </c>
      <c r="S143" s="241">
        <v>40542</v>
      </c>
      <c r="T143" s="245">
        <f t="shared" ca="1" si="15"/>
        <v>2178</v>
      </c>
      <c r="U143" s="239" t="s">
        <v>2216</v>
      </c>
      <c r="V143" s="241">
        <v>42675</v>
      </c>
      <c r="W143" s="241">
        <v>42677</v>
      </c>
      <c r="X143" s="276" t="s">
        <v>2</v>
      </c>
      <c r="Y143" s="239" t="s">
        <v>2</v>
      </c>
      <c r="Z143" s="239" t="s">
        <v>2</v>
      </c>
      <c r="AA143" s="239" t="s">
        <v>2</v>
      </c>
      <c r="AB143" s="241" t="s">
        <v>2</v>
      </c>
      <c r="AC143" s="239" t="s">
        <v>1251</v>
      </c>
      <c r="AD143" s="239" t="s">
        <v>2</v>
      </c>
      <c r="AE143" s="51">
        <v>5158020</v>
      </c>
      <c r="AF143" s="239" t="s">
        <v>2</v>
      </c>
      <c r="AG143" s="239" t="s">
        <v>2</v>
      </c>
      <c r="AH143" s="216">
        <v>29392</v>
      </c>
      <c r="AI143" s="239" t="s">
        <v>2191</v>
      </c>
      <c r="AJ143" s="53" t="s">
        <v>2</v>
      </c>
      <c r="AK143" s="54" t="s">
        <v>2</v>
      </c>
      <c r="AL143" s="239" t="s">
        <v>775</v>
      </c>
      <c r="AM143" s="239" t="s">
        <v>68</v>
      </c>
      <c r="AN143" s="239" t="s">
        <v>89</v>
      </c>
      <c r="AO143" s="96">
        <v>810009</v>
      </c>
      <c r="AP143" s="221" t="s">
        <v>795</v>
      </c>
      <c r="AQ143" s="152" t="s">
        <v>443</v>
      </c>
      <c r="AR143" s="152" t="s">
        <v>2</v>
      </c>
      <c r="AS143" s="152" t="s">
        <v>413</v>
      </c>
      <c r="AT143" s="152" t="s">
        <v>1085</v>
      </c>
      <c r="AU143" s="152" t="s">
        <v>1249</v>
      </c>
      <c r="AV143" s="243" t="s">
        <v>1249</v>
      </c>
    </row>
    <row r="144" spans="2:48" ht="15" customHeight="1">
      <c r="B144" s="280" t="e">
        <f t="shared" si="13"/>
        <v>#REF!</v>
      </c>
      <c r="D144" s="272">
        <v>17929</v>
      </c>
      <c r="E144" s="229">
        <v>733371</v>
      </c>
      <c r="F144" s="238">
        <v>12179</v>
      </c>
      <c r="G144" s="239" t="s">
        <v>375</v>
      </c>
      <c r="H144" s="274" t="s">
        <v>411</v>
      </c>
      <c r="I144" s="239" t="s">
        <v>4</v>
      </c>
      <c r="J144" s="239" t="s">
        <v>405</v>
      </c>
      <c r="K144" s="275">
        <v>0.40833333333333338</v>
      </c>
      <c r="L144" s="275">
        <v>0.75</v>
      </c>
      <c r="M144" s="275">
        <v>0.34166666666666662</v>
      </c>
      <c r="N144" s="275" t="s">
        <v>2</v>
      </c>
      <c r="O144" s="275" t="s">
        <v>2</v>
      </c>
      <c r="P144" s="275" t="s">
        <v>2</v>
      </c>
      <c r="Q144" s="241">
        <v>40725</v>
      </c>
      <c r="R144" s="245" t="str">
        <f t="shared" ca="1" si="14"/>
        <v>W4+</v>
      </c>
      <c r="S144" s="241">
        <v>40748</v>
      </c>
      <c r="T144" s="245">
        <f t="shared" ca="1" si="15"/>
        <v>1972</v>
      </c>
      <c r="U144" s="239" t="s">
        <v>2217</v>
      </c>
      <c r="V144" s="241">
        <v>42585</v>
      </c>
      <c r="W144" s="241">
        <v>42586</v>
      </c>
      <c r="X144" s="276" t="s">
        <v>2</v>
      </c>
      <c r="Y144" s="239" t="s">
        <v>2</v>
      </c>
      <c r="Z144" s="239" t="s">
        <v>2</v>
      </c>
      <c r="AA144" s="239" t="s">
        <v>2</v>
      </c>
      <c r="AB144" s="241" t="s">
        <v>2</v>
      </c>
      <c r="AC144" s="239" t="s">
        <v>1251</v>
      </c>
      <c r="AD144" s="239" t="s">
        <v>2</v>
      </c>
      <c r="AE144" s="51">
        <v>8191230</v>
      </c>
      <c r="AF144" s="239" t="s">
        <v>2</v>
      </c>
      <c r="AG144" s="239" t="s">
        <v>2</v>
      </c>
      <c r="AH144" s="216">
        <v>34144</v>
      </c>
      <c r="AI144" s="239" t="s">
        <v>2194</v>
      </c>
      <c r="AJ144" s="53" t="s">
        <v>2</v>
      </c>
      <c r="AK144" s="54" t="s">
        <v>2</v>
      </c>
      <c r="AL144" s="239" t="s">
        <v>775</v>
      </c>
      <c r="AM144" s="239" t="s">
        <v>68</v>
      </c>
      <c r="AN144" s="239" t="s">
        <v>89</v>
      </c>
      <c r="AO144" s="96" t="s">
        <v>2</v>
      </c>
      <c r="AP144" s="221" t="s">
        <v>1050</v>
      </c>
      <c r="AQ144" s="152" t="s">
        <v>701</v>
      </c>
      <c r="AR144" s="152" t="s">
        <v>2</v>
      </c>
      <c r="AS144" s="152" t="s">
        <v>413</v>
      </c>
      <c r="AT144" s="152" t="s">
        <v>1232</v>
      </c>
      <c r="AU144" s="152" t="s">
        <v>1249</v>
      </c>
      <c r="AV144" s="243" t="s">
        <v>1249</v>
      </c>
    </row>
    <row r="145" spans="1:49" ht="15" customHeight="1">
      <c r="B145" s="280" t="e">
        <f t="shared" si="13"/>
        <v>#REF!</v>
      </c>
      <c r="D145" s="272">
        <v>25035</v>
      </c>
      <c r="E145" s="315">
        <v>800552</v>
      </c>
      <c r="F145" s="238">
        <v>12660</v>
      </c>
      <c r="G145" s="239" t="s">
        <v>350</v>
      </c>
      <c r="H145" s="274" t="s">
        <v>424</v>
      </c>
      <c r="I145" s="239" t="s">
        <v>5</v>
      </c>
      <c r="J145" s="239" t="s">
        <v>405</v>
      </c>
      <c r="K145" s="275">
        <v>0.41666666666666669</v>
      </c>
      <c r="L145" s="275">
        <v>0.7583333333333333</v>
      </c>
      <c r="M145" s="275">
        <v>0.34166666666666662</v>
      </c>
      <c r="N145" s="275" t="s">
        <v>2</v>
      </c>
      <c r="O145" s="275" t="s">
        <v>2</v>
      </c>
      <c r="P145" s="275" t="s">
        <v>2</v>
      </c>
      <c r="Q145" s="241">
        <v>41368</v>
      </c>
      <c r="R145" s="245" t="str">
        <f t="shared" ca="1" si="14"/>
        <v>W4+</v>
      </c>
      <c r="S145" s="241">
        <v>41391</v>
      </c>
      <c r="T145" s="245">
        <f t="shared" ca="1" si="15"/>
        <v>1329</v>
      </c>
      <c r="U145" s="239" t="s">
        <v>2220</v>
      </c>
      <c r="V145" s="241">
        <v>42705</v>
      </c>
      <c r="W145" s="241">
        <v>42705</v>
      </c>
      <c r="X145" s="276">
        <v>42734</v>
      </c>
      <c r="Y145" s="239" t="s">
        <v>2</v>
      </c>
      <c r="Z145" s="239" t="s">
        <v>2</v>
      </c>
      <c r="AA145" s="239" t="s">
        <v>2</v>
      </c>
      <c r="AB145" s="241" t="s">
        <v>2</v>
      </c>
      <c r="AC145" s="239" t="s">
        <v>1251</v>
      </c>
      <c r="AD145" s="239" t="s">
        <v>2</v>
      </c>
      <c r="AE145" s="277">
        <v>2613050</v>
      </c>
      <c r="AF145" s="239" t="s">
        <v>2</v>
      </c>
      <c r="AG145" s="239" t="s">
        <v>2</v>
      </c>
      <c r="AH145" s="216">
        <v>34591</v>
      </c>
      <c r="AI145" s="239" t="s">
        <v>2189</v>
      </c>
      <c r="AJ145" s="278" t="s">
        <v>2</v>
      </c>
      <c r="AK145" s="279" t="s">
        <v>2</v>
      </c>
      <c r="AL145" s="239" t="s">
        <v>775</v>
      </c>
      <c r="AM145" s="239" t="s">
        <v>68</v>
      </c>
      <c r="AN145" s="239" t="s">
        <v>89</v>
      </c>
      <c r="AO145" s="242" t="s">
        <v>2</v>
      </c>
      <c r="AP145" s="221" t="s">
        <v>1029</v>
      </c>
      <c r="AQ145" s="281" t="s">
        <v>678</v>
      </c>
      <c r="AR145" s="281" t="s">
        <v>2</v>
      </c>
      <c r="AS145" s="281" t="s">
        <v>413</v>
      </c>
      <c r="AT145" s="281" t="s">
        <v>1209</v>
      </c>
      <c r="AU145" s="281" t="s">
        <v>1249</v>
      </c>
      <c r="AV145" s="243" t="s">
        <v>1249</v>
      </c>
    </row>
    <row r="146" spans="1:49" ht="15" customHeight="1">
      <c r="B146" s="280" t="e">
        <f t="shared" si="13"/>
        <v>#REF!</v>
      </c>
      <c r="D146" s="272">
        <v>10769</v>
      </c>
      <c r="E146" s="229">
        <v>688704</v>
      </c>
      <c r="F146" s="238">
        <v>12308</v>
      </c>
      <c r="G146" s="239" t="s">
        <v>117</v>
      </c>
      <c r="H146" s="274" t="s">
        <v>424</v>
      </c>
      <c r="I146" s="274" t="s">
        <v>4</v>
      </c>
      <c r="J146" s="239" t="s">
        <v>405</v>
      </c>
      <c r="K146" s="275">
        <v>0.41666666666666669</v>
      </c>
      <c r="L146" s="275">
        <v>0.7583333333333333</v>
      </c>
      <c r="M146" s="275">
        <v>0.34166666666666662</v>
      </c>
      <c r="N146" s="275" t="s">
        <v>2</v>
      </c>
      <c r="O146" s="275" t="s">
        <v>2</v>
      </c>
      <c r="P146" s="275" t="s">
        <v>2</v>
      </c>
      <c r="Q146" s="241">
        <v>39938</v>
      </c>
      <c r="R146" s="245" t="str">
        <f t="shared" ca="1" si="14"/>
        <v>W4+</v>
      </c>
      <c r="S146" s="241">
        <v>39961</v>
      </c>
      <c r="T146" s="245">
        <f t="shared" ca="1" si="15"/>
        <v>2759</v>
      </c>
      <c r="U146" s="239" t="s">
        <v>2216</v>
      </c>
      <c r="V146" s="241">
        <v>42594</v>
      </c>
      <c r="W146" s="241">
        <v>42594</v>
      </c>
      <c r="X146" s="227" t="s">
        <v>2</v>
      </c>
      <c r="Y146" s="239" t="s">
        <v>2</v>
      </c>
      <c r="Z146" s="239" t="s">
        <v>2</v>
      </c>
      <c r="AA146" s="239" t="s">
        <v>2</v>
      </c>
      <c r="AB146" s="241" t="s">
        <v>2</v>
      </c>
      <c r="AC146" s="239" t="s">
        <v>1251</v>
      </c>
      <c r="AD146" s="239" t="s">
        <v>2</v>
      </c>
      <c r="AE146" s="277">
        <v>1257120</v>
      </c>
      <c r="AF146" s="239" t="s">
        <v>2</v>
      </c>
      <c r="AG146" s="239" t="s">
        <v>2</v>
      </c>
      <c r="AH146" s="216">
        <v>30095</v>
      </c>
      <c r="AI146" s="239" t="s">
        <v>2192</v>
      </c>
      <c r="AJ146" s="278" t="s">
        <v>2</v>
      </c>
      <c r="AK146" s="279" t="s">
        <v>2</v>
      </c>
      <c r="AL146" s="239" t="s">
        <v>775</v>
      </c>
      <c r="AM146" s="239" t="s">
        <v>68</v>
      </c>
      <c r="AN146" s="239" t="s">
        <v>89</v>
      </c>
      <c r="AO146" s="242">
        <v>810019</v>
      </c>
      <c r="AP146" s="221" t="s">
        <v>804</v>
      </c>
      <c r="AQ146" s="152" t="s">
        <v>452</v>
      </c>
      <c r="AR146" s="152" t="s">
        <v>2</v>
      </c>
      <c r="AS146" s="152" t="s">
        <v>413</v>
      </c>
      <c r="AT146" s="152" t="s">
        <v>1094</v>
      </c>
      <c r="AU146" s="152" t="s">
        <v>1249</v>
      </c>
      <c r="AV146" s="243" t="s">
        <v>1249</v>
      </c>
    </row>
    <row r="147" spans="1:49" ht="15" customHeight="1">
      <c r="B147" s="280" t="e">
        <f t="shared" si="13"/>
        <v>#REF!</v>
      </c>
      <c r="D147" s="272">
        <v>1174</v>
      </c>
      <c r="E147" s="315">
        <v>689023</v>
      </c>
      <c r="F147" s="238">
        <v>12067</v>
      </c>
      <c r="G147" s="239" t="s">
        <v>387</v>
      </c>
      <c r="H147" s="274" t="s">
        <v>388</v>
      </c>
      <c r="I147" s="274" t="s">
        <v>5</v>
      </c>
      <c r="J147" s="239" t="s">
        <v>406</v>
      </c>
      <c r="K147" s="275">
        <v>0.3125</v>
      </c>
      <c r="L147" s="275">
        <v>0.6875</v>
      </c>
      <c r="M147" s="275">
        <v>0.375</v>
      </c>
      <c r="N147" s="275" t="s">
        <v>2</v>
      </c>
      <c r="O147" s="275" t="s">
        <v>2</v>
      </c>
      <c r="P147" s="275" t="s">
        <v>2</v>
      </c>
      <c r="Q147" s="241">
        <v>37172</v>
      </c>
      <c r="R147" s="245" t="str">
        <f t="shared" ca="1" si="14"/>
        <v>W4+</v>
      </c>
      <c r="S147" s="241">
        <v>37195</v>
      </c>
      <c r="T147" s="245">
        <f t="shared" ca="1" si="15"/>
        <v>5525</v>
      </c>
      <c r="U147" s="239" t="s">
        <v>2225</v>
      </c>
      <c r="V147" s="276">
        <v>42719</v>
      </c>
      <c r="W147" s="276">
        <v>42719</v>
      </c>
      <c r="X147" s="276">
        <v>42748</v>
      </c>
      <c r="Y147" s="274" t="s">
        <v>2</v>
      </c>
      <c r="Z147" s="239" t="s">
        <v>2</v>
      </c>
      <c r="AA147" s="239" t="s">
        <v>2</v>
      </c>
      <c r="AB147" s="241" t="s">
        <v>2</v>
      </c>
      <c r="AC147" s="239" t="s">
        <v>2</v>
      </c>
      <c r="AD147" s="239" t="s">
        <v>2</v>
      </c>
      <c r="AE147" s="277">
        <v>7120260</v>
      </c>
      <c r="AF147" s="239" t="s">
        <v>2</v>
      </c>
      <c r="AG147" s="239" t="s">
        <v>2</v>
      </c>
      <c r="AH147" s="216">
        <v>27174</v>
      </c>
      <c r="AI147" s="239" t="s">
        <v>2196</v>
      </c>
      <c r="AJ147" s="278" t="s">
        <v>2</v>
      </c>
      <c r="AK147" s="279" t="s">
        <v>2</v>
      </c>
      <c r="AL147" s="239" t="s">
        <v>776</v>
      </c>
      <c r="AM147" s="239" t="s">
        <v>68</v>
      </c>
      <c r="AN147" s="239" t="s">
        <v>89</v>
      </c>
      <c r="AO147" s="242" t="s">
        <v>2</v>
      </c>
      <c r="AP147" s="221" t="s">
        <v>1059</v>
      </c>
      <c r="AQ147" s="316" t="s">
        <v>2880</v>
      </c>
      <c r="AR147" s="316" t="s">
        <v>2</v>
      </c>
      <c r="AS147" s="316" t="s">
        <v>776</v>
      </c>
      <c r="AT147" s="316" t="s">
        <v>1244</v>
      </c>
      <c r="AU147" s="316" t="s">
        <v>1249</v>
      </c>
      <c r="AV147" s="243" t="s">
        <v>2</v>
      </c>
    </row>
    <row r="148" spans="1:49" ht="15" customHeight="1">
      <c r="B148" s="280" t="e">
        <f t="shared" si="13"/>
        <v>#REF!</v>
      </c>
      <c r="D148" s="272">
        <v>24709</v>
      </c>
      <c r="E148" s="312">
        <v>798678</v>
      </c>
      <c r="F148" s="238">
        <v>12473</v>
      </c>
      <c r="G148" s="239" t="s">
        <v>384</v>
      </c>
      <c r="H148" s="274" t="s">
        <v>388</v>
      </c>
      <c r="I148" s="274" t="s">
        <v>4</v>
      </c>
      <c r="J148" s="239" t="s">
        <v>406</v>
      </c>
      <c r="K148" s="275">
        <v>0.375</v>
      </c>
      <c r="L148" s="275">
        <v>0.75</v>
      </c>
      <c r="M148" s="275">
        <v>0.375</v>
      </c>
      <c r="N148" s="275" t="s">
        <v>2</v>
      </c>
      <c r="O148" s="275" t="s">
        <v>2</v>
      </c>
      <c r="P148" s="275" t="s">
        <v>2</v>
      </c>
      <c r="Q148" s="241">
        <v>41340</v>
      </c>
      <c r="R148" s="245" t="str">
        <f t="shared" ca="1" si="14"/>
        <v>W4+</v>
      </c>
      <c r="S148" s="241">
        <v>41363</v>
      </c>
      <c r="T148" s="245">
        <f t="shared" ca="1" si="15"/>
        <v>1357</v>
      </c>
      <c r="U148" s="239" t="s">
        <v>2223</v>
      </c>
      <c r="V148" s="241">
        <v>42718</v>
      </c>
      <c r="W148" s="241">
        <v>42718</v>
      </c>
      <c r="X148" s="241" t="s">
        <v>2</v>
      </c>
      <c r="Y148" s="239" t="s">
        <v>2</v>
      </c>
      <c r="Z148" s="239" t="s">
        <v>2</v>
      </c>
      <c r="AA148" s="239" t="s">
        <v>2</v>
      </c>
      <c r="AB148" s="241" t="s">
        <v>2</v>
      </c>
      <c r="AC148" s="239" t="s">
        <v>2</v>
      </c>
      <c r="AD148" s="239" t="s">
        <v>2</v>
      </c>
      <c r="AE148" s="277">
        <v>2801010</v>
      </c>
      <c r="AF148" s="239" t="s">
        <v>2</v>
      </c>
      <c r="AG148" s="239" t="s">
        <v>2</v>
      </c>
      <c r="AH148" s="216">
        <v>34369</v>
      </c>
      <c r="AI148" s="239" t="s">
        <v>2189</v>
      </c>
      <c r="AJ148" s="278" t="s">
        <v>2</v>
      </c>
      <c r="AK148" s="279" t="s">
        <v>2</v>
      </c>
      <c r="AL148" s="239" t="s">
        <v>776</v>
      </c>
      <c r="AM148" s="239" t="s">
        <v>68</v>
      </c>
      <c r="AN148" s="239" t="s">
        <v>89</v>
      </c>
      <c r="AO148" s="281" t="s">
        <v>2</v>
      </c>
      <c r="AP148" s="221" t="s">
        <v>1056</v>
      </c>
      <c r="AQ148" s="316" t="s">
        <v>2883</v>
      </c>
      <c r="AR148" s="316" t="s">
        <v>2</v>
      </c>
      <c r="AS148" s="316" t="s">
        <v>776</v>
      </c>
      <c r="AT148" s="316" t="s">
        <v>1241</v>
      </c>
      <c r="AU148" s="316" t="s">
        <v>1249</v>
      </c>
      <c r="AV148" s="243" t="s">
        <v>2</v>
      </c>
    </row>
    <row r="149" spans="1:49" ht="15" customHeight="1">
      <c r="B149" s="280" t="e">
        <f t="shared" si="13"/>
        <v>#REF!</v>
      </c>
      <c r="D149" s="272">
        <v>27553</v>
      </c>
      <c r="E149" s="229">
        <v>831344</v>
      </c>
      <c r="F149" s="238">
        <v>12680</v>
      </c>
      <c r="G149" s="239" t="s">
        <v>376</v>
      </c>
      <c r="H149" s="274" t="s">
        <v>388</v>
      </c>
      <c r="I149" s="239" t="s">
        <v>5</v>
      </c>
      <c r="J149" s="239" t="s">
        <v>406</v>
      </c>
      <c r="K149" s="275">
        <v>0.375</v>
      </c>
      <c r="L149" s="275">
        <v>0.75</v>
      </c>
      <c r="M149" s="275">
        <v>0.375</v>
      </c>
      <c r="N149" s="275" t="s">
        <v>2</v>
      </c>
      <c r="O149" s="275" t="s">
        <v>2</v>
      </c>
      <c r="P149" s="275" t="s">
        <v>2</v>
      </c>
      <c r="Q149" s="241">
        <v>41676</v>
      </c>
      <c r="R149" s="245" t="str">
        <f t="shared" ca="1" si="14"/>
        <v>W4+</v>
      </c>
      <c r="S149" s="241">
        <v>41705</v>
      </c>
      <c r="T149" s="245">
        <f t="shared" ca="1" si="15"/>
        <v>1015</v>
      </c>
      <c r="U149" s="239" t="s">
        <v>2217</v>
      </c>
      <c r="V149" s="241">
        <v>42705</v>
      </c>
      <c r="W149" s="241">
        <v>42705</v>
      </c>
      <c r="X149" s="276">
        <v>42724</v>
      </c>
      <c r="Y149" s="239" t="s">
        <v>2</v>
      </c>
      <c r="Z149" s="239" t="s">
        <v>2</v>
      </c>
      <c r="AA149" s="239" t="s">
        <v>2</v>
      </c>
      <c r="AB149" s="241" t="s">
        <v>2</v>
      </c>
      <c r="AC149" s="239" t="s">
        <v>2</v>
      </c>
      <c r="AD149" s="239" t="s">
        <v>2</v>
      </c>
      <c r="AE149" s="51" t="s">
        <v>773</v>
      </c>
      <c r="AF149" s="239" t="s">
        <v>2</v>
      </c>
      <c r="AG149" s="239" t="s">
        <v>2</v>
      </c>
      <c r="AH149" s="216">
        <v>34064</v>
      </c>
      <c r="AI149" s="239" t="s">
        <v>2188</v>
      </c>
      <c r="AJ149" s="53" t="s">
        <v>2</v>
      </c>
      <c r="AK149" s="54" t="s">
        <v>2</v>
      </c>
      <c r="AL149" s="239" t="s">
        <v>776</v>
      </c>
      <c r="AM149" s="239" t="s">
        <v>68</v>
      </c>
      <c r="AN149" s="239" t="s">
        <v>89</v>
      </c>
      <c r="AO149" s="281" t="s">
        <v>2</v>
      </c>
      <c r="AP149" s="221" t="s">
        <v>2394</v>
      </c>
      <c r="AQ149" s="152" t="s">
        <v>2885</v>
      </c>
      <c r="AR149" s="152" t="s">
        <v>2</v>
      </c>
      <c r="AS149" s="152" t="s">
        <v>776</v>
      </c>
      <c r="AT149" s="152" t="s">
        <v>1233</v>
      </c>
      <c r="AU149" s="152" t="s">
        <v>1249</v>
      </c>
      <c r="AV149" s="243" t="s">
        <v>2</v>
      </c>
    </row>
    <row r="150" spans="1:49" ht="15" customHeight="1">
      <c r="B150" s="280" t="e">
        <f t="shared" si="13"/>
        <v>#REF!</v>
      </c>
      <c r="D150" s="272">
        <v>28633</v>
      </c>
      <c r="E150" s="229">
        <v>843893</v>
      </c>
      <c r="F150" s="273">
        <v>12479</v>
      </c>
      <c r="G150" s="215" t="s">
        <v>391</v>
      </c>
      <c r="H150" s="274" t="s">
        <v>388</v>
      </c>
      <c r="I150" s="215" t="s">
        <v>4</v>
      </c>
      <c r="J150" s="215" t="s">
        <v>406</v>
      </c>
      <c r="K150" s="275">
        <v>0.375</v>
      </c>
      <c r="L150" s="275">
        <v>0.75</v>
      </c>
      <c r="M150" s="275">
        <v>0.375</v>
      </c>
      <c r="N150" s="275" t="s">
        <v>2</v>
      </c>
      <c r="O150" s="275" t="s">
        <v>2</v>
      </c>
      <c r="P150" s="275" t="s">
        <v>2</v>
      </c>
      <c r="Q150" s="216">
        <v>41799</v>
      </c>
      <c r="R150" s="245" t="str">
        <f t="shared" ca="1" si="14"/>
        <v>W4+</v>
      </c>
      <c r="S150" s="216">
        <v>41799</v>
      </c>
      <c r="T150" s="245">
        <f t="shared" ca="1" si="15"/>
        <v>921</v>
      </c>
      <c r="U150" s="215" t="s">
        <v>2225</v>
      </c>
      <c r="V150" s="216">
        <v>42487</v>
      </c>
      <c r="W150" s="216" t="s">
        <v>2</v>
      </c>
      <c r="X150" s="216" t="s">
        <v>2</v>
      </c>
      <c r="Y150" s="215" t="s">
        <v>2</v>
      </c>
      <c r="Z150" s="215" t="s">
        <v>2</v>
      </c>
      <c r="AA150" s="215" t="s">
        <v>2</v>
      </c>
      <c r="AB150" s="216" t="s">
        <v>2</v>
      </c>
      <c r="AC150" s="215" t="s">
        <v>2</v>
      </c>
      <c r="AD150" s="215" t="s">
        <v>2</v>
      </c>
      <c r="AE150" s="218" t="s">
        <v>2</v>
      </c>
      <c r="AF150" s="215" t="s">
        <v>2</v>
      </c>
      <c r="AG150" s="215" t="s">
        <v>2</v>
      </c>
      <c r="AH150" s="216">
        <v>30482</v>
      </c>
      <c r="AI150" s="215" t="s">
        <v>2</v>
      </c>
      <c r="AJ150" s="219" t="s">
        <v>2</v>
      </c>
      <c r="AK150" s="220" t="s">
        <v>2</v>
      </c>
      <c r="AL150" s="215" t="s">
        <v>776</v>
      </c>
      <c r="AM150" s="215" t="s">
        <v>68</v>
      </c>
      <c r="AN150" s="215" t="s">
        <v>89</v>
      </c>
      <c r="AO150" s="242" t="s">
        <v>2</v>
      </c>
      <c r="AP150" s="221" t="s">
        <v>1063</v>
      </c>
      <c r="AQ150" s="221" t="s">
        <v>2881</v>
      </c>
      <c r="AR150" s="221" t="s">
        <v>2</v>
      </c>
      <c r="AS150" s="221" t="s">
        <v>776</v>
      </c>
      <c r="AT150" s="221" t="s">
        <v>1248</v>
      </c>
      <c r="AU150" s="221" t="s">
        <v>1249</v>
      </c>
      <c r="AV150" s="222" t="s">
        <v>2</v>
      </c>
    </row>
    <row r="151" spans="1:49" ht="15" customHeight="1">
      <c r="B151" s="280" t="e">
        <f t="shared" si="13"/>
        <v>#REF!</v>
      </c>
      <c r="D151" s="272">
        <v>25395</v>
      </c>
      <c r="E151" s="229">
        <v>804546</v>
      </c>
      <c r="F151" s="238">
        <v>12513</v>
      </c>
      <c r="G151" s="215" t="s">
        <v>389</v>
      </c>
      <c r="H151" s="274" t="s">
        <v>388</v>
      </c>
      <c r="I151" s="215" t="s">
        <v>4</v>
      </c>
      <c r="J151" s="215" t="s">
        <v>406</v>
      </c>
      <c r="K151" s="275">
        <v>0.375</v>
      </c>
      <c r="L151" s="275">
        <v>0.75</v>
      </c>
      <c r="M151" s="275">
        <v>0.375</v>
      </c>
      <c r="N151" s="275" t="s">
        <v>2</v>
      </c>
      <c r="O151" s="275" t="s">
        <v>2</v>
      </c>
      <c r="P151" s="275" t="s">
        <v>2</v>
      </c>
      <c r="Q151" s="216">
        <v>41402</v>
      </c>
      <c r="R151" s="245" t="str">
        <f t="shared" ca="1" si="14"/>
        <v>W4+</v>
      </c>
      <c r="S151" s="216">
        <v>41425</v>
      </c>
      <c r="T151" s="245">
        <f t="shared" ca="1" si="15"/>
        <v>1295</v>
      </c>
      <c r="U151" s="215" t="s">
        <v>2223</v>
      </c>
      <c r="V151" s="216" t="s">
        <v>2</v>
      </c>
      <c r="W151" s="216" t="s">
        <v>2</v>
      </c>
      <c r="X151" s="216" t="s">
        <v>2</v>
      </c>
      <c r="Y151" s="215" t="s">
        <v>2</v>
      </c>
      <c r="Z151" s="215" t="s">
        <v>2</v>
      </c>
      <c r="AA151" s="215" t="s">
        <v>2</v>
      </c>
      <c r="AB151" s="216" t="s">
        <v>2</v>
      </c>
      <c r="AC151" s="215" t="s">
        <v>2</v>
      </c>
      <c r="AD151" s="215" t="s">
        <v>2</v>
      </c>
      <c r="AE151" s="218">
        <v>4070000</v>
      </c>
      <c r="AF151" s="215" t="s">
        <v>2</v>
      </c>
      <c r="AG151" s="215" t="s">
        <v>2</v>
      </c>
      <c r="AH151" s="216">
        <v>33847</v>
      </c>
      <c r="AI151" s="215" t="s">
        <v>2188</v>
      </c>
      <c r="AJ151" s="219" t="s">
        <v>2</v>
      </c>
      <c r="AK151" s="220" t="s">
        <v>2</v>
      </c>
      <c r="AL151" s="215" t="s">
        <v>776</v>
      </c>
      <c r="AM151" s="215" t="s">
        <v>68</v>
      </c>
      <c r="AN151" s="215" t="s">
        <v>89</v>
      </c>
      <c r="AO151" s="281" t="s">
        <v>2</v>
      </c>
      <c r="AP151" s="221" t="s">
        <v>1061</v>
      </c>
      <c r="AQ151" s="221" t="s">
        <v>2882</v>
      </c>
      <c r="AR151" s="221" t="s">
        <v>2</v>
      </c>
      <c r="AS151" s="281" t="s">
        <v>776</v>
      </c>
      <c r="AT151" s="281" t="s">
        <v>1246</v>
      </c>
      <c r="AU151" s="221" t="s">
        <v>1249</v>
      </c>
      <c r="AV151" s="222" t="s">
        <v>2</v>
      </c>
    </row>
    <row r="152" spans="1:49" ht="15" customHeight="1">
      <c r="B152" s="280" t="e">
        <f t="shared" si="13"/>
        <v>#REF!</v>
      </c>
      <c r="D152" s="272">
        <v>20674</v>
      </c>
      <c r="E152" s="229">
        <v>761433</v>
      </c>
      <c r="F152" s="238">
        <v>12566</v>
      </c>
      <c r="G152" s="215" t="s">
        <v>385</v>
      </c>
      <c r="H152" s="274" t="s">
        <v>388</v>
      </c>
      <c r="I152" s="215" t="s">
        <v>4</v>
      </c>
      <c r="J152" s="215" t="s">
        <v>406</v>
      </c>
      <c r="K152" s="275">
        <v>0.375</v>
      </c>
      <c r="L152" s="275">
        <v>0.75</v>
      </c>
      <c r="M152" s="275">
        <v>0.375</v>
      </c>
      <c r="N152" s="275" t="s">
        <v>2</v>
      </c>
      <c r="O152" s="275" t="s">
        <v>2</v>
      </c>
      <c r="P152" s="275" t="s">
        <v>2</v>
      </c>
      <c r="Q152" s="216">
        <v>40952</v>
      </c>
      <c r="R152" s="245" t="str">
        <f t="shared" ca="1" si="14"/>
        <v>W4+</v>
      </c>
      <c r="S152" s="216">
        <v>40975</v>
      </c>
      <c r="T152" s="245">
        <f t="shared" ca="1" si="15"/>
        <v>1745</v>
      </c>
      <c r="U152" s="215" t="s">
        <v>2223</v>
      </c>
      <c r="V152" s="216">
        <v>42530</v>
      </c>
      <c r="W152" s="216">
        <v>42530</v>
      </c>
      <c r="X152" s="216">
        <v>42561</v>
      </c>
      <c r="Y152" s="314" t="s">
        <v>2</v>
      </c>
      <c r="Z152" s="215" t="s">
        <v>2</v>
      </c>
      <c r="AA152" s="215" t="s">
        <v>2</v>
      </c>
      <c r="AB152" s="216" t="s">
        <v>2</v>
      </c>
      <c r="AC152" s="215" t="s">
        <v>2</v>
      </c>
      <c r="AD152" s="215" t="s">
        <v>2</v>
      </c>
      <c r="AE152" s="218">
        <v>2867090</v>
      </c>
      <c r="AF152" s="215" t="s">
        <v>2</v>
      </c>
      <c r="AG152" s="215" t="s">
        <v>2</v>
      </c>
      <c r="AH152" s="216">
        <v>26029</v>
      </c>
      <c r="AI152" s="215" t="s">
        <v>2189</v>
      </c>
      <c r="AJ152" s="219" t="s">
        <v>2</v>
      </c>
      <c r="AK152" s="220" t="s">
        <v>2</v>
      </c>
      <c r="AL152" s="215" t="s">
        <v>776</v>
      </c>
      <c r="AM152" s="215" t="s">
        <v>68</v>
      </c>
      <c r="AN152" s="215" t="s">
        <v>89</v>
      </c>
      <c r="AO152" s="242" t="s">
        <v>2</v>
      </c>
      <c r="AP152" s="221" t="s">
        <v>1057</v>
      </c>
      <c r="AQ152" s="221" t="s">
        <v>2884</v>
      </c>
      <c r="AR152" s="221" t="s">
        <v>2</v>
      </c>
      <c r="AS152" s="281" t="s">
        <v>776</v>
      </c>
      <c r="AT152" s="281" t="s">
        <v>1242</v>
      </c>
      <c r="AU152" s="221" t="s">
        <v>1249</v>
      </c>
      <c r="AV152" s="222" t="s">
        <v>2</v>
      </c>
    </row>
    <row r="153" spans="1:49" ht="15" customHeight="1">
      <c r="B153" s="280" t="e">
        <f t="shared" si="13"/>
        <v>#REF!</v>
      </c>
      <c r="D153" s="212">
        <v>14783</v>
      </c>
      <c r="E153" s="330">
        <v>716537</v>
      </c>
      <c r="F153" s="214">
        <v>12573</v>
      </c>
      <c r="G153" s="215" t="s">
        <v>388</v>
      </c>
      <c r="H153" s="215" t="s">
        <v>776</v>
      </c>
      <c r="I153" s="215" t="s">
        <v>4</v>
      </c>
      <c r="J153" s="215" t="s">
        <v>406</v>
      </c>
      <c r="K153" s="271">
        <v>0.375</v>
      </c>
      <c r="L153" s="271">
        <v>0.75</v>
      </c>
      <c r="M153" s="271">
        <v>0.375</v>
      </c>
      <c r="N153" s="271" t="s">
        <v>2</v>
      </c>
      <c r="O153" s="271" t="s">
        <v>2</v>
      </c>
      <c r="P153" s="271" t="s">
        <v>2</v>
      </c>
      <c r="Q153" s="216">
        <v>40553</v>
      </c>
      <c r="R153" s="217" t="str">
        <f t="shared" ca="1" si="14"/>
        <v>W4+</v>
      </c>
      <c r="S153" s="216">
        <v>42045</v>
      </c>
      <c r="T153" s="217">
        <f t="shared" ca="1" si="15"/>
        <v>675</v>
      </c>
      <c r="U153" s="215" t="s">
        <v>2393</v>
      </c>
      <c r="V153" s="216">
        <v>42656</v>
      </c>
      <c r="W153" s="216">
        <v>42656</v>
      </c>
      <c r="X153" s="228">
        <v>42685</v>
      </c>
      <c r="Y153" s="215" t="s">
        <v>2</v>
      </c>
      <c r="Z153" s="215" t="s">
        <v>2</v>
      </c>
      <c r="AA153" s="215" t="s">
        <v>2</v>
      </c>
      <c r="AB153" s="216" t="s">
        <v>2</v>
      </c>
      <c r="AC153" s="215" t="s">
        <v>2</v>
      </c>
      <c r="AD153" s="215" t="s">
        <v>2</v>
      </c>
      <c r="AE153" s="218">
        <v>3735180</v>
      </c>
      <c r="AF153" s="215" t="s">
        <v>2</v>
      </c>
      <c r="AG153" s="215" t="s">
        <v>2</v>
      </c>
      <c r="AH153" s="216">
        <v>31537</v>
      </c>
      <c r="AI153" s="215" t="s">
        <v>2195</v>
      </c>
      <c r="AJ153" s="219"/>
      <c r="AK153" s="220"/>
      <c r="AL153" s="215" t="s">
        <v>776</v>
      </c>
      <c r="AM153" s="215" t="s">
        <v>68</v>
      </c>
      <c r="AN153" s="215" t="s">
        <v>89</v>
      </c>
      <c r="AO153" s="226" t="s">
        <v>2</v>
      </c>
      <c r="AP153" s="221" t="s">
        <v>1060</v>
      </c>
      <c r="AQ153" s="221" t="s">
        <v>2886</v>
      </c>
      <c r="AR153" s="221" t="s">
        <v>2</v>
      </c>
      <c r="AS153" s="226" t="s">
        <v>776</v>
      </c>
      <c r="AT153" s="226" t="s">
        <v>1245</v>
      </c>
      <c r="AU153" s="221" t="s">
        <v>1249</v>
      </c>
      <c r="AV153" s="222" t="s">
        <v>2</v>
      </c>
    </row>
    <row r="154" spans="1:49" ht="15" customHeight="1">
      <c r="B154" s="280" t="e">
        <f t="shared" si="13"/>
        <v>#REF!</v>
      </c>
      <c r="D154" s="212">
        <v>22510</v>
      </c>
      <c r="E154" s="330">
        <v>773788</v>
      </c>
      <c r="F154" s="214">
        <v>12538</v>
      </c>
      <c r="G154" s="215" t="s">
        <v>386</v>
      </c>
      <c r="H154" s="215" t="s">
        <v>388</v>
      </c>
      <c r="I154" s="215" t="s">
        <v>4</v>
      </c>
      <c r="J154" s="215" t="s">
        <v>406</v>
      </c>
      <c r="K154" s="271">
        <v>0.3888888888888889</v>
      </c>
      <c r="L154" s="271">
        <v>0.76388888888888884</v>
      </c>
      <c r="M154" s="271">
        <v>0.375</v>
      </c>
      <c r="N154" s="271" t="s">
        <v>2</v>
      </c>
      <c r="O154" s="271" t="s">
        <v>2</v>
      </c>
      <c r="P154" s="271" t="s">
        <v>2</v>
      </c>
      <c r="Q154" s="216">
        <v>41102</v>
      </c>
      <c r="R154" s="217" t="str">
        <f t="shared" ca="1" si="14"/>
        <v>W4+</v>
      </c>
      <c r="S154" s="216">
        <v>41125</v>
      </c>
      <c r="T154" s="217">
        <f t="shared" ca="1" si="15"/>
        <v>1595</v>
      </c>
      <c r="U154" s="215" t="s">
        <v>2225</v>
      </c>
      <c r="V154" s="216">
        <v>42523</v>
      </c>
      <c r="W154" s="216">
        <v>42522</v>
      </c>
      <c r="X154" s="228"/>
      <c r="Y154" s="215" t="s">
        <v>2</v>
      </c>
      <c r="Z154" s="215" t="s">
        <v>2</v>
      </c>
      <c r="AA154" s="215" t="s">
        <v>2</v>
      </c>
      <c r="AB154" s="216" t="s">
        <v>2</v>
      </c>
      <c r="AC154" s="215" t="s">
        <v>2</v>
      </c>
      <c r="AD154" s="215" t="s">
        <v>2</v>
      </c>
      <c r="AE154" s="218">
        <v>9560500</v>
      </c>
      <c r="AF154" s="215" t="s">
        <v>2</v>
      </c>
      <c r="AG154" s="215" t="s">
        <v>2</v>
      </c>
      <c r="AH154" s="216">
        <v>33147</v>
      </c>
      <c r="AI154" s="215" t="s">
        <v>2190</v>
      </c>
      <c r="AJ154" s="219" t="s">
        <v>2</v>
      </c>
      <c r="AK154" s="220" t="s">
        <v>2</v>
      </c>
      <c r="AL154" s="215" t="s">
        <v>776</v>
      </c>
      <c r="AM154" s="215" t="s">
        <v>68</v>
      </c>
      <c r="AN154" s="215" t="s">
        <v>89</v>
      </c>
      <c r="AO154" s="226" t="s">
        <v>2</v>
      </c>
      <c r="AP154" s="221" t="s">
        <v>1058</v>
      </c>
      <c r="AQ154" s="221" t="s">
        <v>2887</v>
      </c>
      <c r="AR154" s="221" t="s">
        <v>2</v>
      </c>
      <c r="AS154" s="226" t="s">
        <v>776</v>
      </c>
      <c r="AT154" s="226" t="s">
        <v>1243</v>
      </c>
      <c r="AU154" s="221" t="s">
        <v>1249</v>
      </c>
      <c r="AV154" s="222" t="s">
        <v>2</v>
      </c>
    </row>
    <row r="155" spans="1:49" ht="15" customHeight="1" thickBot="1">
      <c r="A155" s="72"/>
      <c r="B155" s="280" t="e">
        <f t="shared" si="13"/>
        <v>#REF!</v>
      </c>
      <c r="C155" s="91"/>
      <c r="D155" s="286">
        <v>25602</v>
      </c>
      <c r="E155" s="255">
        <v>807815</v>
      </c>
      <c r="F155" s="249">
        <v>12766</v>
      </c>
      <c r="G155" s="250" t="s">
        <v>383</v>
      </c>
      <c r="H155" s="250" t="s">
        <v>388</v>
      </c>
      <c r="I155" s="250" t="s">
        <v>4</v>
      </c>
      <c r="J155" s="250" t="s">
        <v>406</v>
      </c>
      <c r="K155" s="251">
        <v>0.40277777777777773</v>
      </c>
      <c r="L155" s="251">
        <v>0.77777777777777779</v>
      </c>
      <c r="M155" s="251">
        <v>0.375</v>
      </c>
      <c r="N155" s="251" t="s">
        <v>2</v>
      </c>
      <c r="O155" s="251" t="s">
        <v>2</v>
      </c>
      <c r="P155" s="251" t="s">
        <v>2</v>
      </c>
      <c r="Q155" s="252">
        <v>41429</v>
      </c>
      <c r="R155" s="253" t="str">
        <f t="shared" ca="1" si="14"/>
        <v>W4+</v>
      </c>
      <c r="S155" s="252">
        <v>41452</v>
      </c>
      <c r="T155" s="253">
        <f t="shared" ca="1" si="15"/>
        <v>1268</v>
      </c>
      <c r="U155" s="250" t="s">
        <v>2225</v>
      </c>
      <c r="V155" s="252">
        <v>42510</v>
      </c>
      <c r="W155" s="252">
        <v>42513</v>
      </c>
      <c r="X155" s="252" t="s">
        <v>2</v>
      </c>
      <c r="Y155" s="250" t="s">
        <v>2</v>
      </c>
      <c r="Z155" s="250" t="s">
        <v>2</v>
      </c>
      <c r="AA155" s="250" t="s">
        <v>2</v>
      </c>
      <c r="AB155" s="252" t="s">
        <v>2</v>
      </c>
      <c r="AC155" s="250" t="s">
        <v>2</v>
      </c>
      <c r="AD155" s="250" t="s">
        <v>2</v>
      </c>
      <c r="AE155" s="254">
        <v>3077000</v>
      </c>
      <c r="AF155" s="250" t="s">
        <v>2</v>
      </c>
      <c r="AG155" s="250" t="s">
        <v>2</v>
      </c>
      <c r="AH155" s="252">
        <v>34556</v>
      </c>
      <c r="AI155" s="250" t="s">
        <v>2195</v>
      </c>
      <c r="AJ155" s="250" t="s">
        <v>2</v>
      </c>
      <c r="AK155" s="250" t="s">
        <v>2</v>
      </c>
      <c r="AL155" s="250" t="s">
        <v>776</v>
      </c>
      <c r="AM155" s="250" t="s">
        <v>68</v>
      </c>
      <c r="AN155" s="250" t="s">
        <v>89</v>
      </c>
      <c r="AO155" s="255" t="s">
        <v>2</v>
      </c>
      <c r="AP155" s="255" t="s">
        <v>1055</v>
      </c>
      <c r="AQ155" s="250" t="s">
        <v>2888</v>
      </c>
      <c r="AR155" s="250" t="s">
        <v>2</v>
      </c>
      <c r="AS155" s="250" t="s">
        <v>776</v>
      </c>
      <c r="AT155" s="250" t="s">
        <v>1240</v>
      </c>
      <c r="AU155" s="250" t="s">
        <v>1249</v>
      </c>
      <c r="AV155" s="256" t="s">
        <v>2</v>
      </c>
      <c r="AW155" s="289"/>
    </row>
  </sheetData>
  <autoFilter ref="D7:AV155"/>
  <sortState ref="D8:AV155">
    <sortCondition ref="J8:J155"/>
    <sortCondition ref="K8:K155"/>
    <sortCondition ref="H8:H155"/>
  </sortState>
  <mergeCells count="2">
    <mergeCell ref="Z6:AB6"/>
    <mergeCell ref="AD6:AK6"/>
  </mergeCells>
  <conditionalFormatting sqref="AS7">
    <cfRule type="expression" dxfId="2679" priority="1682">
      <formula>$A7="X"</formula>
    </cfRule>
  </conditionalFormatting>
  <conditionalFormatting sqref="AT7">
    <cfRule type="expression" dxfId="2678" priority="1679">
      <formula>$A7="X"</formula>
    </cfRule>
  </conditionalFormatting>
  <conditionalFormatting sqref="AU7">
    <cfRule type="expression" dxfId="2677" priority="1676">
      <formula>$A7="X"</formula>
    </cfRule>
  </conditionalFormatting>
  <conditionalFormatting sqref="AV7">
    <cfRule type="expression" dxfId="2676" priority="1667">
      <formula>$A7="X"</formula>
    </cfRule>
  </conditionalFormatting>
  <conditionalFormatting sqref="V82:X82">
    <cfRule type="expression" dxfId="2675" priority="1603">
      <formula>#REF!&lt;&gt;"Ativo"</formula>
    </cfRule>
    <cfRule type="expression" dxfId="2674" priority="1604">
      <formula>$B82="x"</formula>
    </cfRule>
  </conditionalFormatting>
  <conditionalFormatting sqref="V132:X133 V123:X127 V106:X107 V135:X139 V146:X146 V53:X62 V110:X113 V141:X144 X91:X104 V129:X129 V64:X67 V18:X19 V11:X15 V8:X9 V70:X70 V115:X115 V117:X121 V72:X73 V88:X89 V91:W105 V21:X30 V32:X41 V75:X86 V148:X154 V43:X51">
    <cfRule type="expression" dxfId="2673" priority="1605">
      <formula>$G8&lt;&gt;"Ativo"</formula>
    </cfRule>
    <cfRule type="expression" dxfId="2672" priority="1606">
      <formula>$B8="x"</formula>
    </cfRule>
  </conditionalFormatting>
  <conditionalFormatting sqref="V24:X24">
    <cfRule type="expression" dxfId="2671" priority="1579">
      <formula>$G24&lt;&gt;"Ativo"</formula>
    </cfRule>
    <cfRule type="expression" dxfId="2670" priority="1580">
      <formula>$B24="x"</formula>
    </cfRule>
  </conditionalFormatting>
  <conditionalFormatting sqref="V74:X74">
    <cfRule type="expression" dxfId="2669" priority="1553">
      <formula>$G74&lt;&gt;"Ativo"</formula>
    </cfRule>
    <cfRule type="expression" dxfId="2668" priority="1554">
      <formula>$B74="x"</formula>
    </cfRule>
  </conditionalFormatting>
  <conditionalFormatting sqref="V19:X19">
    <cfRule type="expression" dxfId="2667" priority="1551">
      <formula>$G19&lt;&gt;"Ativo"</formula>
    </cfRule>
    <cfRule type="expression" dxfId="2666" priority="1552">
      <formula>$B19="x"</formula>
    </cfRule>
  </conditionalFormatting>
  <conditionalFormatting sqref="V42:X42">
    <cfRule type="expression" dxfId="2665" priority="1545">
      <formula>$G42&lt;&gt;"Ativo"</formula>
    </cfRule>
    <cfRule type="expression" dxfId="2664" priority="1546">
      <formula>$B42="x"</formula>
    </cfRule>
  </conditionalFormatting>
  <conditionalFormatting sqref="V145:X145">
    <cfRule type="expression" dxfId="2663" priority="1529">
      <formula>$G145&lt;&gt;"Ativo"</formula>
    </cfRule>
    <cfRule type="expression" dxfId="2662" priority="1530">
      <formula>$B145="x"</formula>
    </cfRule>
  </conditionalFormatting>
  <conditionalFormatting sqref="V90:X90">
    <cfRule type="expression" dxfId="2661" priority="1387">
      <formula>$G90&lt;&gt;"Ativo"</formula>
    </cfRule>
    <cfRule type="expression" dxfId="2660" priority="1388">
      <formula>$B90="x"</formula>
    </cfRule>
  </conditionalFormatting>
  <conditionalFormatting sqref="V131:X131">
    <cfRule type="expression" dxfId="2659" priority="1379">
      <formula>$G131&lt;&gt;"Ativo"</formula>
    </cfRule>
    <cfRule type="expression" dxfId="2658" priority="1380">
      <formula>$B131="x"</formula>
    </cfRule>
  </conditionalFormatting>
  <conditionalFormatting sqref="V31:X31">
    <cfRule type="expression" dxfId="2657" priority="1289">
      <formula>$G31&lt;&gt;"Ativo"</formula>
    </cfRule>
    <cfRule type="expression" dxfId="2656" priority="1290">
      <formula>$B31="x"</formula>
    </cfRule>
  </conditionalFormatting>
  <conditionalFormatting sqref="V134:X134">
    <cfRule type="expression" dxfId="2655" priority="1277">
      <formula>$G134&lt;&gt;"Ativo"</formula>
    </cfRule>
    <cfRule type="expression" dxfId="2654" priority="1278">
      <formula>$B134="x"</formula>
    </cfRule>
  </conditionalFormatting>
  <conditionalFormatting sqref="V108:X108">
    <cfRule type="expression" dxfId="2653" priority="1269">
      <formula>$G108&lt;&gt;"Ativo"</formula>
    </cfRule>
    <cfRule type="expression" dxfId="2652" priority="1270">
      <formula>$B108="x"</formula>
    </cfRule>
  </conditionalFormatting>
  <conditionalFormatting sqref="V109:X109">
    <cfRule type="expression" dxfId="2651" priority="1239">
      <formula>$G109&lt;&gt;"Ativo"</formula>
    </cfRule>
    <cfRule type="expression" dxfId="2650" priority="1240">
      <formula>$B109="x"</formula>
    </cfRule>
  </conditionalFormatting>
  <conditionalFormatting sqref="V140:X140">
    <cfRule type="expression" dxfId="2649" priority="1185">
      <formula>$G140&lt;&gt;"Ativo"</formula>
    </cfRule>
    <cfRule type="expression" dxfId="2648" priority="1186">
      <formula>$B140="x"</formula>
    </cfRule>
  </conditionalFormatting>
  <conditionalFormatting sqref="V52:X52">
    <cfRule type="expression" dxfId="2647" priority="1181">
      <formula>$G52&lt;&gt;"Ativo"</formula>
    </cfRule>
    <cfRule type="expression" dxfId="2646" priority="1182">
      <formula>$B52="x"</formula>
    </cfRule>
  </conditionalFormatting>
  <conditionalFormatting sqref="V73:X73">
    <cfRule type="expression" dxfId="2645" priority="1175">
      <formula>$G73&lt;&gt;"Ativo"</formula>
    </cfRule>
    <cfRule type="expression" dxfId="2644" priority="1176">
      <formula>$B73="x"</formula>
    </cfRule>
  </conditionalFormatting>
  <conditionalFormatting sqref="V36:X36">
    <cfRule type="expression" dxfId="2643" priority="1171">
      <formula>$G36&lt;&gt;"Ativo"</formula>
    </cfRule>
    <cfRule type="expression" dxfId="2642" priority="1172">
      <formula>$B36="x"</formula>
    </cfRule>
  </conditionalFormatting>
  <conditionalFormatting sqref="V36">
    <cfRule type="expression" dxfId="2641" priority="1087">
      <formula>$G36&lt;&gt;"Ativo"</formula>
    </cfRule>
    <cfRule type="expression" dxfId="2640" priority="1088">
      <formula>$B36="x"</formula>
    </cfRule>
  </conditionalFormatting>
  <conditionalFormatting sqref="V36">
    <cfRule type="expression" dxfId="2639" priority="1083">
      <formula>$G36&lt;&gt;"Ativo"</formula>
    </cfRule>
    <cfRule type="expression" dxfId="2638" priority="1084">
      <formula>$B36="x"</formula>
    </cfRule>
  </conditionalFormatting>
  <conditionalFormatting sqref="X105">
    <cfRule type="expression" dxfId="2637" priority="1049">
      <formula>$G105&lt;&gt;"Ativo"</formula>
    </cfRule>
    <cfRule type="expression" dxfId="2636" priority="1050">
      <formula>$B105="x"</formula>
    </cfRule>
  </conditionalFormatting>
  <conditionalFormatting sqref="V10:X10">
    <cfRule type="expression" dxfId="2635" priority="1043">
      <formula>$G10&lt;&gt;"Ativo"</formula>
    </cfRule>
    <cfRule type="expression" dxfId="2634" priority="1044">
      <formula>$B10="x"</formula>
    </cfRule>
  </conditionalFormatting>
  <conditionalFormatting sqref="V16:X16">
    <cfRule type="expression" dxfId="2633" priority="1035">
      <formula>$G16&lt;&gt;"Ativo"</formula>
    </cfRule>
    <cfRule type="expression" dxfId="2632" priority="1036">
      <formula>$B16="x"</formula>
    </cfRule>
  </conditionalFormatting>
  <conditionalFormatting sqref="V17:X17">
    <cfRule type="expression" dxfId="2631" priority="1031">
      <formula>$G17&lt;&gt;"Ativo"</formula>
    </cfRule>
    <cfRule type="expression" dxfId="2630" priority="1032">
      <formula>$B17="x"</formula>
    </cfRule>
  </conditionalFormatting>
  <conditionalFormatting sqref="V20:X20">
    <cfRule type="expression" dxfId="2629" priority="1027">
      <formula>$G20&lt;&gt;"Ativo"</formula>
    </cfRule>
    <cfRule type="expression" dxfId="2628" priority="1028">
      <formula>$B20="x"</formula>
    </cfRule>
  </conditionalFormatting>
  <conditionalFormatting sqref="V63:X63">
    <cfRule type="expression" dxfId="2627" priority="741">
      <formula>$G63&lt;&gt;"Ativo"</formula>
    </cfRule>
    <cfRule type="expression" dxfId="2626" priority="742">
      <formula>$B63="x"</formula>
    </cfRule>
  </conditionalFormatting>
  <conditionalFormatting sqref="J151 J67 Q67 Q65 J65 U80:AG80 J146:Q149 J152:Q154 J68:Q68 I111:Q113 J150:M150 Q150:Q151 U86:AG86 AI86:AN86 AI80:AN80 Q74 I74:J74 Q145 Q134 Q108:Q109 I108:J109 Q140 H110:Q110 H106:Q107 H145:J145 D145:G155 H134:J134 G135:Q139 D140:J140 F131:F139 J66:Q66 J64:Q64 F141:F147 G141:Q144 N53:AU63 U65:AV67 D86:G86 U105:AO107 H64:I68 U64:AU64 AV53:AV64 Q38:AV38 U81:AN85 R64:T68 K39:AV42 D70:AV70 U75:AV79 D75:T83 D115:AV115 D117:AV121 H131:Q133 K131:P154 D131:G134 D131:E154 R131:AV146 D129:AV129 R72:AV74 H72:Q73 K72:P74 D123:AV127 R88:T107 Q88:Q105 I88:J105 AO88:AO104 AI88:AN89 U88:AG89 U90:AN104 D38:J42 D43:AV43 N44:AV52 K44:P68 D44:G68 H44:J63 H84:T86 AO80:AV86 D84:E86 F84:G85 D72:H74 D8:AV37 U68 Y68:AV68 R147:U147 Y147:AV147 AP88:AV107 H146:I154 R148:AV154 H155:AV155 K88:P113 R108:AV113 D88:H113 AH8:AH152">
    <cfRule type="expression" dxfId="2625" priority="2985">
      <formula>$I8&lt;&gt;"Ativo"</formula>
    </cfRule>
    <cfRule type="expression" dxfId="2624" priority="2986">
      <formula>$B8="x"</formula>
    </cfRule>
  </conditionalFormatting>
  <conditionalFormatting sqref="W132">
    <cfRule type="expression" dxfId="2623" priority="87">
      <formula>$G132&lt;&gt;"Ativo"</formula>
    </cfRule>
    <cfRule type="expression" dxfId="2622" priority="88">
      <formula>$B132="x"</formula>
    </cfRule>
  </conditionalFormatting>
  <conditionalFormatting sqref="W133">
    <cfRule type="expression" dxfId="2621" priority="85">
      <formula>$G133&lt;&gt;"Ativo"</formula>
    </cfRule>
    <cfRule type="expression" dxfId="2620" priority="86">
      <formula>$B133="x"</formula>
    </cfRule>
  </conditionalFormatting>
  <conditionalFormatting sqref="W134">
    <cfRule type="expression" dxfId="2619" priority="83">
      <formula>$G134&lt;&gt;"Ativo"</formula>
    </cfRule>
    <cfRule type="expression" dxfId="2618" priority="84">
      <formula>$B134="x"</formula>
    </cfRule>
  </conditionalFormatting>
  <conditionalFormatting sqref="W135">
    <cfRule type="expression" dxfId="2617" priority="81">
      <formula>$G135&lt;&gt;"Ativo"</formula>
    </cfRule>
    <cfRule type="expression" dxfId="2616" priority="82">
      <formula>$B135="x"</formula>
    </cfRule>
  </conditionalFormatting>
  <conditionalFormatting sqref="W136">
    <cfRule type="expression" dxfId="2615" priority="79">
      <formula>$G136&lt;&gt;"Ativo"</formula>
    </cfRule>
    <cfRule type="expression" dxfId="2614" priority="80">
      <formula>$B136="x"</formula>
    </cfRule>
  </conditionalFormatting>
  <conditionalFormatting sqref="W137">
    <cfRule type="expression" dxfId="2613" priority="77">
      <formula>$G137&lt;&gt;"Ativo"</formula>
    </cfRule>
    <cfRule type="expression" dxfId="2612" priority="78">
      <formula>$B137="x"</formula>
    </cfRule>
  </conditionalFormatting>
  <conditionalFormatting sqref="W139">
    <cfRule type="expression" dxfId="2611" priority="75">
      <formula>$G139&lt;&gt;"Ativo"</formula>
    </cfRule>
    <cfRule type="expression" dxfId="2610" priority="76">
      <formula>$B139="x"</formula>
    </cfRule>
  </conditionalFormatting>
  <conditionalFormatting sqref="W140">
    <cfRule type="expression" dxfId="2609" priority="73">
      <formula>$G140&lt;&gt;"Ativo"</formula>
    </cfRule>
    <cfRule type="expression" dxfId="2608" priority="74">
      <formula>$B140="x"</formula>
    </cfRule>
  </conditionalFormatting>
  <conditionalFormatting sqref="W142">
    <cfRule type="expression" dxfId="2607" priority="71">
      <formula>$G142&lt;&gt;"Ativo"</formula>
    </cfRule>
    <cfRule type="expression" dxfId="2606" priority="72">
      <formula>$B142="x"</formula>
    </cfRule>
  </conditionalFormatting>
  <conditionalFormatting sqref="K44:M44">
    <cfRule type="expression" dxfId="2605" priority="67">
      <formula>$I44&lt;&gt;"Ativo"</formula>
    </cfRule>
    <cfRule type="expression" dxfId="2604" priority="68">
      <formula>$B44="x"</formula>
    </cfRule>
  </conditionalFormatting>
  <conditionalFormatting sqref="X105">
    <cfRule type="expression" dxfId="2603" priority="61">
      <formula>$G105&lt;&gt;"Ativo"</formula>
    </cfRule>
    <cfRule type="expression" dxfId="2602" priority="62">
      <formula>$B105="x"</formula>
    </cfRule>
  </conditionalFormatting>
  <conditionalFormatting sqref="V76:X76">
    <cfRule type="expression" dxfId="2601" priority="57">
      <formula>$G76&lt;&gt;"Ativo"</formula>
    </cfRule>
    <cfRule type="expression" dxfId="2600" priority="58">
      <formula>$B76="x"</formula>
    </cfRule>
  </conditionalFormatting>
  <conditionalFormatting sqref="V106:X106">
    <cfRule type="expression" dxfId="2599" priority="55">
      <formula>$G106&lt;&gt;"Ativo"</formula>
    </cfRule>
    <cfRule type="expression" dxfId="2598" priority="56">
      <formula>$B106="x"</formula>
    </cfRule>
  </conditionalFormatting>
  <conditionalFormatting sqref="K38:P38">
    <cfRule type="expression" dxfId="2597" priority="53">
      <formula>$I38&lt;&gt;"Ativo"</formula>
    </cfRule>
    <cfRule type="expression" dxfId="2596" priority="54">
      <formula>$B38="x"</formula>
    </cfRule>
  </conditionalFormatting>
  <conditionalFormatting sqref="V69:X69">
    <cfRule type="expression" dxfId="2595" priority="49">
      <formula>$G69&lt;&gt;"Ativo"</formula>
    </cfRule>
    <cfRule type="expression" dxfId="2594" priority="50">
      <formula>$B69="x"</formula>
    </cfRule>
  </conditionalFormatting>
  <conditionalFormatting sqref="D69:AV69">
    <cfRule type="expression" dxfId="2593" priority="51">
      <formula>$I69&lt;&gt;"Ativo"</formula>
    </cfRule>
    <cfRule type="expression" dxfId="2592" priority="52">
      <formula>$B69="x"</formula>
    </cfRule>
  </conditionalFormatting>
  <conditionalFormatting sqref="V114:X114">
    <cfRule type="expression" dxfId="2591" priority="41">
      <formula>$G114&lt;&gt;"Ativo"</formula>
    </cfRule>
    <cfRule type="expression" dxfId="2590" priority="42">
      <formula>$B114="x"</formula>
    </cfRule>
  </conditionalFormatting>
  <conditionalFormatting sqref="D114:AV114">
    <cfRule type="expression" dxfId="2589" priority="43">
      <formula>$I114&lt;&gt;"Ativo"</formula>
    </cfRule>
    <cfRule type="expression" dxfId="2588" priority="44">
      <formula>$B114="x"</formula>
    </cfRule>
  </conditionalFormatting>
  <conditionalFormatting sqref="V116:X116">
    <cfRule type="expression" dxfId="2587" priority="37">
      <formula>$G116&lt;&gt;"Ativo"</formula>
    </cfRule>
    <cfRule type="expression" dxfId="2586" priority="38">
      <formula>$B116="x"</formula>
    </cfRule>
  </conditionalFormatting>
  <conditionalFormatting sqref="D116:AV116">
    <cfRule type="expression" dxfId="2585" priority="39">
      <formula>$I116&lt;&gt;"Ativo"</formula>
    </cfRule>
    <cfRule type="expression" dxfId="2584" priority="40">
      <formula>$B116="x"</formula>
    </cfRule>
  </conditionalFormatting>
  <conditionalFormatting sqref="V130:X130">
    <cfRule type="expression" dxfId="2583" priority="33">
      <formula>$G130&lt;&gt;"Ativo"</formula>
    </cfRule>
    <cfRule type="expression" dxfId="2582" priority="34">
      <formula>$B130="x"</formula>
    </cfRule>
  </conditionalFormatting>
  <conditionalFormatting sqref="D130:AV130">
    <cfRule type="expression" dxfId="2581" priority="35">
      <formula>$I130&lt;&gt;"Ativo"</formula>
    </cfRule>
    <cfRule type="expression" dxfId="2580" priority="36">
      <formula>$B130="x"</formula>
    </cfRule>
  </conditionalFormatting>
  <conditionalFormatting sqref="V128:X128">
    <cfRule type="expression" dxfId="2579" priority="29">
      <formula>$G128&lt;&gt;"Ativo"</formula>
    </cfRule>
    <cfRule type="expression" dxfId="2578" priority="30">
      <formula>$B128="x"</formula>
    </cfRule>
  </conditionalFormatting>
  <conditionalFormatting sqref="D128:AV128">
    <cfRule type="expression" dxfId="2577" priority="31">
      <formula>$I128&lt;&gt;"Ativo"</formula>
    </cfRule>
    <cfRule type="expression" dxfId="2576" priority="32">
      <formula>$B128="x"</formula>
    </cfRule>
  </conditionalFormatting>
  <conditionalFormatting sqref="V71:X71">
    <cfRule type="expression" dxfId="2575" priority="25">
      <formula>$G71&lt;&gt;"Ativo"</formula>
    </cfRule>
    <cfRule type="expression" dxfId="2574" priority="26">
      <formula>$B71="x"</formula>
    </cfRule>
  </conditionalFormatting>
  <conditionalFormatting sqref="D71:AV71">
    <cfRule type="expression" dxfId="2573" priority="27">
      <formula>$I71&lt;&gt;"Ativo"</formula>
    </cfRule>
    <cfRule type="expression" dxfId="2572" priority="28">
      <formula>$B71="x"</formula>
    </cfRule>
  </conditionalFormatting>
  <conditionalFormatting sqref="V122:X122">
    <cfRule type="expression" dxfId="2571" priority="21">
      <formula>$G122&lt;&gt;"Ativo"</formula>
    </cfRule>
    <cfRule type="expression" dxfId="2570" priority="22">
      <formula>$B122="x"</formula>
    </cfRule>
  </conditionalFormatting>
  <conditionalFormatting sqref="D122:AV122">
    <cfRule type="expression" dxfId="2569" priority="23">
      <formula>$I122&lt;&gt;"Ativo"</formula>
    </cfRule>
    <cfRule type="expression" dxfId="2568" priority="24">
      <formula>$B122="x"</formula>
    </cfRule>
  </conditionalFormatting>
  <conditionalFormatting sqref="V87:X87">
    <cfRule type="expression" dxfId="2567" priority="17">
      <formula>$G87&lt;&gt;"Ativo"</formula>
    </cfRule>
    <cfRule type="expression" dxfId="2566" priority="18">
      <formula>$B87="x"</formula>
    </cfRule>
  </conditionalFormatting>
  <conditionalFormatting sqref="D87:AV87">
    <cfRule type="expression" dxfId="2565" priority="19">
      <formula>$I87&lt;&gt;"Ativo"</formula>
    </cfRule>
    <cfRule type="expression" dxfId="2564" priority="20">
      <formula>$B87="x"</formula>
    </cfRule>
  </conditionalFormatting>
  <conditionalFormatting sqref="V68:X68">
    <cfRule type="expression" dxfId="2563" priority="9">
      <formula>$G68&lt;&gt;"Ativo"</formula>
    </cfRule>
    <cfRule type="expression" dxfId="2562" priority="10">
      <formula>$B68="x"</formula>
    </cfRule>
  </conditionalFormatting>
  <conditionalFormatting sqref="V68:X68">
    <cfRule type="expression" dxfId="2561" priority="11">
      <formula>$I68&lt;&gt;"Ativo"</formula>
    </cfRule>
    <cfRule type="expression" dxfId="2560" priority="12">
      <formula>$B68="x"</formula>
    </cfRule>
  </conditionalFormatting>
  <conditionalFormatting sqref="V147:X147">
    <cfRule type="expression" dxfId="2559" priority="5">
      <formula>$G147&lt;&gt;"Ativo"</formula>
    </cfRule>
    <cfRule type="expression" dxfId="2558" priority="6">
      <formula>$B147="x"</formula>
    </cfRule>
  </conditionalFormatting>
  <conditionalFormatting sqref="V147:X147">
    <cfRule type="expression" dxfId="2557" priority="7">
      <formula>$I147&lt;&gt;"Ativo"</formula>
    </cfRule>
    <cfRule type="expression" dxfId="2556" priority="8">
      <formula>$B147="x"</formula>
    </cfRule>
  </conditionalFormatting>
  <dataValidations count="1">
    <dataValidation type="list" allowBlank="1" showInputMessage="1" showErrorMessage="1" sqref="I155 I8:I20 I22:I29 I33:I40">
      <formula1>"Ativo,Backup,Desligado,Férias,Licença,Transferido,Treinamento"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AV21"/>
  <sheetViews>
    <sheetView showGridLines="0" showRowColHeaders="0" zoomScale="80" zoomScaleNormal="8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D8" sqref="D8"/>
    </sheetView>
  </sheetViews>
  <sheetFormatPr defaultRowHeight="15" customHeight="1"/>
  <cols>
    <col min="1" max="1" width="1.42578125" style="92" customWidth="1"/>
    <col min="2" max="2" width="1.42578125" style="93" customWidth="1"/>
    <col min="3" max="3" width="1.7109375" style="63" customWidth="1"/>
    <col min="4" max="5" width="8.5703125" style="64" customWidth="1"/>
    <col min="6" max="6" width="8.5703125" style="65" customWidth="1"/>
    <col min="7" max="7" width="43.85546875" style="94" bestFit="1" customWidth="1"/>
    <col min="8" max="8" width="40" style="64" customWidth="1"/>
    <col min="9" max="9" width="14.28515625" style="64" customWidth="1"/>
    <col min="10" max="10" width="20.28515625" style="64" customWidth="1"/>
    <col min="11" max="13" width="11.28515625" style="64" customWidth="1"/>
    <col min="14" max="15" width="11.28515625" style="95" customWidth="1"/>
    <col min="16" max="16" width="11.28515625" style="64" customWidth="1"/>
    <col min="17" max="19" width="13.85546875" style="83" customWidth="1"/>
    <col min="20" max="20" width="13.85546875" style="108" customWidth="1"/>
    <col min="21" max="21" width="35.5703125" style="64" customWidth="1"/>
    <col min="22" max="24" width="15.85546875" style="64" customWidth="1"/>
    <col min="25" max="25" width="21.5703125" style="64" bestFit="1" customWidth="1"/>
    <col min="26" max="28" width="15.85546875" style="64" customWidth="1"/>
    <col min="29" max="29" width="21.28515625" style="64" customWidth="1"/>
    <col min="30" max="30" width="70.85546875" style="82" hidden="1" customWidth="1"/>
    <col min="31" max="31" width="11.42578125" style="82" customWidth="1"/>
    <col min="32" max="33" width="11.28515625" style="82" hidden="1" customWidth="1"/>
    <col min="34" max="34" width="19.140625" style="82" customWidth="1"/>
    <col min="35" max="35" width="25.42578125" style="82" customWidth="1"/>
    <col min="36" max="36" width="20.85546875" style="82" hidden="1" customWidth="1"/>
    <col min="37" max="37" width="20.85546875" style="64" hidden="1" customWidth="1"/>
    <col min="38" max="39" width="34.85546875" style="64" customWidth="1"/>
    <col min="40" max="40" width="21.85546875" style="64" bestFit="1" customWidth="1"/>
    <col min="41" max="42" width="21.85546875" style="64" customWidth="1"/>
    <col min="43" max="43" width="30.5703125" style="64" bestFit="1" customWidth="1"/>
    <col min="44" max="46" width="21.85546875" style="64" customWidth="1"/>
    <col min="47" max="47" width="9.140625" style="64" customWidth="1"/>
    <col min="48" max="48" width="11.28515625" style="71" bestFit="1" customWidth="1"/>
    <col min="49" max="16384" width="9.140625" style="64"/>
  </cols>
  <sheetData>
    <row r="1" spans="1:46" ht="15" customHeight="1">
      <c r="A1" s="61" t="s">
        <v>29</v>
      </c>
      <c r="B1" s="62"/>
      <c r="G1" s="66"/>
      <c r="H1" s="67"/>
      <c r="I1" s="67"/>
      <c r="J1" s="67"/>
      <c r="K1" s="67"/>
      <c r="L1" s="67"/>
      <c r="M1" s="67"/>
      <c r="N1" s="68"/>
      <c r="O1" s="69"/>
      <c r="P1" s="67"/>
      <c r="Q1" s="70"/>
      <c r="R1" s="70"/>
      <c r="S1" s="70"/>
      <c r="T1" s="104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</row>
    <row r="2" spans="1:46" ht="15" customHeight="1">
      <c r="A2" s="72"/>
      <c r="B2" s="62"/>
      <c r="G2" s="73"/>
      <c r="H2" s="74"/>
      <c r="I2" s="74"/>
      <c r="J2" s="74"/>
      <c r="K2" s="74"/>
      <c r="L2" s="67"/>
      <c r="M2" s="67"/>
      <c r="N2" s="68"/>
      <c r="O2" s="68"/>
      <c r="P2" s="67"/>
      <c r="Q2" s="70"/>
      <c r="R2" s="70"/>
      <c r="S2" s="70"/>
      <c r="T2" s="104"/>
      <c r="U2" s="75"/>
      <c r="V2" s="75"/>
      <c r="W2" s="75"/>
      <c r="X2" s="75"/>
      <c r="Y2" s="75"/>
      <c r="Z2" s="75"/>
      <c r="AA2" s="75"/>
      <c r="AB2" s="75"/>
      <c r="AC2" s="75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</row>
    <row r="3" spans="1:46" ht="15" customHeight="1">
      <c r="A3" s="72"/>
      <c r="B3" s="62"/>
      <c r="C3" s="63">
        <v>10161</v>
      </c>
      <c r="G3" s="76"/>
      <c r="H3" s="74"/>
      <c r="I3" s="74"/>
      <c r="J3" s="74"/>
      <c r="K3" s="74"/>
      <c r="L3" s="67"/>
      <c r="M3" s="67"/>
      <c r="N3" s="68"/>
      <c r="O3" s="68"/>
      <c r="P3" s="67"/>
      <c r="Q3" s="70"/>
      <c r="R3" s="70"/>
      <c r="S3" s="70"/>
      <c r="T3" s="104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</row>
    <row r="4" spans="1:46" ht="15" customHeight="1">
      <c r="A4" s="72"/>
      <c r="B4" s="62"/>
      <c r="C4" s="63">
        <v>12348</v>
      </c>
      <c r="G4" s="76"/>
      <c r="H4" s="77"/>
      <c r="I4" s="77"/>
      <c r="J4" s="77"/>
      <c r="K4" s="77"/>
      <c r="L4" s="78"/>
      <c r="M4" s="75"/>
      <c r="N4" s="68"/>
      <c r="O4" s="68"/>
      <c r="P4" s="67"/>
      <c r="Q4" s="79"/>
      <c r="R4" s="79"/>
      <c r="S4" s="79"/>
      <c r="T4" s="10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</row>
    <row r="5" spans="1:46" ht="15" customHeight="1" thickBot="1">
      <c r="A5" s="72"/>
      <c r="B5" s="62"/>
      <c r="C5" s="63">
        <v>12577</v>
      </c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</row>
    <row r="6" spans="1:46" ht="15" customHeight="1" thickBot="1">
      <c r="A6" s="72"/>
      <c r="B6" s="62"/>
      <c r="C6" s="63">
        <v>12718</v>
      </c>
      <c r="G6" s="81"/>
      <c r="H6" s="82"/>
      <c r="I6" s="82"/>
      <c r="J6" s="82"/>
      <c r="K6" s="82"/>
      <c r="L6" s="82"/>
      <c r="M6" s="82"/>
      <c r="N6" s="82"/>
      <c r="O6" s="82"/>
      <c r="P6" s="82"/>
      <c r="T6" s="106">
        <f ca="1">TODAY()</f>
        <v>42720</v>
      </c>
      <c r="Z6" s="331" t="s">
        <v>53</v>
      </c>
      <c r="AA6" s="332"/>
      <c r="AB6" s="333"/>
      <c r="AC6" s="206"/>
      <c r="AD6" s="337" t="s">
        <v>54</v>
      </c>
      <c r="AE6" s="338"/>
      <c r="AF6" s="339"/>
      <c r="AG6" s="339"/>
      <c r="AH6" s="337"/>
      <c r="AI6" s="340"/>
      <c r="AJ6" s="339"/>
      <c r="AK6" s="340"/>
      <c r="AL6" s="207"/>
    </row>
    <row r="7" spans="1:46" ht="21" customHeight="1">
      <c r="A7" s="72"/>
      <c r="B7" s="62" t="s">
        <v>71</v>
      </c>
      <c r="D7" s="85" t="s">
        <v>1</v>
      </c>
      <c r="E7" s="100" t="s">
        <v>25</v>
      </c>
      <c r="F7" s="86" t="s">
        <v>17</v>
      </c>
      <c r="G7" s="87" t="s">
        <v>32</v>
      </c>
      <c r="H7" s="86" t="s">
        <v>33</v>
      </c>
      <c r="I7" s="86" t="s">
        <v>19</v>
      </c>
      <c r="J7" s="86" t="s">
        <v>34</v>
      </c>
      <c r="K7" s="86" t="s">
        <v>35</v>
      </c>
      <c r="L7" s="86" t="s">
        <v>36</v>
      </c>
      <c r="M7" s="86" t="s">
        <v>37</v>
      </c>
      <c r="N7" s="88" t="s">
        <v>75</v>
      </c>
      <c r="O7" s="88" t="s">
        <v>39</v>
      </c>
      <c r="P7" s="88" t="s">
        <v>76</v>
      </c>
      <c r="Q7" s="89" t="s">
        <v>41</v>
      </c>
      <c r="R7" s="89" t="s">
        <v>43</v>
      </c>
      <c r="S7" s="89" t="s">
        <v>42</v>
      </c>
      <c r="T7" s="107" t="s">
        <v>77</v>
      </c>
      <c r="U7" s="86" t="s">
        <v>44</v>
      </c>
      <c r="V7" s="86" t="s">
        <v>45</v>
      </c>
      <c r="W7" s="86" t="s">
        <v>46</v>
      </c>
      <c r="X7" s="86" t="s">
        <v>47</v>
      </c>
      <c r="Y7" s="86" t="s">
        <v>67</v>
      </c>
      <c r="Z7" s="88" t="s">
        <v>50</v>
      </c>
      <c r="AA7" s="88" t="s">
        <v>51</v>
      </c>
      <c r="AB7" s="88" t="s">
        <v>52</v>
      </c>
      <c r="AC7" s="86" t="s">
        <v>12</v>
      </c>
      <c r="AD7" s="86" t="s">
        <v>63</v>
      </c>
      <c r="AE7" s="86" t="s">
        <v>78</v>
      </c>
      <c r="AF7" s="86" t="s">
        <v>65</v>
      </c>
      <c r="AG7" s="86" t="s">
        <v>80</v>
      </c>
      <c r="AH7" s="86" t="s">
        <v>55</v>
      </c>
      <c r="AI7" s="86" t="s">
        <v>56</v>
      </c>
      <c r="AJ7" s="86" t="s">
        <v>57</v>
      </c>
      <c r="AK7" s="86" t="s">
        <v>58</v>
      </c>
      <c r="AL7" s="86" t="s">
        <v>59</v>
      </c>
      <c r="AM7" s="86" t="s">
        <v>60</v>
      </c>
      <c r="AN7" s="86" t="s">
        <v>61</v>
      </c>
      <c r="AO7" s="98" t="s">
        <v>3</v>
      </c>
      <c r="AP7" s="98" t="s">
        <v>62</v>
      </c>
      <c r="AQ7" s="98" t="s">
        <v>49</v>
      </c>
      <c r="AR7" s="98" t="s">
        <v>81</v>
      </c>
      <c r="AS7" s="98" t="s">
        <v>1302</v>
      </c>
      <c r="AT7" s="99" t="s">
        <v>1064</v>
      </c>
    </row>
    <row r="8" spans="1:46" ht="15" customHeight="1">
      <c r="A8" s="72"/>
      <c r="B8" s="329" t="str">
        <f t="shared" ref="B8:B18" si="0">IF(B7="x","","x")</f>
        <v/>
      </c>
      <c r="C8" s="91"/>
      <c r="D8" s="272">
        <v>16081</v>
      </c>
      <c r="E8" s="283">
        <v>722857</v>
      </c>
      <c r="F8" s="273" t="s">
        <v>2</v>
      </c>
      <c r="G8" s="274" t="s">
        <v>1268</v>
      </c>
      <c r="H8" s="274" t="s">
        <v>413</v>
      </c>
      <c r="I8" s="274" t="s">
        <v>6</v>
      </c>
      <c r="J8" s="274" t="s">
        <v>1252</v>
      </c>
      <c r="K8" s="275">
        <v>0.33333333333333331</v>
      </c>
      <c r="L8" s="275">
        <v>0.68055555555555547</v>
      </c>
      <c r="M8" s="275">
        <f>IFERROR(IF(L8&gt;K8,TIMEVALUE(TEXT(L8-K8,"hh:mm")),TIMEVALUE(TEXT("24:00"-K8+L8,"hh:mm"))),"-")</f>
        <v>0.34722222222222227</v>
      </c>
      <c r="N8" s="275" t="s">
        <v>2</v>
      </c>
      <c r="O8" s="275" t="s">
        <v>2</v>
      </c>
      <c r="P8" s="275" t="s">
        <v>2</v>
      </c>
      <c r="Q8" s="276">
        <v>40619</v>
      </c>
      <c r="R8" s="276" t="str">
        <f>IF(Q8&lt;12,"TRN",IF(AND(Q8&gt;=12,Q8&lt;=19),"OCP W1",IF(AND(Q8&gt;19,Q8&lt;=26),"OCP W2",IF(AND(Q8&gt;26,Q8&lt;=32),"OCP W3",IF(Q8&gt;32,"W4+")))))</f>
        <v>W4+</v>
      </c>
      <c r="S8" s="276" t="s">
        <v>2</v>
      </c>
      <c r="T8" s="284">
        <f t="shared" ref="T8:T18" ca="1" si="1">$T$6-Q8</f>
        <v>2101</v>
      </c>
      <c r="U8" s="274" t="s">
        <v>2</v>
      </c>
      <c r="V8" s="276">
        <v>42494</v>
      </c>
      <c r="W8" s="276">
        <v>42492</v>
      </c>
      <c r="X8" s="276" t="s">
        <v>2</v>
      </c>
      <c r="Y8" s="274" t="s">
        <v>2</v>
      </c>
      <c r="Z8" s="274" t="s">
        <v>2</v>
      </c>
      <c r="AA8" s="274" t="s">
        <v>2</v>
      </c>
      <c r="AB8" s="274" t="s">
        <v>2</v>
      </c>
      <c r="AC8" s="274" t="s">
        <v>2</v>
      </c>
      <c r="AD8" s="274" t="s">
        <v>2</v>
      </c>
      <c r="AE8" s="277" t="s">
        <v>2</v>
      </c>
      <c r="AF8" s="274" t="s">
        <v>2</v>
      </c>
      <c r="AG8" s="274" t="s">
        <v>2</v>
      </c>
      <c r="AH8" s="52">
        <v>27812</v>
      </c>
      <c r="AI8" s="274" t="str">
        <f>IFERROR(IF($AE8="-","-",IF(LEFT(RIGHT($AE8,7),1)*1=1,"Região Central",IF(LEFT(RIGHT($AE8,7),1)*1=2,"Região Norte",IF(LEFT(RIGHT($AE8,7),1)*1=3,"Região Leste",IF(LEFT(RIGHT($AE8,7),1)*1=4,"Região Sul",IF(LEFT(RIGHT($AE8,7),1)*1=5,"Região Oeste",IF(LEFT(RIGHT($AE8,7),1)*1=6,"Osasco e Região",IF(LEFT(RIGHT($AE8,7),1)*1=7,"Guarulhos e Região",IF(LEFT(RIGHT($AE8,7),1)*1=8,"Mogi das Cruzes e Região","Santo André e Região"))))))))),"")</f>
        <v>-</v>
      </c>
      <c r="AJ8" s="278" t="s">
        <v>2</v>
      </c>
      <c r="AK8" s="113" t="s">
        <v>2</v>
      </c>
      <c r="AL8" s="274" t="s">
        <v>775</v>
      </c>
      <c r="AM8" s="274" t="s">
        <v>1275</v>
      </c>
      <c r="AN8" s="274" t="s">
        <v>89</v>
      </c>
      <c r="AO8" s="281" t="s">
        <v>2</v>
      </c>
      <c r="AP8" s="281" t="s">
        <v>2</v>
      </c>
      <c r="AQ8" s="281" t="s">
        <v>1291</v>
      </c>
      <c r="AR8" s="281" t="s">
        <v>2</v>
      </c>
      <c r="AS8" s="281" t="s">
        <v>1303</v>
      </c>
      <c r="AT8" s="282" t="s">
        <v>1315</v>
      </c>
    </row>
    <row r="9" spans="1:46" ht="15" customHeight="1">
      <c r="A9" s="72"/>
      <c r="B9" s="280" t="str">
        <f t="shared" si="0"/>
        <v>x</v>
      </c>
      <c r="C9" s="91"/>
      <c r="D9" s="272">
        <v>9799</v>
      </c>
      <c r="E9" s="283">
        <v>689576</v>
      </c>
      <c r="F9" s="273">
        <v>10046</v>
      </c>
      <c r="G9" s="274" t="s">
        <v>413</v>
      </c>
      <c r="H9" s="274" t="s">
        <v>775</v>
      </c>
      <c r="I9" s="274" t="s">
        <v>4</v>
      </c>
      <c r="J9" s="274" t="s">
        <v>1274</v>
      </c>
      <c r="K9" s="275">
        <v>0.33333333333333331</v>
      </c>
      <c r="L9" s="275">
        <v>0.70833333333333337</v>
      </c>
      <c r="M9" s="275">
        <f t="shared" ref="M9:M18" si="2">IFERROR(IF(L9&gt;K9,TIMEVALUE(TEXT(L9-K9,"hh:mm")),TIMEVALUE(TEXT("24:00"-K9+L9,"hh:mm"))),"-")</f>
        <v>0.375</v>
      </c>
      <c r="N9" s="275" t="s">
        <v>2</v>
      </c>
      <c r="O9" s="275" t="s">
        <v>2</v>
      </c>
      <c r="P9" s="275" t="s">
        <v>2</v>
      </c>
      <c r="Q9" s="276">
        <v>39765</v>
      </c>
      <c r="R9" s="276" t="str">
        <f t="shared" ref="R9:R18" si="3">IF(Q9&lt;12,"TRN",IF(AND(Q9&gt;=12,Q9&lt;=19),"OCP W1",IF(AND(Q9&gt;19,Q9&lt;=26),"OCP W2",IF(AND(Q9&gt;26,Q9&lt;=32),"OCP W3",IF(Q9&gt;32,"W4+")))))</f>
        <v>W4+</v>
      </c>
      <c r="S9" s="276" t="s">
        <v>2</v>
      </c>
      <c r="T9" s="284">
        <f t="shared" ca="1" si="1"/>
        <v>2955</v>
      </c>
      <c r="U9" s="274" t="s">
        <v>2790</v>
      </c>
      <c r="V9" s="276" t="s">
        <v>2</v>
      </c>
      <c r="W9" s="276" t="s">
        <v>2</v>
      </c>
      <c r="X9" s="276" t="s">
        <v>2</v>
      </c>
      <c r="Y9" s="274" t="s">
        <v>2</v>
      </c>
      <c r="Z9" s="274" t="s">
        <v>2</v>
      </c>
      <c r="AA9" s="274" t="s">
        <v>2</v>
      </c>
      <c r="AB9" s="274" t="s">
        <v>2</v>
      </c>
      <c r="AC9" s="274" t="s">
        <v>2</v>
      </c>
      <c r="AD9" s="274" t="s">
        <v>2</v>
      </c>
      <c r="AE9" s="277">
        <v>4949040</v>
      </c>
      <c r="AF9" s="274" t="s">
        <v>2</v>
      </c>
      <c r="AG9" s="274" t="s">
        <v>2</v>
      </c>
      <c r="AH9" s="52">
        <v>32129</v>
      </c>
      <c r="AI9" s="274" t="str">
        <f t="shared" ref="AI9:AI18" si="4">IFERROR(IF($AE9="-","-",IF(LEFT(RIGHT($AE9,7),1)*1=1,"Região Central",IF(LEFT(RIGHT($AE9,7),1)*1=2,"Região Norte",IF(LEFT(RIGHT($AE9,7),1)*1=3,"Região Leste",IF(LEFT(RIGHT($AE9,7),1)*1=4,"Região Sul",IF(LEFT(RIGHT($AE9,7),1)*1=5,"Região Oeste",IF(LEFT(RIGHT($AE9,7),1)*1=6,"Osasco e Região",IF(LEFT(RIGHT($AE9,7),1)*1=7,"Guarulhos e Região",IF(LEFT(RIGHT($AE9,7),1)*1=8,"Mogi das Cruzes e Região","Santo André e Região"))))))))),"")</f>
        <v>Região Sul</v>
      </c>
      <c r="AJ9" s="278" t="s">
        <v>2</v>
      </c>
      <c r="AK9" s="113" t="s">
        <v>2</v>
      </c>
      <c r="AL9" s="274" t="s">
        <v>775</v>
      </c>
      <c r="AM9" s="274" t="s">
        <v>1275</v>
      </c>
      <c r="AN9" s="274" t="s">
        <v>89</v>
      </c>
      <c r="AO9" s="281" t="s">
        <v>2</v>
      </c>
      <c r="AP9" s="281" t="s">
        <v>2798</v>
      </c>
      <c r="AQ9" s="281" t="s">
        <v>2856</v>
      </c>
      <c r="AR9" s="281" t="s">
        <v>2</v>
      </c>
      <c r="AS9" s="281" t="s">
        <v>1305</v>
      </c>
      <c r="AT9" s="282" t="s">
        <v>1318</v>
      </c>
    </row>
    <row r="10" spans="1:46" ht="15" customHeight="1">
      <c r="A10" s="72"/>
      <c r="B10" s="280" t="str">
        <f t="shared" si="0"/>
        <v/>
      </c>
      <c r="C10" s="91"/>
      <c r="D10" s="272">
        <v>11343</v>
      </c>
      <c r="E10" s="283">
        <v>688985</v>
      </c>
      <c r="F10" s="273">
        <v>10833</v>
      </c>
      <c r="G10" s="274" t="s">
        <v>412</v>
      </c>
      <c r="H10" s="274" t="s">
        <v>413</v>
      </c>
      <c r="I10" s="274" t="s">
        <v>4</v>
      </c>
      <c r="J10" s="274" t="s">
        <v>395</v>
      </c>
      <c r="K10" s="275">
        <v>0.41666666666666669</v>
      </c>
      <c r="L10" s="275">
        <v>0.79166666666666663</v>
      </c>
      <c r="M10" s="275">
        <f t="shared" si="2"/>
        <v>0.375</v>
      </c>
      <c r="N10" s="275" t="s">
        <v>2</v>
      </c>
      <c r="O10" s="275" t="s">
        <v>2</v>
      </c>
      <c r="P10" s="275" t="s">
        <v>2</v>
      </c>
      <c r="Q10" s="276">
        <v>40070</v>
      </c>
      <c r="R10" s="276" t="str">
        <f t="shared" si="3"/>
        <v>W4+</v>
      </c>
      <c r="S10" s="276" t="s">
        <v>2</v>
      </c>
      <c r="T10" s="284">
        <f t="shared" ca="1" si="1"/>
        <v>2650</v>
      </c>
      <c r="U10" s="274" t="s">
        <v>2230</v>
      </c>
      <c r="V10" s="276">
        <v>42496</v>
      </c>
      <c r="W10" s="276">
        <v>42492</v>
      </c>
      <c r="X10" s="276">
        <v>42512</v>
      </c>
      <c r="Y10" s="274" t="s">
        <v>2</v>
      </c>
      <c r="Z10" s="274" t="s">
        <v>2</v>
      </c>
      <c r="AA10" s="274" t="s">
        <v>2</v>
      </c>
      <c r="AB10" s="274" t="s">
        <v>2</v>
      </c>
      <c r="AC10" s="274" t="s">
        <v>2</v>
      </c>
      <c r="AD10" s="274" t="s">
        <v>2</v>
      </c>
      <c r="AE10" s="277">
        <v>3180000</v>
      </c>
      <c r="AF10" s="274" t="s">
        <v>2</v>
      </c>
      <c r="AG10" s="274" t="s">
        <v>2</v>
      </c>
      <c r="AH10" s="52">
        <v>31976</v>
      </c>
      <c r="AI10" s="274" t="str">
        <f t="shared" si="4"/>
        <v>Região Leste</v>
      </c>
      <c r="AJ10" s="278" t="s">
        <v>2</v>
      </c>
      <c r="AK10" s="113" t="s">
        <v>2</v>
      </c>
      <c r="AL10" s="274" t="s">
        <v>775</v>
      </c>
      <c r="AM10" s="274" t="s">
        <v>1275</v>
      </c>
      <c r="AN10" s="274" t="s">
        <v>89</v>
      </c>
      <c r="AO10" s="281" t="s">
        <v>2</v>
      </c>
      <c r="AP10" s="281" t="s">
        <v>1279</v>
      </c>
      <c r="AQ10" s="281" t="s">
        <v>1295</v>
      </c>
      <c r="AR10" s="281" t="s">
        <v>2</v>
      </c>
      <c r="AS10" s="281" t="s">
        <v>1306</v>
      </c>
      <c r="AT10" s="282" t="s">
        <v>1321</v>
      </c>
    </row>
    <row r="11" spans="1:46" ht="15" customHeight="1">
      <c r="A11" s="72"/>
      <c r="B11" s="280" t="str">
        <f t="shared" si="0"/>
        <v>x</v>
      </c>
      <c r="C11" s="91"/>
      <c r="D11" s="272">
        <v>12737</v>
      </c>
      <c r="E11" s="283">
        <v>698251</v>
      </c>
      <c r="F11" s="273">
        <v>10019</v>
      </c>
      <c r="G11" s="274" t="s">
        <v>411</v>
      </c>
      <c r="H11" s="274" t="s">
        <v>413</v>
      </c>
      <c r="I11" s="274" t="s">
        <v>4</v>
      </c>
      <c r="J11" s="274" t="s">
        <v>394</v>
      </c>
      <c r="K11" s="275">
        <v>0.33333333333333331</v>
      </c>
      <c r="L11" s="275">
        <v>0.70833333333333337</v>
      </c>
      <c r="M11" s="275">
        <f t="shared" si="2"/>
        <v>0.375</v>
      </c>
      <c r="N11" s="275" t="s">
        <v>2</v>
      </c>
      <c r="O11" s="275" t="s">
        <v>2</v>
      </c>
      <c r="P11" s="275" t="s">
        <v>2</v>
      </c>
      <c r="Q11" s="276">
        <v>40308</v>
      </c>
      <c r="R11" s="276" t="str">
        <f t="shared" si="3"/>
        <v>W4+</v>
      </c>
      <c r="S11" s="276" t="s">
        <v>2</v>
      </c>
      <c r="T11" s="284">
        <f t="shared" ca="1" si="1"/>
        <v>2412</v>
      </c>
      <c r="U11" s="274" t="s">
        <v>2227</v>
      </c>
      <c r="V11" s="276">
        <v>42712</v>
      </c>
      <c r="W11" s="276">
        <v>42709</v>
      </c>
      <c r="X11" s="276" t="s">
        <v>2</v>
      </c>
      <c r="Y11" s="274" t="s">
        <v>2</v>
      </c>
      <c r="Z11" s="274" t="s">
        <v>2</v>
      </c>
      <c r="AA11" s="274" t="s">
        <v>2</v>
      </c>
      <c r="AB11" s="274" t="s">
        <v>2</v>
      </c>
      <c r="AC11" s="274" t="s">
        <v>2</v>
      </c>
      <c r="AD11" s="274" t="s">
        <v>2</v>
      </c>
      <c r="AE11" s="277">
        <v>8240460</v>
      </c>
      <c r="AF11" s="274" t="s">
        <v>2</v>
      </c>
      <c r="AG11" s="274" t="s">
        <v>2</v>
      </c>
      <c r="AH11" s="52">
        <v>28914</v>
      </c>
      <c r="AI11" s="274" t="str">
        <f t="shared" si="4"/>
        <v>Mogi das Cruzes e Região</v>
      </c>
      <c r="AJ11" s="278" t="s">
        <v>2</v>
      </c>
      <c r="AK11" s="113" t="s">
        <v>2</v>
      </c>
      <c r="AL11" s="274" t="s">
        <v>775</v>
      </c>
      <c r="AM11" s="274" t="s">
        <v>1275</v>
      </c>
      <c r="AN11" s="274" t="s">
        <v>89</v>
      </c>
      <c r="AO11" s="281" t="s">
        <v>2</v>
      </c>
      <c r="AP11" s="281" t="s">
        <v>1281</v>
      </c>
      <c r="AQ11" s="281" t="s">
        <v>2858</v>
      </c>
      <c r="AR11" s="281" t="s">
        <v>2</v>
      </c>
      <c r="AS11" s="281" t="s">
        <v>1307</v>
      </c>
      <c r="AT11" s="282" t="s">
        <v>1323</v>
      </c>
    </row>
    <row r="12" spans="1:46" ht="15" customHeight="1">
      <c r="A12" s="72"/>
      <c r="B12" s="280" t="str">
        <f t="shared" si="0"/>
        <v/>
      </c>
      <c r="C12" s="91"/>
      <c r="D12" s="272">
        <v>16673</v>
      </c>
      <c r="E12" s="283">
        <v>725599</v>
      </c>
      <c r="F12" s="273">
        <v>10826</v>
      </c>
      <c r="G12" s="274" t="s">
        <v>424</v>
      </c>
      <c r="H12" s="274" t="s">
        <v>413</v>
      </c>
      <c r="I12" s="274" t="s">
        <v>5</v>
      </c>
      <c r="J12" s="274" t="s">
        <v>401</v>
      </c>
      <c r="K12" s="275">
        <v>0.375</v>
      </c>
      <c r="L12" s="275">
        <v>0.75</v>
      </c>
      <c r="M12" s="275">
        <f t="shared" si="2"/>
        <v>0.375</v>
      </c>
      <c r="N12" s="275" t="s">
        <v>2</v>
      </c>
      <c r="O12" s="275" t="s">
        <v>2</v>
      </c>
      <c r="P12" s="275" t="s">
        <v>2</v>
      </c>
      <c r="Q12" s="276">
        <v>40648</v>
      </c>
      <c r="R12" s="276" t="str">
        <f t="shared" si="3"/>
        <v>W4+</v>
      </c>
      <c r="S12" s="276" t="s">
        <v>2</v>
      </c>
      <c r="T12" s="284">
        <f t="shared" ca="1" si="1"/>
        <v>2072</v>
      </c>
      <c r="U12" s="274" t="s">
        <v>2228</v>
      </c>
      <c r="V12" s="276">
        <v>42712</v>
      </c>
      <c r="W12" s="276">
        <v>42712</v>
      </c>
      <c r="X12" s="276">
        <v>42742</v>
      </c>
      <c r="Y12" s="274" t="s">
        <v>2</v>
      </c>
      <c r="Z12" s="274" t="s">
        <v>2</v>
      </c>
      <c r="AA12" s="274" t="s">
        <v>2</v>
      </c>
      <c r="AB12" s="274" t="s">
        <v>2</v>
      </c>
      <c r="AC12" s="274" t="s">
        <v>2</v>
      </c>
      <c r="AD12" s="274" t="s">
        <v>2</v>
      </c>
      <c r="AE12" s="277">
        <v>4851006</v>
      </c>
      <c r="AF12" s="274" t="s">
        <v>2</v>
      </c>
      <c r="AG12" s="274" t="s">
        <v>2</v>
      </c>
      <c r="AH12" s="52">
        <v>29281</v>
      </c>
      <c r="AI12" s="274" t="str">
        <f t="shared" si="4"/>
        <v>Região Sul</v>
      </c>
      <c r="AJ12" s="278" t="s">
        <v>2</v>
      </c>
      <c r="AK12" s="113" t="s">
        <v>2</v>
      </c>
      <c r="AL12" s="274" t="s">
        <v>775</v>
      </c>
      <c r="AM12" s="274" t="s">
        <v>1275</v>
      </c>
      <c r="AN12" s="274" t="s">
        <v>89</v>
      </c>
      <c r="AO12" s="281" t="s">
        <v>2</v>
      </c>
      <c r="AP12" s="281" t="s">
        <v>2799</v>
      </c>
      <c r="AQ12" s="281" t="s">
        <v>2859</v>
      </c>
      <c r="AR12" s="281" t="s">
        <v>2</v>
      </c>
      <c r="AS12" s="281" t="s">
        <v>1308</v>
      </c>
      <c r="AT12" s="282" t="s">
        <v>1324</v>
      </c>
    </row>
    <row r="13" spans="1:46" ht="15" customHeight="1">
      <c r="A13" s="72"/>
      <c r="B13" s="280" t="str">
        <f t="shared" si="0"/>
        <v>x</v>
      </c>
      <c r="C13" s="91"/>
      <c r="D13" s="272">
        <v>11883</v>
      </c>
      <c r="E13" s="283">
        <v>688880</v>
      </c>
      <c r="F13" s="273">
        <v>10066</v>
      </c>
      <c r="G13" s="274" t="s">
        <v>416</v>
      </c>
      <c r="H13" s="274" t="s">
        <v>414</v>
      </c>
      <c r="I13" s="274" t="s">
        <v>4</v>
      </c>
      <c r="J13" s="274" t="s">
        <v>398</v>
      </c>
      <c r="K13" s="275">
        <v>0.32291666666666669</v>
      </c>
      <c r="L13" s="275">
        <v>0.69791666666666663</v>
      </c>
      <c r="M13" s="275">
        <f t="shared" si="2"/>
        <v>0.375</v>
      </c>
      <c r="N13" s="275" t="s">
        <v>2</v>
      </c>
      <c r="O13" s="275" t="s">
        <v>2</v>
      </c>
      <c r="P13" s="275" t="s">
        <v>2</v>
      </c>
      <c r="Q13" s="276">
        <v>40164</v>
      </c>
      <c r="R13" s="276" t="str">
        <f t="shared" si="3"/>
        <v>W4+</v>
      </c>
      <c r="S13" s="276" t="s">
        <v>2</v>
      </c>
      <c r="T13" s="284">
        <f t="shared" ca="1" si="1"/>
        <v>2556</v>
      </c>
      <c r="U13" s="274" t="s">
        <v>2227</v>
      </c>
      <c r="V13" s="276">
        <v>42494</v>
      </c>
      <c r="W13" s="276">
        <v>42492</v>
      </c>
      <c r="X13" s="276" t="s">
        <v>2</v>
      </c>
      <c r="Y13" s="274" t="s">
        <v>2</v>
      </c>
      <c r="Z13" s="274" t="s">
        <v>2</v>
      </c>
      <c r="AA13" s="274" t="s">
        <v>2</v>
      </c>
      <c r="AB13" s="274" t="s">
        <v>2</v>
      </c>
      <c r="AC13" s="274" t="s">
        <v>2</v>
      </c>
      <c r="AD13" s="274" t="s">
        <v>2</v>
      </c>
      <c r="AE13" s="277">
        <v>3675040</v>
      </c>
      <c r="AF13" s="274" t="s">
        <v>2</v>
      </c>
      <c r="AG13" s="274" t="s">
        <v>2</v>
      </c>
      <c r="AH13" s="52">
        <v>32138</v>
      </c>
      <c r="AI13" s="274" t="str">
        <f t="shared" si="4"/>
        <v>Região Leste</v>
      </c>
      <c r="AJ13" s="278" t="s">
        <v>2</v>
      </c>
      <c r="AK13" s="113" t="s">
        <v>2</v>
      </c>
      <c r="AL13" s="274" t="s">
        <v>775</v>
      </c>
      <c r="AM13" s="274" t="s">
        <v>1275</v>
      </c>
      <c r="AN13" s="274" t="s">
        <v>89</v>
      </c>
      <c r="AO13" s="281" t="s">
        <v>2</v>
      </c>
      <c r="AP13" s="281" t="s">
        <v>1285</v>
      </c>
      <c r="AQ13" s="281" t="s">
        <v>2861</v>
      </c>
      <c r="AR13" s="281" t="s">
        <v>2</v>
      </c>
      <c r="AS13" s="281" t="s">
        <v>1310</v>
      </c>
      <c r="AT13" s="282" t="s">
        <v>1328</v>
      </c>
    </row>
    <row r="14" spans="1:46" ht="15" customHeight="1">
      <c r="A14" s="72"/>
      <c r="B14" s="280" t="str">
        <f t="shared" si="0"/>
        <v/>
      </c>
      <c r="C14" s="91"/>
      <c r="D14" s="272">
        <v>10107</v>
      </c>
      <c r="E14" s="283">
        <v>689498</v>
      </c>
      <c r="F14" s="273">
        <v>10137</v>
      </c>
      <c r="G14" s="274" t="s">
        <v>420</v>
      </c>
      <c r="H14" s="274" t="s">
        <v>414</v>
      </c>
      <c r="I14" s="274" t="s">
        <v>4</v>
      </c>
      <c r="J14" s="274" t="s">
        <v>398</v>
      </c>
      <c r="K14" s="275">
        <v>0.54166666666666663</v>
      </c>
      <c r="L14" s="275">
        <v>0.91666666666666663</v>
      </c>
      <c r="M14" s="275">
        <f t="shared" si="2"/>
        <v>0.375</v>
      </c>
      <c r="N14" s="275" t="s">
        <v>2</v>
      </c>
      <c r="O14" s="275" t="s">
        <v>2</v>
      </c>
      <c r="P14" s="275" t="s">
        <v>2</v>
      </c>
      <c r="Q14" s="276">
        <v>39773</v>
      </c>
      <c r="R14" s="276" t="str">
        <f t="shared" si="3"/>
        <v>W4+</v>
      </c>
      <c r="S14" s="276" t="s">
        <v>2</v>
      </c>
      <c r="T14" s="284">
        <f t="shared" ca="1" si="1"/>
        <v>2947</v>
      </c>
      <c r="U14" s="274" t="s">
        <v>2231</v>
      </c>
      <c r="V14" s="276">
        <v>42675</v>
      </c>
      <c r="W14" s="276">
        <v>42677</v>
      </c>
      <c r="X14" s="276" t="s">
        <v>2</v>
      </c>
      <c r="Y14" s="274" t="s">
        <v>2</v>
      </c>
      <c r="Z14" s="274" t="s">
        <v>2</v>
      </c>
      <c r="AA14" s="274" t="s">
        <v>2</v>
      </c>
      <c r="AB14" s="274" t="s">
        <v>2</v>
      </c>
      <c r="AC14" s="274" t="s">
        <v>2</v>
      </c>
      <c r="AD14" s="274" t="s">
        <v>2</v>
      </c>
      <c r="AE14" s="277">
        <v>3978560</v>
      </c>
      <c r="AF14" s="274" t="s">
        <v>2</v>
      </c>
      <c r="AG14" s="274" t="s">
        <v>2</v>
      </c>
      <c r="AH14" s="52">
        <v>31576</v>
      </c>
      <c r="AI14" s="274" t="str">
        <f t="shared" si="4"/>
        <v>Região Leste</v>
      </c>
      <c r="AJ14" s="278" t="s">
        <v>2</v>
      </c>
      <c r="AK14" s="113" t="s">
        <v>2</v>
      </c>
      <c r="AL14" s="274" t="s">
        <v>775</v>
      </c>
      <c r="AM14" s="274" t="s">
        <v>1275</v>
      </c>
      <c r="AN14" s="274" t="s">
        <v>89</v>
      </c>
      <c r="AO14" s="281" t="s">
        <v>2</v>
      </c>
      <c r="AP14" s="281" t="s">
        <v>2797</v>
      </c>
      <c r="AQ14" s="281" t="s">
        <v>1299</v>
      </c>
      <c r="AR14" s="281" t="s">
        <v>2</v>
      </c>
      <c r="AS14" s="281" t="s">
        <v>1311</v>
      </c>
      <c r="AT14" s="282" t="s">
        <v>1329</v>
      </c>
    </row>
    <row r="15" spans="1:46" ht="15" customHeight="1">
      <c r="A15" s="72"/>
      <c r="B15" s="280" t="str">
        <f t="shared" si="0"/>
        <v>x</v>
      </c>
      <c r="C15" s="91"/>
      <c r="D15" s="272">
        <v>9724</v>
      </c>
      <c r="E15" s="283">
        <v>689304</v>
      </c>
      <c r="F15" s="273">
        <v>10054</v>
      </c>
      <c r="G15" s="274" t="s">
        <v>414</v>
      </c>
      <c r="H15" s="274" t="s">
        <v>775</v>
      </c>
      <c r="I15" s="274" t="s">
        <v>4</v>
      </c>
      <c r="J15" s="274" t="s">
        <v>403</v>
      </c>
      <c r="K15" s="275">
        <v>0.375</v>
      </c>
      <c r="L15" s="275">
        <v>0.75</v>
      </c>
      <c r="M15" s="275">
        <f t="shared" si="2"/>
        <v>0.375</v>
      </c>
      <c r="N15" s="275" t="s">
        <v>2</v>
      </c>
      <c r="O15" s="275" t="s">
        <v>2</v>
      </c>
      <c r="P15" s="275" t="s">
        <v>2</v>
      </c>
      <c r="Q15" s="276">
        <v>39765</v>
      </c>
      <c r="R15" s="276" t="str">
        <f t="shared" si="3"/>
        <v>W4+</v>
      </c>
      <c r="S15" s="276" t="s">
        <v>2</v>
      </c>
      <c r="T15" s="284">
        <f t="shared" ca="1" si="1"/>
        <v>2955</v>
      </c>
      <c r="U15" s="274" t="s">
        <v>2790</v>
      </c>
      <c r="V15" s="276" t="s">
        <v>2</v>
      </c>
      <c r="W15" s="276" t="s">
        <v>2</v>
      </c>
      <c r="X15" s="276" t="s">
        <v>2</v>
      </c>
      <c r="Y15" s="274" t="s">
        <v>2</v>
      </c>
      <c r="Z15" s="274" t="s">
        <v>2</v>
      </c>
      <c r="AA15" s="274" t="s">
        <v>2</v>
      </c>
      <c r="AB15" s="274" t="s">
        <v>2</v>
      </c>
      <c r="AC15" s="274" t="s">
        <v>2</v>
      </c>
      <c r="AD15" s="274" t="s">
        <v>2</v>
      </c>
      <c r="AE15" s="277">
        <v>4653020</v>
      </c>
      <c r="AF15" s="274" t="s">
        <v>2</v>
      </c>
      <c r="AG15" s="274" t="s">
        <v>2</v>
      </c>
      <c r="AH15" s="52">
        <v>30957</v>
      </c>
      <c r="AI15" s="274" t="str">
        <f t="shared" si="4"/>
        <v>Região Sul</v>
      </c>
      <c r="AJ15" s="278" t="s">
        <v>2</v>
      </c>
      <c r="AK15" s="113" t="s">
        <v>2</v>
      </c>
      <c r="AL15" s="274" t="s">
        <v>775</v>
      </c>
      <c r="AM15" s="274" t="s">
        <v>1275</v>
      </c>
      <c r="AN15" s="274" t="s">
        <v>89</v>
      </c>
      <c r="AO15" s="281" t="s">
        <v>2</v>
      </c>
      <c r="AP15" s="281" t="s">
        <v>1286</v>
      </c>
      <c r="AQ15" s="281" t="s">
        <v>2862</v>
      </c>
      <c r="AR15" s="281" t="s">
        <v>2</v>
      </c>
      <c r="AS15" s="281" t="s">
        <v>1312</v>
      </c>
      <c r="AT15" s="282" t="s">
        <v>2871</v>
      </c>
    </row>
    <row r="16" spans="1:46" ht="15" customHeight="1">
      <c r="A16" s="72"/>
      <c r="B16" s="280" t="str">
        <f t="shared" si="0"/>
        <v/>
      </c>
      <c r="C16" s="91"/>
      <c r="D16" s="272">
        <v>9819</v>
      </c>
      <c r="E16" s="283">
        <v>689877</v>
      </c>
      <c r="F16" s="273">
        <v>10032</v>
      </c>
      <c r="G16" s="274" t="s">
        <v>418</v>
      </c>
      <c r="H16" s="274" t="s">
        <v>414</v>
      </c>
      <c r="I16" s="274" t="s">
        <v>4</v>
      </c>
      <c r="J16" s="274" t="s">
        <v>403</v>
      </c>
      <c r="K16" s="275">
        <v>0.375</v>
      </c>
      <c r="L16" s="275">
        <v>0.75</v>
      </c>
      <c r="M16" s="275">
        <f t="shared" si="2"/>
        <v>0.375</v>
      </c>
      <c r="N16" s="275" t="s">
        <v>2</v>
      </c>
      <c r="O16" s="275" t="s">
        <v>2</v>
      </c>
      <c r="P16" s="275" t="s">
        <v>2</v>
      </c>
      <c r="Q16" s="276">
        <v>39765</v>
      </c>
      <c r="R16" s="276" t="str">
        <f t="shared" si="3"/>
        <v>W4+</v>
      </c>
      <c r="S16" s="276" t="s">
        <v>2</v>
      </c>
      <c r="T16" s="284">
        <f t="shared" ca="1" si="1"/>
        <v>2955</v>
      </c>
      <c r="U16" s="274" t="s">
        <v>2227</v>
      </c>
      <c r="V16" s="276">
        <v>42591</v>
      </c>
      <c r="W16" s="276">
        <v>42591</v>
      </c>
      <c r="X16" s="276" t="s">
        <v>2</v>
      </c>
      <c r="Y16" s="274" t="s">
        <v>2</v>
      </c>
      <c r="Z16" s="274" t="s">
        <v>2</v>
      </c>
      <c r="AA16" s="274" t="s">
        <v>2</v>
      </c>
      <c r="AB16" s="274" t="s">
        <v>2</v>
      </c>
      <c r="AC16" s="274" t="s">
        <v>2</v>
      </c>
      <c r="AD16" s="274" t="s">
        <v>2</v>
      </c>
      <c r="AE16" s="277">
        <v>5792080</v>
      </c>
      <c r="AF16" s="274" t="s">
        <v>2</v>
      </c>
      <c r="AG16" s="274" t="s">
        <v>2</v>
      </c>
      <c r="AH16" s="52">
        <v>29200</v>
      </c>
      <c r="AI16" s="274" t="str">
        <f t="shared" si="4"/>
        <v>Região Oeste</v>
      </c>
      <c r="AJ16" s="278" t="s">
        <v>2</v>
      </c>
      <c r="AK16" s="113" t="s">
        <v>2</v>
      </c>
      <c r="AL16" s="274" t="s">
        <v>775</v>
      </c>
      <c r="AM16" s="274" t="s">
        <v>1275</v>
      </c>
      <c r="AN16" s="274" t="s">
        <v>89</v>
      </c>
      <c r="AO16" s="281" t="s">
        <v>2</v>
      </c>
      <c r="AP16" s="281" t="s">
        <v>1287</v>
      </c>
      <c r="AQ16" s="281" t="s">
        <v>1300</v>
      </c>
      <c r="AR16" s="281" t="s">
        <v>2</v>
      </c>
      <c r="AS16" s="281" t="s">
        <v>1313</v>
      </c>
      <c r="AT16" s="282" t="s">
        <v>1330</v>
      </c>
    </row>
    <row r="17" spans="1:46" ht="15" customHeight="1">
      <c r="A17" s="72"/>
      <c r="B17" s="280" t="str">
        <f t="shared" si="0"/>
        <v>x</v>
      </c>
      <c r="C17" s="91"/>
      <c r="D17" s="212">
        <v>20613</v>
      </c>
      <c r="E17" s="213">
        <v>760701</v>
      </c>
      <c r="F17" s="214">
        <v>12203</v>
      </c>
      <c r="G17" s="215" t="s">
        <v>1272</v>
      </c>
      <c r="H17" s="215" t="s">
        <v>776</v>
      </c>
      <c r="I17" s="215" t="s">
        <v>4</v>
      </c>
      <c r="J17" s="215" t="s">
        <v>1274</v>
      </c>
      <c r="K17" s="271">
        <v>0.33333333333333331</v>
      </c>
      <c r="L17" s="271">
        <v>0.70833333333333326</v>
      </c>
      <c r="M17" s="271">
        <f t="shared" si="2"/>
        <v>0.375</v>
      </c>
      <c r="N17" s="271" t="s">
        <v>2</v>
      </c>
      <c r="O17" s="271" t="s">
        <v>2</v>
      </c>
      <c r="P17" s="271" t="s">
        <v>2</v>
      </c>
      <c r="Q17" s="216">
        <v>40945</v>
      </c>
      <c r="R17" s="216" t="str">
        <f t="shared" si="3"/>
        <v>W4+</v>
      </c>
      <c r="S17" s="216" t="s">
        <v>2</v>
      </c>
      <c r="T17" s="217">
        <v>1544</v>
      </c>
      <c r="U17" s="215" t="s">
        <v>2232</v>
      </c>
      <c r="V17" s="276">
        <v>42494</v>
      </c>
      <c r="W17" s="276">
        <v>42492</v>
      </c>
      <c r="X17" s="216" t="s">
        <v>2</v>
      </c>
      <c r="Y17" s="215" t="s">
        <v>2</v>
      </c>
      <c r="Z17" s="215" t="s">
        <v>2</v>
      </c>
      <c r="AA17" s="215" t="s">
        <v>2</v>
      </c>
      <c r="AB17" s="215" t="s">
        <v>2</v>
      </c>
      <c r="AC17" s="215" t="s">
        <v>2</v>
      </c>
      <c r="AD17" s="215"/>
      <c r="AE17" s="218">
        <v>2307000</v>
      </c>
      <c r="AF17" s="215"/>
      <c r="AG17" s="215"/>
      <c r="AH17" s="224">
        <v>32656</v>
      </c>
      <c r="AI17" s="215" t="s">
        <v>2189</v>
      </c>
      <c r="AJ17" s="219"/>
      <c r="AK17" s="225"/>
      <c r="AL17" s="215" t="s">
        <v>776</v>
      </c>
      <c r="AM17" s="215" t="s">
        <v>1275</v>
      </c>
      <c r="AN17" s="215" t="s">
        <v>89</v>
      </c>
      <c r="AO17" s="226" t="s">
        <v>2</v>
      </c>
      <c r="AP17" s="226" t="s">
        <v>1290</v>
      </c>
      <c r="AQ17" s="226" t="s">
        <v>2863</v>
      </c>
      <c r="AR17" s="226" t="s">
        <v>2</v>
      </c>
      <c r="AS17" s="226" t="s">
        <v>2</v>
      </c>
      <c r="AT17" s="222" t="s">
        <v>2</v>
      </c>
    </row>
    <row r="18" spans="1:46" ht="15" customHeight="1" thickBot="1">
      <c r="A18" s="72"/>
      <c r="B18" s="280" t="str">
        <f t="shared" si="0"/>
        <v/>
      </c>
      <c r="C18" s="91"/>
      <c r="D18" s="163">
        <v>10567</v>
      </c>
      <c r="E18" s="164">
        <v>689825</v>
      </c>
      <c r="F18" s="165">
        <v>10035</v>
      </c>
      <c r="G18" s="166" t="s">
        <v>417</v>
      </c>
      <c r="H18" s="166" t="s">
        <v>414</v>
      </c>
      <c r="I18" s="166" t="s">
        <v>4</v>
      </c>
      <c r="J18" s="166" t="s">
        <v>403</v>
      </c>
      <c r="K18" s="167">
        <v>0.5</v>
      </c>
      <c r="L18" s="167">
        <v>0.875</v>
      </c>
      <c r="M18" s="167">
        <f t="shared" si="2"/>
        <v>0.375</v>
      </c>
      <c r="N18" s="167" t="s">
        <v>2</v>
      </c>
      <c r="O18" s="167" t="s">
        <v>2</v>
      </c>
      <c r="P18" s="167" t="s">
        <v>2</v>
      </c>
      <c r="Q18" s="168">
        <v>39874</v>
      </c>
      <c r="R18" s="168" t="str">
        <f t="shared" si="3"/>
        <v>W4+</v>
      </c>
      <c r="S18" s="168" t="s">
        <v>2</v>
      </c>
      <c r="T18" s="169">
        <f t="shared" ca="1" si="1"/>
        <v>2846</v>
      </c>
      <c r="U18" s="166" t="s">
        <v>2228</v>
      </c>
      <c r="V18" s="276">
        <v>42709</v>
      </c>
      <c r="W18" s="276">
        <v>42710</v>
      </c>
      <c r="X18" s="168" t="s">
        <v>2</v>
      </c>
      <c r="Y18" s="166" t="s">
        <v>2</v>
      </c>
      <c r="Z18" s="166" t="s">
        <v>2</v>
      </c>
      <c r="AA18" s="166" t="s">
        <v>2</v>
      </c>
      <c r="AB18" s="166" t="s">
        <v>2</v>
      </c>
      <c r="AC18" s="166" t="s">
        <v>2</v>
      </c>
      <c r="AD18" s="166" t="s">
        <v>2</v>
      </c>
      <c r="AE18" s="170">
        <v>3470110</v>
      </c>
      <c r="AF18" s="166" t="s">
        <v>2</v>
      </c>
      <c r="AG18" s="166" t="s">
        <v>2</v>
      </c>
      <c r="AH18" s="204">
        <v>30420</v>
      </c>
      <c r="AI18" s="166" t="str">
        <f t="shared" si="4"/>
        <v>Região Leste</v>
      </c>
      <c r="AJ18" s="171" t="s">
        <v>2</v>
      </c>
      <c r="AK18" s="205" t="s">
        <v>2</v>
      </c>
      <c r="AL18" s="166" t="s">
        <v>775</v>
      </c>
      <c r="AM18" s="166" t="s">
        <v>1275</v>
      </c>
      <c r="AN18" s="166" t="s">
        <v>89</v>
      </c>
      <c r="AO18" s="172" t="s">
        <v>2</v>
      </c>
      <c r="AP18" s="172" t="s">
        <v>1289</v>
      </c>
      <c r="AQ18" s="172" t="s">
        <v>2864</v>
      </c>
      <c r="AR18" s="172" t="s">
        <v>2</v>
      </c>
      <c r="AS18" s="172" t="s">
        <v>1314</v>
      </c>
      <c r="AT18" s="173" t="s">
        <v>1332</v>
      </c>
    </row>
    <row r="20" spans="1:46" ht="15" customHeight="1">
      <c r="G20" s="94" t="s">
        <v>29</v>
      </c>
    </row>
    <row r="21" spans="1:46" ht="15" customHeight="1">
      <c r="G21" s="94" t="s">
        <v>29</v>
      </c>
    </row>
  </sheetData>
  <mergeCells count="2">
    <mergeCell ref="Z6:AB6"/>
    <mergeCell ref="AD6:AK6"/>
  </mergeCells>
  <conditionalFormatting sqref="J5:O5 D16:AT18 D15:AS15 D8:AT14">
    <cfRule type="expression" dxfId="2555" priority="257">
      <formula>$I5&lt;&gt;"Ativo"</formula>
    </cfRule>
    <cfRule type="expression" dxfId="2554" priority="258">
      <formula>$B5="x"</formula>
    </cfRule>
  </conditionalFormatting>
  <conditionalFormatting sqref="I8">
    <cfRule type="expression" dxfId="2553" priority="157">
      <formula>$I8&lt;&gt;"Ativo"</formula>
    </cfRule>
    <cfRule type="expression" dxfId="2552" priority="158">
      <formula>$B8="x"</formula>
    </cfRule>
  </conditionalFormatting>
  <conditionalFormatting sqref="J8">
    <cfRule type="expression" dxfId="2551" priority="135">
      <formula>$I8&lt;&gt;"Ativo"</formula>
    </cfRule>
    <cfRule type="expression" dxfId="2550" priority="136">
      <formula>$B8="x"</formula>
    </cfRule>
  </conditionalFormatting>
  <conditionalFormatting sqref="J8">
    <cfRule type="expression" dxfId="2549" priority="133">
      <formula>$I8&lt;&gt;"Ativo"</formula>
    </cfRule>
    <cfRule type="expression" dxfId="2548" priority="134">
      <formula>$B8="x"</formula>
    </cfRule>
  </conditionalFormatting>
  <conditionalFormatting sqref="J8">
    <cfRule type="expression" dxfId="2547" priority="131">
      <formula>$I8&lt;&gt;"Ativo"</formula>
    </cfRule>
    <cfRule type="expression" dxfId="2546" priority="132">
      <formula>$B8="x"</formula>
    </cfRule>
  </conditionalFormatting>
  <conditionalFormatting sqref="J8">
    <cfRule type="expression" dxfId="2545" priority="129">
      <formula>$I8&lt;&gt;"Ativo"</formula>
    </cfRule>
    <cfRule type="expression" dxfId="2544" priority="130">
      <formula>$B8="x"</formula>
    </cfRule>
  </conditionalFormatting>
  <conditionalFormatting sqref="AN8">
    <cfRule type="expression" dxfId="2543" priority="127">
      <formula>$I8&lt;&gt;"Ativo"</formula>
    </cfRule>
    <cfRule type="expression" dxfId="2542" priority="128">
      <formula>$B8="x"</formula>
    </cfRule>
  </conditionalFormatting>
  <conditionalFormatting sqref="AN8">
    <cfRule type="expression" dxfId="2541" priority="125">
      <formula>$I8&lt;&gt;"Ativo"</formula>
    </cfRule>
    <cfRule type="expression" dxfId="2540" priority="126">
      <formula>$B8="x"</formula>
    </cfRule>
  </conditionalFormatting>
  <conditionalFormatting sqref="V16:W18">
    <cfRule type="expression" dxfId="2539" priority="69">
      <formula>$I16&lt;&gt;"Ativo"</formula>
    </cfRule>
    <cfRule type="expression" dxfId="2538" priority="70">
      <formula>$B16="x"</formula>
    </cfRule>
  </conditionalFormatting>
  <conditionalFormatting sqref="D8:AT8">
    <cfRule type="expression" dxfId="2537" priority="67">
      <formula>$I8&lt;&gt;"Ativo"</formula>
    </cfRule>
    <cfRule type="expression" dxfId="2536" priority="68">
      <formula>$B8="x"</formula>
    </cfRule>
  </conditionalFormatting>
  <conditionalFormatting sqref="I8">
    <cfRule type="expression" dxfId="2535" priority="21">
      <formula>$I8&lt;&gt;"Ativo"</formula>
    </cfRule>
    <cfRule type="expression" dxfId="2534" priority="22">
      <formula>$B8="x"</formula>
    </cfRule>
  </conditionalFormatting>
  <conditionalFormatting sqref="J8">
    <cfRule type="expression" dxfId="2533" priority="19">
      <formula>$I8&lt;&gt;"Ativo"</formula>
    </cfRule>
    <cfRule type="expression" dxfId="2532" priority="20">
      <formula>$B8="x"</formula>
    </cfRule>
  </conditionalFormatting>
  <conditionalFormatting sqref="J8">
    <cfRule type="expression" dxfId="2531" priority="17">
      <formula>$I8&lt;&gt;"Ativo"</formula>
    </cfRule>
    <cfRule type="expression" dxfId="2530" priority="18">
      <formula>$B8="x"</formula>
    </cfRule>
  </conditionalFormatting>
  <conditionalFormatting sqref="J8">
    <cfRule type="expression" dxfId="2529" priority="15">
      <formula>$I8&lt;&gt;"Ativo"</formula>
    </cfRule>
    <cfRule type="expression" dxfId="2528" priority="16">
      <formula>$B8="x"</formula>
    </cfRule>
  </conditionalFormatting>
  <conditionalFormatting sqref="J8">
    <cfRule type="expression" dxfId="2527" priority="13">
      <formula>$I8&lt;&gt;"Ativo"</formula>
    </cfRule>
    <cfRule type="expression" dxfId="2526" priority="14">
      <formula>$B8="x"</formula>
    </cfRule>
  </conditionalFormatting>
  <conditionalFormatting sqref="AN8">
    <cfRule type="expression" dxfId="2525" priority="11">
      <formula>$I8&lt;&gt;"Ativo"</formula>
    </cfRule>
    <cfRule type="expression" dxfId="2524" priority="12">
      <formula>$B8="x"</formula>
    </cfRule>
  </conditionalFormatting>
  <conditionalFormatting sqref="AN8">
    <cfRule type="expression" dxfId="2523" priority="9">
      <formula>$I8&lt;&gt;"Ativo"</formula>
    </cfRule>
    <cfRule type="expression" dxfId="2522" priority="10">
      <formula>$B8="x"</formula>
    </cfRule>
  </conditionalFormatting>
  <conditionalFormatting sqref="V16:W18">
    <cfRule type="expression" dxfId="2521" priority="3">
      <formula>$I16&lt;&gt;"Ativo"</formula>
    </cfRule>
    <cfRule type="expression" dxfId="2520" priority="4">
      <formula>$B16="x"</formula>
    </cfRule>
  </conditionalFormatting>
  <conditionalFormatting sqref="AT15">
    <cfRule type="expression" dxfId="2519" priority="1">
      <formula>$I15&lt;&gt;"Ativo"</formula>
    </cfRule>
    <cfRule type="expression" dxfId="2518" priority="2">
      <formula>$B15="x"</formula>
    </cfRule>
  </conditionalFormatting>
  <dataValidations count="1">
    <dataValidation type="list" allowBlank="1" showInputMessage="1" showErrorMessage="1" sqref="I8">
      <formula1>"Ativo,Backup,Desligado,Férias,Licença,Transferido,Treinamento"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R8:R18" unlocked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AW27"/>
  <sheetViews>
    <sheetView showGridLines="0" showRowColHeaders="0" zoomScale="80" zoomScaleNormal="8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G14" sqref="G14"/>
    </sheetView>
  </sheetViews>
  <sheetFormatPr defaultRowHeight="15" customHeight="1"/>
  <cols>
    <col min="1" max="1" width="1.42578125" style="92" customWidth="1"/>
    <col min="2" max="2" width="1.42578125" style="93" customWidth="1"/>
    <col min="3" max="3" width="1.7109375" style="63" customWidth="1"/>
    <col min="4" max="5" width="8.5703125" style="64" customWidth="1"/>
    <col min="6" max="6" width="8.5703125" style="65" customWidth="1"/>
    <col min="7" max="7" width="46" style="94" bestFit="1" customWidth="1"/>
    <col min="8" max="8" width="46" style="64" bestFit="1" customWidth="1"/>
    <col min="9" max="9" width="14.28515625" style="64" customWidth="1"/>
    <col min="10" max="10" width="21.85546875" style="64" customWidth="1"/>
    <col min="11" max="13" width="11.28515625" style="64" customWidth="1"/>
    <col min="14" max="15" width="11.28515625" style="95" customWidth="1"/>
    <col min="16" max="16" width="11.28515625" style="64" customWidth="1"/>
    <col min="17" max="18" width="13.85546875" style="83" customWidth="1"/>
    <col min="19" max="19" width="13.85546875" style="83" hidden="1" customWidth="1"/>
    <col min="20" max="20" width="13.85546875" style="108" customWidth="1"/>
    <col min="21" max="21" width="35.5703125" style="64" customWidth="1"/>
    <col min="22" max="24" width="15.85546875" style="64" customWidth="1"/>
    <col min="25" max="25" width="17.85546875" style="64" customWidth="1"/>
    <col min="26" max="28" width="15.85546875" style="64" customWidth="1"/>
    <col min="29" max="29" width="21.28515625" style="64" customWidth="1"/>
    <col min="30" max="30" width="70.85546875" style="82" hidden="1" customWidth="1"/>
    <col min="31" max="31" width="11.42578125" style="82" customWidth="1"/>
    <col min="32" max="32" width="11.28515625" style="82" hidden="1" customWidth="1"/>
    <col min="33" max="33" width="16.140625" style="82" hidden="1" customWidth="1"/>
    <col min="34" max="34" width="19.140625" style="82" customWidth="1"/>
    <col min="35" max="35" width="25.42578125" style="82" customWidth="1"/>
    <col min="36" max="36" width="20.85546875" style="82" hidden="1" customWidth="1"/>
    <col min="37" max="37" width="20.85546875" style="114" hidden="1" customWidth="1"/>
    <col min="38" max="38" width="46" style="64" bestFit="1" customWidth="1"/>
    <col min="39" max="39" width="34.85546875" style="64" customWidth="1"/>
    <col min="40" max="40" width="21.85546875" style="64" bestFit="1" customWidth="1"/>
    <col min="41" max="42" width="21.85546875" style="64" customWidth="1"/>
    <col min="43" max="43" width="33.42578125" style="64" bestFit="1" customWidth="1"/>
    <col min="44" max="45" width="21.85546875" style="64" customWidth="1"/>
    <col min="46" max="49" width="21.85546875" style="64" hidden="1" customWidth="1"/>
    <col min="50" max="16384" width="9.140625" style="64"/>
  </cols>
  <sheetData>
    <row r="1" spans="1:49" ht="15" customHeight="1">
      <c r="A1" s="61" t="s">
        <v>29</v>
      </c>
      <c r="B1" s="62"/>
      <c r="G1" s="66"/>
      <c r="H1" s="67"/>
      <c r="I1" s="67"/>
      <c r="J1" s="67"/>
      <c r="K1" s="67"/>
      <c r="L1" s="67"/>
      <c r="M1" s="67"/>
      <c r="N1" s="68"/>
      <c r="O1" s="69"/>
      <c r="P1" s="67"/>
      <c r="Q1" s="70"/>
      <c r="R1" s="70"/>
      <c r="S1" s="70"/>
      <c r="T1" s="104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109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</row>
    <row r="2" spans="1:49" ht="15" customHeight="1">
      <c r="A2" s="72"/>
      <c r="B2" s="62"/>
      <c r="G2" s="73"/>
      <c r="H2" s="74"/>
      <c r="I2" s="74"/>
      <c r="J2" s="74"/>
      <c r="K2" s="74"/>
      <c r="L2" s="67"/>
      <c r="M2" s="67"/>
      <c r="N2" s="68"/>
      <c r="O2" s="68"/>
      <c r="P2" s="67"/>
      <c r="Q2" s="70"/>
      <c r="R2" s="70"/>
      <c r="S2" s="70"/>
      <c r="T2" s="104"/>
      <c r="U2" s="75"/>
      <c r="V2" s="75"/>
      <c r="W2" s="75"/>
      <c r="X2" s="75"/>
      <c r="Y2" s="75"/>
      <c r="Z2" s="75"/>
      <c r="AA2" s="75"/>
      <c r="AB2" s="75"/>
      <c r="AC2" s="75"/>
      <c r="AD2" s="67"/>
      <c r="AE2" s="67"/>
      <c r="AF2" s="67"/>
      <c r="AG2" s="67"/>
      <c r="AH2" s="67"/>
      <c r="AI2" s="67"/>
      <c r="AJ2" s="67"/>
      <c r="AK2" s="109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</row>
    <row r="3" spans="1:49" ht="15" customHeight="1">
      <c r="A3" s="72"/>
      <c r="B3" s="62"/>
      <c r="C3" s="63">
        <v>10161</v>
      </c>
      <c r="G3" s="76"/>
      <c r="H3" s="74"/>
      <c r="I3" s="74"/>
      <c r="J3" s="74"/>
      <c r="K3" s="74"/>
      <c r="L3" s="67"/>
      <c r="M3" s="67"/>
      <c r="N3" s="68"/>
      <c r="O3" s="68"/>
      <c r="P3" s="67"/>
      <c r="Q3" s="70"/>
      <c r="R3" s="70"/>
      <c r="S3" s="70"/>
      <c r="T3" s="104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109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</row>
    <row r="4" spans="1:49" ht="15" customHeight="1">
      <c r="A4" s="72"/>
      <c r="B4" s="62"/>
      <c r="C4" s="63">
        <v>12348</v>
      </c>
      <c r="G4" s="76"/>
      <c r="H4" s="77"/>
      <c r="I4" s="77"/>
      <c r="J4" s="77"/>
      <c r="K4" s="77"/>
      <c r="L4" s="78"/>
      <c r="M4" s="75"/>
      <c r="N4" s="68"/>
      <c r="O4" s="68"/>
      <c r="P4" s="67"/>
      <c r="Q4" s="79"/>
      <c r="R4" s="79"/>
      <c r="S4" s="79"/>
      <c r="T4" s="10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110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</row>
    <row r="5" spans="1:49" ht="15" customHeight="1" thickBot="1">
      <c r="A5" s="72"/>
      <c r="B5" s="62"/>
      <c r="C5" s="63">
        <v>12577</v>
      </c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111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</row>
    <row r="6" spans="1:49" ht="15" customHeight="1" thickBot="1">
      <c r="A6" s="72"/>
      <c r="B6" s="62"/>
      <c r="C6" s="63">
        <v>12718</v>
      </c>
      <c r="G6" s="81"/>
      <c r="H6" s="82"/>
      <c r="I6" s="82"/>
      <c r="J6" s="82"/>
      <c r="K6" s="82"/>
      <c r="L6" s="82"/>
      <c r="M6" s="82"/>
      <c r="N6" s="82"/>
      <c r="O6" s="82"/>
      <c r="P6" s="82"/>
      <c r="T6" s="106">
        <f ca="1">TODAY()</f>
        <v>42720</v>
      </c>
      <c r="Z6" s="331" t="s">
        <v>53</v>
      </c>
      <c r="AA6" s="332"/>
      <c r="AB6" s="333"/>
      <c r="AC6" s="206"/>
      <c r="AD6" s="337" t="s">
        <v>54</v>
      </c>
      <c r="AE6" s="338"/>
      <c r="AF6" s="339"/>
      <c r="AG6" s="339"/>
      <c r="AH6" s="337"/>
      <c r="AI6" s="340"/>
      <c r="AJ6" s="339"/>
      <c r="AK6" s="340"/>
      <c r="AL6" s="207"/>
    </row>
    <row r="7" spans="1:49" ht="21" customHeight="1">
      <c r="A7" s="72"/>
      <c r="B7" s="84" t="s">
        <v>8</v>
      </c>
      <c r="D7" s="85" t="s">
        <v>1</v>
      </c>
      <c r="E7" s="100" t="s">
        <v>25</v>
      </c>
      <c r="F7" s="86" t="s">
        <v>17</v>
      </c>
      <c r="G7" s="87" t="s">
        <v>32</v>
      </c>
      <c r="H7" s="86" t="s">
        <v>33</v>
      </c>
      <c r="I7" s="86" t="s">
        <v>19</v>
      </c>
      <c r="J7" s="86" t="s">
        <v>34</v>
      </c>
      <c r="K7" s="86" t="s">
        <v>35</v>
      </c>
      <c r="L7" s="86" t="s">
        <v>36</v>
      </c>
      <c r="M7" s="86" t="s">
        <v>37</v>
      </c>
      <c r="N7" s="88" t="s">
        <v>38</v>
      </c>
      <c r="O7" s="88" t="s">
        <v>39</v>
      </c>
      <c r="P7" s="88" t="s">
        <v>40</v>
      </c>
      <c r="Q7" s="89" t="s">
        <v>41</v>
      </c>
      <c r="R7" s="89" t="s">
        <v>43</v>
      </c>
      <c r="S7" s="89" t="s">
        <v>42</v>
      </c>
      <c r="T7" s="107" t="s">
        <v>48</v>
      </c>
      <c r="U7" s="86" t="s">
        <v>44</v>
      </c>
      <c r="V7" s="86" t="s">
        <v>45</v>
      </c>
      <c r="W7" s="86" t="s">
        <v>46</v>
      </c>
      <c r="X7" s="86" t="s">
        <v>47</v>
      </c>
      <c r="Y7" s="86" t="s">
        <v>67</v>
      </c>
      <c r="Z7" s="88" t="s">
        <v>50</v>
      </c>
      <c r="AA7" s="88" t="s">
        <v>51</v>
      </c>
      <c r="AB7" s="88" t="s">
        <v>52</v>
      </c>
      <c r="AC7" s="86" t="s">
        <v>12</v>
      </c>
      <c r="AD7" s="86" t="s">
        <v>63</v>
      </c>
      <c r="AE7" s="86" t="s">
        <v>64</v>
      </c>
      <c r="AF7" s="86" t="s">
        <v>65</v>
      </c>
      <c r="AG7" s="86" t="s">
        <v>70</v>
      </c>
      <c r="AH7" s="86" t="s">
        <v>55</v>
      </c>
      <c r="AI7" s="86" t="s">
        <v>56</v>
      </c>
      <c r="AJ7" s="86" t="s">
        <v>57</v>
      </c>
      <c r="AK7" s="112" t="s">
        <v>58</v>
      </c>
      <c r="AL7" s="86" t="s">
        <v>59</v>
      </c>
      <c r="AM7" s="86" t="s">
        <v>60</v>
      </c>
      <c r="AN7" s="86" t="s">
        <v>61</v>
      </c>
      <c r="AO7" s="98" t="s">
        <v>3</v>
      </c>
      <c r="AP7" s="98" t="s">
        <v>62</v>
      </c>
      <c r="AQ7" s="98" t="s">
        <v>49</v>
      </c>
      <c r="AR7" s="98" t="s">
        <v>81</v>
      </c>
      <c r="AS7" s="99" t="s">
        <v>1064</v>
      </c>
      <c r="AT7" s="208"/>
      <c r="AU7" s="98"/>
      <c r="AV7" s="98"/>
      <c r="AW7" s="98"/>
    </row>
    <row r="8" spans="1:49" ht="15" customHeight="1">
      <c r="A8" s="72"/>
      <c r="B8" s="280" t="str">
        <f t="shared" ref="B8:B16" si="0">IF(B7="x","","x")</f>
        <v/>
      </c>
      <c r="C8" s="91"/>
      <c r="D8" s="46">
        <v>9822</v>
      </c>
      <c r="E8" s="101">
        <v>689855</v>
      </c>
      <c r="F8" s="47">
        <v>10185</v>
      </c>
      <c r="G8" s="48" t="s">
        <v>776</v>
      </c>
      <c r="H8" s="48" t="s">
        <v>1333</v>
      </c>
      <c r="I8" s="48" t="s">
        <v>4</v>
      </c>
      <c r="J8" s="48" t="s">
        <v>1358</v>
      </c>
      <c r="K8" s="49">
        <v>0.33333333333333331</v>
      </c>
      <c r="L8" s="49">
        <v>0.70833333333333337</v>
      </c>
      <c r="M8" s="49">
        <v>0.375</v>
      </c>
      <c r="N8" s="49" t="s">
        <v>2</v>
      </c>
      <c r="O8" s="49" t="s">
        <v>2</v>
      </c>
      <c r="P8" s="49" t="s">
        <v>2</v>
      </c>
      <c r="Q8" s="50">
        <v>39765</v>
      </c>
      <c r="R8" s="50" t="s">
        <v>72</v>
      </c>
      <c r="S8" s="50" t="s">
        <v>2</v>
      </c>
      <c r="T8" s="103">
        <f ca="1">TODAY()-Q8</f>
        <v>2955</v>
      </c>
      <c r="U8" s="48" t="s">
        <v>2233</v>
      </c>
      <c r="V8" s="50" t="s">
        <v>2</v>
      </c>
      <c r="W8" s="50" t="s">
        <v>2</v>
      </c>
      <c r="X8" s="50" t="s">
        <v>2</v>
      </c>
      <c r="Y8" s="50" t="s">
        <v>2</v>
      </c>
      <c r="Z8" s="48" t="s">
        <v>2</v>
      </c>
      <c r="AA8" s="48" t="s">
        <v>2</v>
      </c>
      <c r="AB8" s="48" t="s">
        <v>2</v>
      </c>
      <c r="AC8" s="48" t="s">
        <v>2</v>
      </c>
      <c r="AD8" s="48" t="s">
        <v>2</v>
      </c>
      <c r="AE8" s="51">
        <v>5021001</v>
      </c>
      <c r="AF8" s="48" t="s">
        <v>2</v>
      </c>
      <c r="AG8" s="48" t="s">
        <v>2</v>
      </c>
      <c r="AH8" s="276">
        <v>28775</v>
      </c>
      <c r="AI8" s="48" t="s">
        <v>2191</v>
      </c>
      <c r="AJ8" s="53" t="s">
        <v>2</v>
      </c>
      <c r="AK8" s="113" t="s">
        <v>2</v>
      </c>
      <c r="AL8" s="48" t="s">
        <v>1333</v>
      </c>
      <c r="AM8" s="48" t="s">
        <v>69</v>
      </c>
      <c r="AN8" s="48" t="s">
        <v>89</v>
      </c>
      <c r="AO8" s="96" t="s">
        <v>2</v>
      </c>
      <c r="AP8" s="96" t="s">
        <v>2852</v>
      </c>
      <c r="AQ8" s="96" t="s">
        <v>1367</v>
      </c>
      <c r="AR8" s="96" t="s">
        <v>2</v>
      </c>
      <c r="AS8" s="97" t="s">
        <v>1415</v>
      </c>
      <c r="AT8" s="209"/>
      <c r="AU8" s="96"/>
      <c r="AV8" s="96"/>
      <c r="AW8" s="96"/>
    </row>
    <row r="9" spans="1:49" ht="15" customHeight="1">
      <c r="A9" s="72"/>
      <c r="B9" s="280" t="str">
        <f t="shared" si="0"/>
        <v>x</v>
      </c>
      <c r="C9" s="91"/>
      <c r="D9" s="46">
        <v>9618</v>
      </c>
      <c r="E9" s="101">
        <v>688692</v>
      </c>
      <c r="F9" s="47" t="s">
        <v>2</v>
      </c>
      <c r="G9" s="48" t="s">
        <v>775</v>
      </c>
      <c r="H9" s="48" t="s">
        <v>1333</v>
      </c>
      <c r="I9" s="314" t="s">
        <v>4</v>
      </c>
      <c r="J9" s="48" t="s">
        <v>1358</v>
      </c>
      <c r="K9" s="49">
        <v>0.33333333333333331</v>
      </c>
      <c r="L9" s="49">
        <v>0.70833333333333337</v>
      </c>
      <c r="M9" s="49">
        <v>0.375</v>
      </c>
      <c r="N9" s="49" t="s">
        <v>2</v>
      </c>
      <c r="O9" s="49" t="s">
        <v>2</v>
      </c>
      <c r="P9" s="49" t="s">
        <v>2</v>
      </c>
      <c r="Q9" s="50">
        <v>39755</v>
      </c>
      <c r="R9" s="50" t="s">
        <v>72</v>
      </c>
      <c r="S9" s="50" t="s">
        <v>2</v>
      </c>
      <c r="T9" s="103">
        <f t="shared" ref="T9:T27" ca="1" si="1">TODAY()-Q9</f>
        <v>2965</v>
      </c>
      <c r="U9" s="48" t="s">
        <v>2234</v>
      </c>
      <c r="V9" s="50">
        <v>42618</v>
      </c>
      <c r="W9" s="50">
        <v>42618</v>
      </c>
      <c r="X9" s="50">
        <v>42636</v>
      </c>
      <c r="Y9" s="50" t="s">
        <v>2</v>
      </c>
      <c r="Z9" s="48" t="s">
        <v>2</v>
      </c>
      <c r="AA9" s="48" t="s">
        <v>2</v>
      </c>
      <c r="AB9" s="48" t="s">
        <v>2</v>
      </c>
      <c r="AC9" s="48" t="s">
        <v>2</v>
      </c>
      <c r="AD9" s="48" t="s">
        <v>2</v>
      </c>
      <c r="AE9" s="51">
        <v>5595000</v>
      </c>
      <c r="AF9" s="48" t="s">
        <v>2</v>
      </c>
      <c r="AG9" s="48" t="s">
        <v>2</v>
      </c>
      <c r="AH9" s="276">
        <v>30960</v>
      </c>
      <c r="AI9" s="48" t="s">
        <v>2191</v>
      </c>
      <c r="AJ9" s="126" t="s">
        <v>2</v>
      </c>
      <c r="AK9" s="128" t="s">
        <v>2</v>
      </c>
      <c r="AL9" s="48" t="s">
        <v>1333</v>
      </c>
      <c r="AM9" s="48" t="s">
        <v>69</v>
      </c>
      <c r="AN9" s="48" t="s">
        <v>89</v>
      </c>
      <c r="AO9" s="96" t="s">
        <v>2</v>
      </c>
      <c r="AP9" s="96" t="s">
        <v>1391</v>
      </c>
      <c r="AQ9" s="96" t="s">
        <v>1368</v>
      </c>
      <c r="AR9" s="96" t="s">
        <v>2</v>
      </c>
      <c r="AS9" s="97" t="s">
        <v>1416</v>
      </c>
      <c r="AT9" s="209"/>
      <c r="AU9" s="96"/>
      <c r="AV9" s="96"/>
      <c r="AW9" s="96"/>
    </row>
    <row r="10" spans="1:49" ht="15" customHeight="1">
      <c r="A10" s="72"/>
      <c r="B10" s="280" t="str">
        <f t="shared" si="0"/>
        <v/>
      </c>
      <c r="C10" s="91"/>
      <c r="D10" s="46">
        <v>15263</v>
      </c>
      <c r="E10" s="101">
        <v>719378</v>
      </c>
      <c r="F10" s="47">
        <v>12116</v>
      </c>
      <c r="G10" s="48" t="s">
        <v>1334</v>
      </c>
      <c r="H10" s="48" t="s">
        <v>776</v>
      </c>
      <c r="I10" s="48" t="s">
        <v>4</v>
      </c>
      <c r="J10" s="48" t="s">
        <v>1359</v>
      </c>
      <c r="K10" s="49">
        <v>0.33333333333333331</v>
      </c>
      <c r="L10" s="49">
        <v>0.70833333333333337</v>
      </c>
      <c r="M10" s="49">
        <v>0.375</v>
      </c>
      <c r="N10" s="49" t="s">
        <v>2</v>
      </c>
      <c r="O10" s="49" t="s">
        <v>2</v>
      </c>
      <c r="P10" s="49" t="s">
        <v>2</v>
      </c>
      <c r="Q10" s="50">
        <v>40588</v>
      </c>
      <c r="R10" s="50" t="s">
        <v>72</v>
      </c>
      <c r="S10" s="50" t="s">
        <v>2</v>
      </c>
      <c r="T10" s="103">
        <f t="shared" ca="1" si="1"/>
        <v>2132</v>
      </c>
      <c r="U10" s="48" t="s">
        <v>2235</v>
      </c>
      <c r="V10" s="50">
        <v>41774</v>
      </c>
      <c r="W10" s="50" t="s">
        <v>2</v>
      </c>
      <c r="X10" s="50" t="s">
        <v>2</v>
      </c>
      <c r="Y10" s="50" t="s">
        <v>2</v>
      </c>
      <c r="Z10" s="48" t="s">
        <v>2</v>
      </c>
      <c r="AA10" s="48" t="s">
        <v>2</v>
      </c>
      <c r="AB10" s="48" t="s">
        <v>2</v>
      </c>
      <c r="AC10" s="48" t="s">
        <v>2</v>
      </c>
      <c r="AD10" s="48" t="s">
        <v>2</v>
      </c>
      <c r="AE10" s="51">
        <v>8062000</v>
      </c>
      <c r="AF10" s="48" t="s">
        <v>2</v>
      </c>
      <c r="AG10" s="48" t="s">
        <v>2</v>
      </c>
      <c r="AH10" s="276">
        <v>33833</v>
      </c>
      <c r="AI10" s="48" t="s">
        <v>2194</v>
      </c>
      <c r="AJ10" s="53" t="s">
        <v>2</v>
      </c>
      <c r="AK10" s="113" t="s">
        <v>2</v>
      </c>
      <c r="AL10" s="48" t="s">
        <v>776</v>
      </c>
      <c r="AM10" s="48" t="s">
        <v>69</v>
      </c>
      <c r="AN10" s="48" t="s">
        <v>89</v>
      </c>
      <c r="AO10" s="96" t="s">
        <v>2</v>
      </c>
      <c r="AP10" s="96" t="s">
        <v>1393</v>
      </c>
      <c r="AQ10" s="96" t="s">
        <v>1369</v>
      </c>
      <c r="AR10" s="96" t="s">
        <v>2</v>
      </c>
      <c r="AS10" s="97" t="s">
        <v>1418</v>
      </c>
      <c r="AT10" s="209"/>
      <c r="AU10" s="96"/>
      <c r="AV10" s="96"/>
      <c r="AW10" s="96"/>
    </row>
    <row r="11" spans="1:49" ht="15" customHeight="1">
      <c r="A11" s="72"/>
      <c r="B11" s="280" t="str">
        <f t="shared" si="0"/>
        <v>x</v>
      </c>
      <c r="C11" s="91"/>
      <c r="D11" s="46">
        <v>15027</v>
      </c>
      <c r="E11" s="101">
        <v>717328</v>
      </c>
      <c r="F11" s="47">
        <v>12299</v>
      </c>
      <c r="G11" s="48" t="s">
        <v>1335</v>
      </c>
      <c r="H11" s="48" t="s">
        <v>776</v>
      </c>
      <c r="I11" s="48" t="s">
        <v>4</v>
      </c>
      <c r="J11" s="48" t="s">
        <v>1359</v>
      </c>
      <c r="K11" s="49">
        <v>0.33333333333333331</v>
      </c>
      <c r="L11" s="49">
        <v>0.70833333333333337</v>
      </c>
      <c r="M11" s="49">
        <v>0.375</v>
      </c>
      <c r="N11" s="49" t="s">
        <v>2</v>
      </c>
      <c r="O11" s="49" t="s">
        <v>2</v>
      </c>
      <c r="P11" s="49" t="s">
        <v>2</v>
      </c>
      <c r="Q11" s="50">
        <v>40561</v>
      </c>
      <c r="R11" s="50" t="s">
        <v>72</v>
      </c>
      <c r="S11" s="50" t="s">
        <v>2</v>
      </c>
      <c r="T11" s="103">
        <f t="shared" ca="1" si="1"/>
        <v>2159</v>
      </c>
      <c r="U11" s="48" t="s">
        <v>1363</v>
      </c>
      <c r="V11" s="50" t="s">
        <v>2</v>
      </c>
      <c r="W11" s="50" t="s">
        <v>2</v>
      </c>
      <c r="X11" s="50" t="s">
        <v>2</v>
      </c>
      <c r="Y11" s="50" t="s">
        <v>2</v>
      </c>
      <c r="Z11" s="48" t="s">
        <v>2</v>
      </c>
      <c r="AA11" s="48" t="s">
        <v>2</v>
      </c>
      <c r="AB11" s="48" t="s">
        <v>2</v>
      </c>
      <c r="AC11" s="48" t="s">
        <v>2</v>
      </c>
      <c r="AD11" s="48" t="s">
        <v>2</v>
      </c>
      <c r="AE11" s="51">
        <v>4413000</v>
      </c>
      <c r="AF11" s="48" t="s">
        <v>2</v>
      </c>
      <c r="AG11" s="48" t="s">
        <v>2</v>
      </c>
      <c r="AH11" s="276">
        <v>30529</v>
      </c>
      <c r="AI11" s="48" t="s">
        <v>2188</v>
      </c>
      <c r="AJ11" s="53" t="s">
        <v>2</v>
      </c>
      <c r="AK11" s="113" t="s">
        <v>2</v>
      </c>
      <c r="AL11" s="48" t="s">
        <v>776</v>
      </c>
      <c r="AM11" s="48" t="s">
        <v>69</v>
      </c>
      <c r="AN11" s="48" t="s">
        <v>89</v>
      </c>
      <c r="AO11" s="96" t="s">
        <v>2</v>
      </c>
      <c r="AP11" s="281" t="s">
        <v>2795</v>
      </c>
      <c r="AQ11" s="96" t="s">
        <v>1370</v>
      </c>
      <c r="AR11" s="96" t="s">
        <v>2</v>
      </c>
      <c r="AS11" s="97" t="s">
        <v>2</v>
      </c>
      <c r="AT11" s="209"/>
      <c r="AU11" s="96"/>
      <c r="AV11" s="96"/>
      <c r="AW11" s="96"/>
    </row>
    <row r="12" spans="1:49" ht="15" customHeight="1">
      <c r="A12" s="72"/>
      <c r="B12" s="280" t="str">
        <f t="shared" si="0"/>
        <v/>
      </c>
      <c r="C12" s="91"/>
      <c r="D12" s="46">
        <v>24705</v>
      </c>
      <c r="E12" s="101">
        <v>798674</v>
      </c>
      <c r="F12" s="47">
        <v>12578</v>
      </c>
      <c r="G12" s="48" t="s">
        <v>1336</v>
      </c>
      <c r="H12" s="48" t="s">
        <v>776</v>
      </c>
      <c r="I12" s="48" t="s">
        <v>4</v>
      </c>
      <c r="J12" s="48" t="s">
        <v>1359</v>
      </c>
      <c r="K12" s="49">
        <v>0.33333333333333331</v>
      </c>
      <c r="L12" s="49">
        <v>0.70833333333333337</v>
      </c>
      <c r="M12" s="49">
        <v>0.375</v>
      </c>
      <c r="N12" s="49" t="s">
        <v>2</v>
      </c>
      <c r="O12" s="49" t="s">
        <v>2</v>
      </c>
      <c r="P12" s="49" t="s">
        <v>2</v>
      </c>
      <c r="Q12" s="50">
        <v>41340</v>
      </c>
      <c r="R12" s="50" t="s">
        <v>72</v>
      </c>
      <c r="S12" s="50" t="s">
        <v>2</v>
      </c>
      <c r="T12" s="103">
        <f t="shared" ca="1" si="1"/>
        <v>1380</v>
      </c>
      <c r="U12" s="48" t="s">
        <v>2236</v>
      </c>
      <c r="V12" s="50">
        <v>41950</v>
      </c>
      <c r="W12" s="50">
        <v>41953</v>
      </c>
      <c r="X12" s="50" t="s">
        <v>2</v>
      </c>
      <c r="Y12" s="50" t="s">
        <v>2</v>
      </c>
      <c r="Z12" s="48" t="s">
        <v>2</v>
      </c>
      <c r="AA12" s="48" t="s">
        <v>2</v>
      </c>
      <c r="AB12" s="48" t="s">
        <v>2</v>
      </c>
      <c r="AC12" s="48" t="s">
        <v>2</v>
      </c>
      <c r="AD12" s="48" t="s">
        <v>2</v>
      </c>
      <c r="AE12" s="51">
        <v>2615020</v>
      </c>
      <c r="AF12" s="48" t="s">
        <v>2</v>
      </c>
      <c r="AG12" s="48" t="s">
        <v>2</v>
      </c>
      <c r="AH12" s="276">
        <v>34486</v>
      </c>
      <c r="AI12" s="48" t="s">
        <v>2189</v>
      </c>
      <c r="AJ12" s="126" t="s">
        <v>2</v>
      </c>
      <c r="AK12" s="128" t="s">
        <v>2</v>
      </c>
      <c r="AL12" s="48" t="s">
        <v>776</v>
      </c>
      <c r="AM12" s="48" t="s">
        <v>69</v>
      </c>
      <c r="AN12" s="48" t="s">
        <v>89</v>
      </c>
      <c r="AO12" s="96" t="s">
        <v>2</v>
      </c>
      <c r="AP12" s="96" t="s">
        <v>1394</v>
      </c>
      <c r="AQ12" s="96" t="s">
        <v>2342</v>
      </c>
      <c r="AR12" s="96" t="s">
        <v>2</v>
      </c>
      <c r="AS12" s="97" t="s">
        <v>2343</v>
      </c>
      <c r="AT12" s="209"/>
      <c r="AU12" s="96"/>
      <c r="AV12" s="96"/>
      <c r="AW12" s="96"/>
    </row>
    <row r="13" spans="1:49" ht="15" customHeight="1">
      <c r="A13" s="72"/>
      <c r="B13" s="280" t="str">
        <f t="shared" si="0"/>
        <v>x</v>
      </c>
      <c r="C13" s="91"/>
      <c r="D13" s="46">
        <v>24144</v>
      </c>
      <c r="E13" s="101">
        <v>795058</v>
      </c>
      <c r="F13" s="47">
        <v>12385</v>
      </c>
      <c r="G13" s="48" t="s">
        <v>1338</v>
      </c>
      <c r="H13" s="48" t="s">
        <v>776</v>
      </c>
      <c r="I13" s="48" t="s">
        <v>4</v>
      </c>
      <c r="J13" s="48" t="s">
        <v>1359</v>
      </c>
      <c r="K13" s="49">
        <v>0.375</v>
      </c>
      <c r="L13" s="49">
        <v>0.75</v>
      </c>
      <c r="M13" s="49">
        <v>0.375</v>
      </c>
      <c r="N13" s="49" t="s">
        <v>2</v>
      </c>
      <c r="O13" s="49" t="s">
        <v>2</v>
      </c>
      <c r="P13" s="49" t="s">
        <v>2</v>
      </c>
      <c r="Q13" s="50">
        <v>41306</v>
      </c>
      <c r="R13" s="50" t="s">
        <v>72</v>
      </c>
      <c r="S13" s="50" t="s">
        <v>2</v>
      </c>
      <c r="T13" s="103">
        <f t="shared" ca="1" si="1"/>
        <v>1414</v>
      </c>
      <c r="U13" s="48" t="s">
        <v>2236</v>
      </c>
      <c r="V13" s="50">
        <v>42590</v>
      </c>
      <c r="W13" s="50">
        <v>42589</v>
      </c>
      <c r="X13" s="50" t="s">
        <v>2</v>
      </c>
      <c r="Y13" s="50" t="s">
        <v>2</v>
      </c>
      <c r="Z13" s="48" t="s">
        <v>2</v>
      </c>
      <c r="AA13" s="48" t="s">
        <v>2</v>
      </c>
      <c r="AB13" s="48" t="s">
        <v>2</v>
      </c>
      <c r="AC13" s="48" t="s">
        <v>2</v>
      </c>
      <c r="AD13" s="48" t="s">
        <v>2</v>
      </c>
      <c r="AE13" s="51">
        <v>2410002</v>
      </c>
      <c r="AF13" s="48" t="s">
        <v>2</v>
      </c>
      <c r="AG13" s="48" t="s">
        <v>2</v>
      </c>
      <c r="AH13" s="276">
        <v>34036</v>
      </c>
      <c r="AI13" s="48" t="s">
        <v>2189</v>
      </c>
      <c r="AJ13" s="53" t="s">
        <v>2</v>
      </c>
      <c r="AK13" s="113" t="s">
        <v>2</v>
      </c>
      <c r="AL13" s="48" t="s">
        <v>776</v>
      </c>
      <c r="AM13" s="48" t="s">
        <v>69</v>
      </c>
      <c r="AN13" s="48" t="s">
        <v>89</v>
      </c>
      <c r="AO13" s="96" t="s">
        <v>2</v>
      </c>
      <c r="AP13" s="96" t="s">
        <v>1396</v>
      </c>
      <c r="AQ13" s="281" t="s">
        <v>2816</v>
      </c>
      <c r="AR13" s="96" t="s">
        <v>2</v>
      </c>
      <c r="AS13" s="282" t="s">
        <v>2817</v>
      </c>
      <c r="AT13" s="209"/>
      <c r="AU13" s="96"/>
      <c r="AV13" s="96"/>
      <c r="AW13" s="96"/>
    </row>
    <row r="14" spans="1:49" ht="15" customHeight="1">
      <c r="A14" s="72"/>
      <c r="B14" s="280" t="str">
        <f t="shared" si="0"/>
        <v/>
      </c>
      <c r="C14" s="91"/>
      <c r="D14" s="46">
        <v>9725</v>
      </c>
      <c r="E14" s="101">
        <v>688772</v>
      </c>
      <c r="F14" s="47">
        <v>12440</v>
      </c>
      <c r="G14" s="48" t="s">
        <v>1339</v>
      </c>
      <c r="H14" s="48" t="s">
        <v>776</v>
      </c>
      <c r="I14" s="48" t="s">
        <v>4</v>
      </c>
      <c r="J14" s="48" t="s">
        <v>1359</v>
      </c>
      <c r="K14" s="49">
        <v>0.33333333333333331</v>
      </c>
      <c r="L14" s="49">
        <v>0.70833333333333337</v>
      </c>
      <c r="M14" s="49">
        <v>0.375</v>
      </c>
      <c r="N14" s="49" t="s">
        <v>2</v>
      </c>
      <c r="O14" s="49" t="s">
        <v>2</v>
      </c>
      <c r="P14" s="49" t="s">
        <v>2</v>
      </c>
      <c r="Q14" s="50">
        <v>39765</v>
      </c>
      <c r="R14" s="50" t="s">
        <v>72</v>
      </c>
      <c r="S14" s="50" t="s">
        <v>2</v>
      </c>
      <c r="T14" s="103">
        <f t="shared" ca="1" si="1"/>
        <v>2955</v>
      </c>
      <c r="U14" s="48" t="s">
        <v>2238</v>
      </c>
      <c r="V14" s="50" t="s">
        <v>2</v>
      </c>
      <c r="W14" s="50" t="s">
        <v>2</v>
      </c>
      <c r="X14" s="50" t="s">
        <v>2</v>
      </c>
      <c r="Y14" s="50" t="s">
        <v>2</v>
      </c>
      <c r="Z14" s="48" t="s">
        <v>2</v>
      </c>
      <c r="AA14" s="48" t="s">
        <v>2</v>
      </c>
      <c r="AB14" s="48" t="s">
        <v>2</v>
      </c>
      <c r="AC14" s="48" t="s">
        <v>2</v>
      </c>
      <c r="AD14" s="48" t="s">
        <v>2</v>
      </c>
      <c r="AE14" s="51">
        <v>6386090</v>
      </c>
      <c r="AF14" s="48" t="s">
        <v>2</v>
      </c>
      <c r="AG14" s="48" t="s">
        <v>2</v>
      </c>
      <c r="AH14" s="276">
        <v>32388</v>
      </c>
      <c r="AI14" s="48" t="s">
        <v>2193</v>
      </c>
      <c r="AJ14" s="53" t="s">
        <v>2</v>
      </c>
      <c r="AK14" s="113" t="s">
        <v>2</v>
      </c>
      <c r="AL14" s="48" t="s">
        <v>776</v>
      </c>
      <c r="AM14" s="48" t="s">
        <v>69</v>
      </c>
      <c r="AN14" s="48" t="s">
        <v>89</v>
      </c>
      <c r="AO14" s="96" t="s">
        <v>2</v>
      </c>
      <c r="AP14" s="96" t="s">
        <v>1397</v>
      </c>
      <c r="AQ14" s="96" t="s">
        <v>1372</v>
      </c>
      <c r="AR14" s="96" t="s">
        <v>2</v>
      </c>
      <c r="AS14" s="97" t="s">
        <v>1420</v>
      </c>
      <c r="AT14" s="209"/>
      <c r="AU14" s="96"/>
      <c r="AV14" s="96"/>
      <c r="AW14" s="96"/>
    </row>
    <row r="15" spans="1:49" ht="15" customHeight="1">
      <c r="A15" s="72"/>
      <c r="B15" s="280" t="str">
        <f t="shared" si="0"/>
        <v>x</v>
      </c>
      <c r="C15" s="91"/>
      <c r="D15" s="46">
        <v>18559</v>
      </c>
      <c r="E15" s="101">
        <v>739291</v>
      </c>
      <c r="F15" s="47">
        <v>12462</v>
      </c>
      <c r="G15" s="48" t="s">
        <v>1340</v>
      </c>
      <c r="H15" s="48" t="s">
        <v>776</v>
      </c>
      <c r="I15" s="48" t="s">
        <v>4</v>
      </c>
      <c r="J15" s="48" t="s">
        <v>1359</v>
      </c>
      <c r="K15" s="49">
        <v>0.41666666666666669</v>
      </c>
      <c r="L15" s="49">
        <v>0.79166666666666663</v>
      </c>
      <c r="M15" s="49">
        <v>0.375</v>
      </c>
      <c r="N15" s="49" t="s">
        <v>2</v>
      </c>
      <c r="O15" s="49" t="s">
        <v>2</v>
      </c>
      <c r="P15" s="49" t="s">
        <v>2</v>
      </c>
      <c r="Q15" s="50">
        <v>40787</v>
      </c>
      <c r="R15" s="50" t="s">
        <v>72</v>
      </c>
      <c r="S15" s="50" t="s">
        <v>2</v>
      </c>
      <c r="T15" s="103">
        <f t="shared" ca="1" si="1"/>
        <v>1933</v>
      </c>
      <c r="U15" s="48" t="s">
        <v>2239</v>
      </c>
      <c r="V15" s="50">
        <v>42675</v>
      </c>
      <c r="W15" s="50">
        <v>42675</v>
      </c>
      <c r="X15" s="50" t="s">
        <v>2</v>
      </c>
      <c r="Y15" s="50" t="s">
        <v>2</v>
      </c>
      <c r="Z15" s="48" t="s">
        <v>2</v>
      </c>
      <c r="AA15" s="48" t="s">
        <v>2</v>
      </c>
      <c r="AB15" s="48" t="s">
        <v>2</v>
      </c>
      <c r="AC15" s="48" t="s">
        <v>2</v>
      </c>
      <c r="AD15" s="48" t="s">
        <v>2</v>
      </c>
      <c r="AE15" s="51">
        <v>4218000</v>
      </c>
      <c r="AF15" s="48" t="s">
        <v>2</v>
      </c>
      <c r="AG15" s="48" t="s">
        <v>2</v>
      </c>
      <c r="AH15" s="276">
        <v>33781</v>
      </c>
      <c r="AI15" s="48" t="s">
        <v>2188</v>
      </c>
      <c r="AJ15" s="126" t="s">
        <v>2</v>
      </c>
      <c r="AK15" s="128" t="s">
        <v>2</v>
      </c>
      <c r="AL15" s="48" t="s">
        <v>776</v>
      </c>
      <c r="AM15" s="48" t="s">
        <v>69</v>
      </c>
      <c r="AN15" s="48" t="s">
        <v>89</v>
      </c>
      <c r="AO15" s="96" t="s">
        <v>2</v>
      </c>
      <c r="AP15" s="96" t="s">
        <v>1398</v>
      </c>
      <c r="AQ15" s="96" t="s">
        <v>1373</v>
      </c>
      <c r="AR15" s="96" t="s">
        <v>2</v>
      </c>
      <c r="AS15" s="97" t="s">
        <v>1421</v>
      </c>
      <c r="AT15" s="209"/>
      <c r="AU15" s="96"/>
      <c r="AV15" s="96"/>
      <c r="AW15" s="96"/>
    </row>
    <row r="16" spans="1:49" ht="15" customHeight="1">
      <c r="A16" s="72"/>
      <c r="B16" s="280" t="str">
        <f t="shared" si="0"/>
        <v/>
      </c>
      <c r="C16" s="91"/>
      <c r="D16" s="46">
        <v>19950</v>
      </c>
      <c r="E16" s="101">
        <v>755764</v>
      </c>
      <c r="F16" s="47">
        <v>12608</v>
      </c>
      <c r="G16" s="48" t="s">
        <v>1341</v>
      </c>
      <c r="H16" s="48" t="s">
        <v>776</v>
      </c>
      <c r="I16" s="48" t="s">
        <v>5</v>
      </c>
      <c r="J16" s="48" t="s">
        <v>1359</v>
      </c>
      <c r="K16" s="49">
        <v>0.375</v>
      </c>
      <c r="L16" s="49">
        <v>0.75</v>
      </c>
      <c r="M16" s="49">
        <v>0.375</v>
      </c>
      <c r="N16" s="49" t="s">
        <v>2</v>
      </c>
      <c r="O16" s="49" t="s">
        <v>2</v>
      </c>
      <c r="P16" s="49" t="s">
        <v>2</v>
      </c>
      <c r="Q16" s="50">
        <v>40889</v>
      </c>
      <c r="R16" s="50" t="s">
        <v>72</v>
      </c>
      <c r="S16" s="50" t="s">
        <v>2</v>
      </c>
      <c r="T16" s="103">
        <f t="shared" ca="1" si="1"/>
        <v>1831</v>
      </c>
      <c r="U16" s="48" t="s">
        <v>2237</v>
      </c>
      <c r="V16" s="50">
        <v>42646</v>
      </c>
      <c r="W16" s="50">
        <v>42646</v>
      </c>
      <c r="X16" s="50">
        <v>42664</v>
      </c>
      <c r="Y16" s="50" t="s">
        <v>2</v>
      </c>
      <c r="Z16" s="48" t="s">
        <v>2</v>
      </c>
      <c r="AA16" s="48" t="s">
        <v>2</v>
      </c>
      <c r="AB16" s="48" t="s">
        <v>2</v>
      </c>
      <c r="AC16" s="48" t="s">
        <v>2</v>
      </c>
      <c r="AD16" s="48" t="s">
        <v>2</v>
      </c>
      <c r="AE16" s="51">
        <v>7097001</v>
      </c>
      <c r="AF16" s="48" t="s">
        <v>2</v>
      </c>
      <c r="AG16" s="48" t="s">
        <v>2</v>
      </c>
      <c r="AH16" s="276">
        <v>32528</v>
      </c>
      <c r="AI16" s="48" t="s">
        <v>2196</v>
      </c>
      <c r="AJ16" s="126" t="s">
        <v>2</v>
      </c>
      <c r="AK16" s="128" t="s">
        <v>2</v>
      </c>
      <c r="AL16" s="48" t="s">
        <v>776</v>
      </c>
      <c r="AM16" s="48" t="s">
        <v>69</v>
      </c>
      <c r="AN16" s="48" t="s">
        <v>89</v>
      </c>
      <c r="AO16" s="96" t="s">
        <v>2</v>
      </c>
      <c r="AP16" s="96" t="s">
        <v>1399</v>
      </c>
      <c r="AQ16" s="96" t="s">
        <v>1374</v>
      </c>
      <c r="AR16" s="96" t="s">
        <v>2</v>
      </c>
      <c r="AS16" s="97" t="s">
        <v>1422</v>
      </c>
      <c r="AT16" s="209"/>
      <c r="AU16" s="96"/>
      <c r="AV16" s="96"/>
      <c r="AW16" s="96"/>
    </row>
    <row r="17" spans="1:49" ht="15" customHeight="1">
      <c r="B17" s="280" t="str">
        <f>IF(Termed!B493="x","","x")</f>
        <v/>
      </c>
      <c r="C17" s="64"/>
      <c r="D17" s="272">
        <v>10081</v>
      </c>
      <c r="E17" s="315">
        <v>688666</v>
      </c>
      <c r="F17" s="313">
        <v>10831</v>
      </c>
      <c r="G17" s="314" t="s">
        <v>267</v>
      </c>
      <c r="H17" s="314" t="s">
        <v>776</v>
      </c>
      <c r="I17" s="314" t="s">
        <v>4</v>
      </c>
      <c r="J17" s="314" t="s">
        <v>1359</v>
      </c>
      <c r="K17" s="275">
        <v>2.375</v>
      </c>
      <c r="L17" s="275">
        <v>0.75</v>
      </c>
      <c r="M17" s="275">
        <v>0.375</v>
      </c>
      <c r="N17" s="275" t="s">
        <v>2</v>
      </c>
      <c r="O17" s="275" t="s">
        <v>2</v>
      </c>
      <c r="P17" s="275" t="s">
        <v>2</v>
      </c>
      <c r="Q17" s="276">
        <v>39773</v>
      </c>
      <c r="R17" s="284" t="s">
        <v>72</v>
      </c>
      <c r="S17" s="276">
        <v>39796</v>
      </c>
      <c r="T17" s="284">
        <f t="shared" ca="1" si="1"/>
        <v>2947</v>
      </c>
      <c r="U17" s="314" t="s">
        <v>2221</v>
      </c>
      <c r="V17" s="276">
        <v>42663</v>
      </c>
      <c r="W17" s="276">
        <v>42675</v>
      </c>
      <c r="X17" s="227" t="s">
        <v>2</v>
      </c>
      <c r="Y17" s="314" t="s">
        <v>2</v>
      </c>
      <c r="Z17" s="314" t="s">
        <v>399</v>
      </c>
      <c r="AA17" s="314" t="s">
        <v>2878</v>
      </c>
      <c r="AB17" s="276">
        <v>42675</v>
      </c>
      <c r="AC17" s="314" t="s">
        <v>2</v>
      </c>
      <c r="AD17" s="314" t="s">
        <v>2</v>
      </c>
      <c r="AE17" s="277">
        <v>6766040</v>
      </c>
      <c r="AF17" s="314" t="s">
        <v>2</v>
      </c>
      <c r="AG17" s="314" t="s">
        <v>2</v>
      </c>
      <c r="AH17" s="276">
        <v>31796</v>
      </c>
      <c r="AI17" s="314" t="s">
        <v>2193</v>
      </c>
      <c r="AJ17" s="278" t="s">
        <v>2</v>
      </c>
      <c r="AK17" s="279" t="s">
        <v>2</v>
      </c>
      <c r="AL17" s="314" t="s">
        <v>776</v>
      </c>
      <c r="AM17" s="314" t="s">
        <v>69</v>
      </c>
      <c r="AN17" s="314" t="s">
        <v>89</v>
      </c>
      <c r="AO17" s="281" t="s">
        <v>2</v>
      </c>
      <c r="AP17" s="221" t="s">
        <v>949</v>
      </c>
      <c r="AQ17" s="316" t="s">
        <v>2879</v>
      </c>
      <c r="AR17" s="316" t="s">
        <v>2</v>
      </c>
      <c r="AS17" s="282" t="s">
        <v>2566</v>
      </c>
      <c r="AT17" s="316"/>
      <c r="AU17" s="316"/>
      <c r="AV17" s="282"/>
    </row>
    <row r="18" spans="1:49" ht="15" customHeight="1">
      <c r="A18" s="72"/>
      <c r="B18" s="280" t="str">
        <f>IF(Termed!B493="x","","x")</f>
        <v/>
      </c>
      <c r="C18" s="91"/>
      <c r="D18" s="46">
        <v>19980</v>
      </c>
      <c r="E18" s="101">
        <v>755849</v>
      </c>
      <c r="F18" s="47">
        <v>12108</v>
      </c>
      <c r="G18" s="48" t="s">
        <v>1342</v>
      </c>
      <c r="H18" s="48" t="s">
        <v>413</v>
      </c>
      <c r="I18" s="48" t="s">
        <v>4</v>
      </c>
      <c r="J18" s="48" t="s">
        <v>1274</v>
      </c>
      <c r="K18" s="49">
        <v>0.29166666666666669</v>
      </c>
      <c r="L18" s="49">
        <v>0.66666666666666674</v>
      </c>
      <c r="M18" s="49">
        <v>0.375</v>
      </c>
      <c r="N18" s="49" t="s">
        <v>2</v>
      </c>
      <c r="O18" s="49" t="s">
        <v>2</v>
      </c>
      <c r="P18" s="49" t="s">
        <v>2</v>
      </c>
      <c r="Q18" s="50">
        <v>40889</v>
      </c>
      <c r="R18" s="50" t="s">
        <v>72</v>
      </c>
      <c r="S18" s="50" t="s">
        <v>2</v>
      </c>
      <c r="T18" s="103">
        <f t="shared" ca="1" si="1"/>
        <v>1831</v>
      </c>
      <c r="U18" s="48" t="s">
        <v>2241</v>
      </c>
      <c r="V18" s="50">
        <v>42584</v>
      </c>
      <c r="W18" s="50">
        <v>42585</v>
      </c>
      <c r="X18" s="50" t="s">
        <v>2</v>
      </c>
      <c r="Y18" s="50" t="s">
        <v>2</v>
      </c>
      <c r="Z18" s="48" t="s">
        <v>2</v>
      </c>
      <c r="AA18" s="48" t="s">
        <v>2</v>
      </c>
      <c r="AB18" s="48" t="s">
        <v>2</v>
      </c>
      <c r="AC18" s="48" t="s">
        <v>2</v>
      </c>
      <c r="AD18" s="48" t="s">
        <v>2</v>
      </c>
      <c r="AE18" s="51">
        <v>2307250</v>
      </c>
      <c r="AF18" s="48" t="s">
        <v>2</v>
      </c>
      <c r="AG18" s="48" t="s">
        <v>2</v>
      </c>
      <c r="AH18" s="276">
        <v>32755</v>
      </c>
      <c r="AI18" s="48" t="s">
        <v>2189</v>
      </c>
      <c r="AJ18" s="126" t="s">
        <v>2</v>
      </c>
      <c r="AK18" s="128" t="s">
        <v>2</v>
      </c>
      <c r="AL18" s="48" t="s">
        <v>776</v>
      </c>
      <c r="AM18" s="48" t="s">
        <v>69</v>
      </c>
      <c r="AN18" s="48" t="s">
        <v>89</v>
      </c>
      <c r="AO18" s="96" t="s">
        <v>2</v>
      </c>
      <c r="AP18" s="96" t="s">
        <v>1401</v>
      </c>
      <c r="AQ18" s="96" t="s">
        <v>1376</v>
      </c>
      <c r="AR18" s="96" t="s">
        <v>2</v>
      </c>
      <c r="AS18" s="97" t="s">
        <v>1423</v>
      </c>
      <c r="AT18" s="209"/>
      <c r="AU18" s="96"/>
      <c r="AV18" s="96"/>
      <c r="AW18" s="96"/>
    </row>
    <row r="19" spans="1:49" ht="15" customHeight="1">
      <c r="A19" s="72"/>
      <c r="B19" s="280" t="str">
        <f>IF(B18="x","","x")</f>
        <v>x</v>
      </c>
      <c r="C19" s="91"/>
      <c r="D19" s="46">
        <v>19982</v>
      </c>
      <c r="E19" s="101">
        <v>755809</v>
      </c>
      <c r="F19" s="47">
        <v>12118</v>
      </c>
      <c r="G19" s="48" t="s">
        <v>1344</v>
      </c>
      <c r="H19" s="48" t="s">
        <v>413</v>
      </c>
      <c r="I19" s="48" t="s">
        <v>4</v>
      </c>
      <c r="J19" s="48" t="s">
        <v>1274</v>
      </c>
      <c r="K19" s="49">
        <v>0.33333333333333331</v>
      </c>
      <c r="L19" s="49">
        <v>0.70833333333333337</v>
      </c>
      <c r="M19" s="49">
        <v>0.375</v>
      </c>
      <c r="N19" s="49" t="s">
        <v>2</v>
      </c>
      <c r="O19" s="49" t="s">
        <v>2</v>
      </c>
      <c r="P19" s="49" t="s">
        <v>2</v>
      </c>
      <c r="Q19" s="50">
        <v>40889</v>
      </c>
      <c r="R19" s="50" t="s">
        <v>72</v>
      </c>
      <c r="S19" s="50" t="s">
        <v>2</v>
      </c>
      <c r="T19" s="103">
        <f t="shared" ca="1" si="1"/>
        <v>1831</v>
      </c>
      <c r="U19" s="48" t="s">
        <v>2241</v>
      </c>
      <c r="V19" s="50">
        <v>42675</v>
      </c>
      <c r="W19" s="50">
        <v>42677</v>
      </c>
      <c r="X19" s="50" t="s">
        <v>2</v>
      </c>
      <c r="Y19" s="50" t="s">
        <v>2</v>
      </c>
      <c r="Z19" s="48" t="s">
        <v>2</v>
      </c>
      <c r="AA19" s="48" t="s">
        <v>2</v>
      </c>
      <c r="AB19" s="48" t="s">
        <v>2</v>
      </c>
      <c r="AC19" s="48" t="s">
        <v>2</v>
      </c>
      <c r="AD19" s="48" t="s">
        <v>2</v>
      </c>
      <c r="AE19" s="51">
        <v>3276010</v>
      </c>
      <c r="AF19" s="48" t="s">
        <v>2</v>
      </c>
      <c r="AG19" s="48" t="s">
        <v>2</v>
      </c>
      <c r="AH19" s="276">
        <v>31910</v>
      </c>
      <c r="AI19" s="48" t="s">
        <v>2195</v>
      </c>
      <c r="AJ19" s="53" t="s">
        <v>2</v>
      </c>
      <c r="AK19" s="113" t="s">
        <v>2</v>
      </c>
      <c r="AL19" s="48" t="s">
        <v>776</v>
      </c>
      <c r="AM19" s="48" t="s">
        <v>69</v>
      </c>
      <c r="AN19" s="48" t="s">
        <v>89</v>
      </c>
      <c r="AO19" s="96" t="s">
        <v>2</v>
      </c>
      <c r="AP19" s="96" t="s">
        <v>1403</v>
      </c>
      <c r="AQ19" s="96" t="s">
        <v>1378</v>
      </c>
      <c r="AR19" s="96" t="s">
        <v>2</v>
      </c>
      <c r="AS19" s="97" t="s">
        <v>1425</v>
      </c>
      <c r="AT19" s="209"/>
      <c r="AU19" s="96"/>
      <c r="AV19" s="96"/>
      <c r="AW19" s="96"/>
    </row>
    <row r="20" spans="1:49" ht="15" customHeight="1">
      <c r="A20" s="72"/>
      <c r="B20" s="280" t="str">
        <f>IF(B19="x","","x")</f>
        <v/>
      </c>
      <c r="C20" s="91"/>
      <c r="D20" s="46">
        <v>10374</v>
      </c>
      <c r="E20" s="101">
        <v>688628</v>
      </c>
      <c r="F20" s="47">
        <v>12112</v>
      </c>
      <c r="G20" s="48" t="s">
        <v>1345</v>
      </c>
      <c r="H20" s="48" t="s">
        <v>776</v>
      </c>
      <c r="I20" s="48" t="s">
        <v>5</v>
      </c>
      <c r="J20" s="48" t="s">
        <v>1359</v>
      </c>
      <c r="K20" s="49">
        <v>0.3125</v>
      </c>
      <c r="L20" s="49">
        <v>0.6875</v>
      </c>
      <c r="M20" s="49">
        <v>0.375</v>
      </c>
      <c r="N20" s="49" t="s">
        <v>2</v>
      </c>
      <c r="O20" s="49" t="s">
        <v>2</v>
      </c>
      <c r="P20" s="49" t="s">
        <v>2</v>
      </c>
      <c r="Q20" s="50">
        <v>39834</v>
      </c>
      <c r="R20" s="50" t="s">
        <v>72</v>
      </c>
      <c r="S20" s="50" t="s">
        <v>2</v>
      </c>
      <c r="T20" s="103">
        <f t="shared" ca="1" si="1"/>
        <v>2886</v>
      </c>
      <c r="U20" s="48" t="s">
        <v>2224</v>
      </c>
      <c r="V20" s="50">
        <v>42695</v>
      </c>
      <c r="W20" s="50">
        <v>42695</v>
      </c>
      <c r="X20" s="50">
        <v>42724</v>
      </c>
      <c r="Y20" s="50" t="s">
        <v>2</v>
      </c>
      <c r="Z20" s="48" t="s">
        <v>2</v>
      </c>
      <c r="AA20" s="48" t="s">
        <v>2</v>
      </c>
      <c r="AB20" s="48" t="s">
        <v>2</v>
      </c>
      <c r="AC20" s="48" t="s">
        <v>2</v>
      </c>
      <c r="AD20" s="48" t="s">
        <v>2</v>
      </c>
      <c r="AE20" s="51">
        <v>8450450</v>
      </c>
      <c r="AF20" s="48" t="s">
        <v>2</v>
      </c>
      <c r="AG20" s="48" t="s">
        <v>2</v>
      </c>
      <c r="AH20" s="276">
        <v>29634</v>
      </c>
      <c r="AI20" s="48" t="s">
        <v>2194</v>
      </c>
      <c r="AJ20" s="53" t="s">
        <v>2</v>
      </c>
      <c r="AK20" s="113" t="s">
        <v>2</v>
      </c>
      <c r="AL20" s="48" t="s">
        <v>776</v>
      </c>
      <c r="AM20" s="48" t="s">
        <v>69</v>
      </c>
      <c r="AN20" s="48" t="s">
        <v>89</v>
      </c>
      <c r="AO20" s="96" t="s">
        <v>2</v>
      </c>
      <c r="AP20" s="96" t="s">
        <v>1404</v>
      </c>
      <c r="AQ20" s="96" t="s">
        <v>1379</v>
      </c>
      <c r="AR20" s="96" t="s">
        <v>2</v>
      </c>
      <c r="AS20" s="282" t="s">
        <v>1426</v>
      </c>
      <c r="AT20" s="209"/>
      <c r="AU20" s="96"/>
      <c r="AV20" s="96"/>
      <c r="AW20" s="96"/>
    </row>
    <row r="21" spans="1:49" ht="15" customHeight="1">
      <c r="A21" s="72"/>
      <c r="B21" s="280" t="str">
        <f>IF(B20="x","","x")</f>
        <v>x</v>
      </c>
      <c r="C21" s="91"/>
      <c r="D21" s="46">
        <v>17257</v>
      </c>
      <c r="E21" s="101">
        <v>730570</v>
      </c>
      <c r="F21" s="47">
        <v>12139</v>
      </c>
      <c r="G21" s="48" t="s">
        <v>1346</v>
      </c>
      <c r="H21" s="48" t="s">
        <v>413</v>
      </c>
      <c r="I21" s="48" t="s">
        <v>6</v>
      </c>
      <c r="J21" s="48" t="s">
        <v>1274</v>
      </c>
      <c r="K21" s="49">
        <v>0.29166666666666669</v>
      </c>
      <c r="L21" s="49">
        <v>0.66666666666666674</v>
      </c>
      <c r="M21" s="49">
        <v>0.375</v>
      </c>
      <c r="N21" s="49" t="s">
        <v>2</v>
      </c>
      <c r="O21" s="49" t="s">
        <v>2</v>
      </c>
      <c r="P21" s="49" t="s">
        <v>2</v>
      </c>
      <c r="Q21" s="50">
        <v>40695</v>
      </c>
      <c r="R21" s="50" t="s">
        <v>72</v>
      </c>
      <c r="S21" s="50" t="s">
        <v>2</v>
      </c>
      <c r="T21" s="103">
        <f t="shared" ca="1" si="1"/>
        <v>2025</v>
      </c>
      <c r="U21" s="48" t="s">
        <v>2241</v>
      </c>
      <c r="V21" s="50">
        <v>42410</v>
      </c>
      <c r="W21" s="50">
        <v>42410</v>
      </c>
      <c r="X21" s="50" t="s">
        <v>2</v>
      </c>
      <c r="Y21" s="50" t="s">
        <v>2</v>
      </c>
      <c r="Z21" s="48" t="s">
        <v>2</v>
      </c>
      <c r="AA21" s="48" t="s">
        <v>2</v>
      </c>
      <c r="AB21" s="48" t="s">
        <v>2</v>
      </c>
      <c r="AC21" s="48" t="s">
        <v>2</v>
      </c>
      <c r="AD21" s="48" t="s">
        <v>2</v>
      </c>
      <c r="AE21" s="51">
        <v>5283140</v>
      </c>
      <c r="AF21" s="48" t="s">
        <v>2</v>
      </c>
      <c r="AG21" s="48" t="s">
        <v>2</v>
      </c>
      <c r="AH21" s="276">
        <v>23982</v>
      </c>
      <c r="AI21" s="48" t="s">
        <v>2191</v>
      </c>
      <c r="AJ21" s="53" t="s">
        <v>2</v>
      </c>
      <c r="AK21" s="113" t="s">
        <v>2</v>
      </c>
      <c r="AL21" s="48" t="s">
        <v>776</v>
      </c>
      <c r="AM21" s="48" t="s">
        <v>69</v>
      </c>
      <c r="AN21" s="48" t="s">
        <v>89</v>
      </c>
      <c r="AO21" s="96" t="s">
        <v>2</v>
      </c>
      <c r="AP21" s="288" t="s">
        <v>2</v>
      </c>
      <c r="AQ21" s="96" t="s">
        <v>1380</v>
      </c>
      <c r="AR21" s="96" t="s">
        <v>2</v>
      </c>
      <c r="AS21" s="97" t="s">
        <v>1427</v>
      </c>
      <c r="AT21" s="209"/>
      <c r="AU21" s="96"/>
      <c r="AV21" s="96"/>
      <c r="AW21" s="96"/>
    </row>
    <row r="22" spans="1:49" ht="15" customHeight="1">
      <c r="A22" s="72"/>
      <c r="B22" s="280" t="str">
        <f>IF(B21="x","","x")</f>
        <v/>
      </c>
      <c r="C22" s="91"/>
      <c r="D22" s="46">
        <v>26050</v>
      </c>
      <c r="E22" s="101">
        <v>813623</v>
      </c>
      <c r="F22" s="47">
        <v>12048</v>
      </c>
      <c r="G22" s="48" t="s">
        <v>1348</v>
      </c>
      <c r="H22" s="48" t="s">
        <v>413</v>
      </c>
      <c r="I22" s="314" t="s">
        <v>4</v>
      </c>
      <c r="J22" s="48" t="s">
        <v>1274</v>
      </c>
      <c r="K22" s="49">
        <v>0.59722222222222221</v>
      </c>
      <c r="L22" s="49">
        <v>0.86111111111111116</v>
      </c>
      <c r="M22" s="49">
        <v>0.2638888888888889</v>
      </c>
      <c r="N22" s="49" t="s">
        <v>2</v>
      </c>
      <c r="O22" s="49" t="s">
        <v>2</v>
      </c>
      <c r="P22" s="49" t="s">
        <v>2</v>
      </c>
      <c r="Q22" s="50">
        <v>41494</v>
      </c>
      <c r="R22" s="50" t="s">
        <v>72</v>
      </c>
      <c r="S22" s="50" t="s">
        <v>2</v>
      </c>
      <c r="T22" s="103">
        <f t="shared" ca="1" si="1"/>
        <v>1226</v>
      </c>
      <c r="U22" s="48" t="s">
        <v>2241</v>
      </c>
      <c r="V22" s="50">
        <v>42583</v>
      </c>
      <c r="W22" s="50">
        <v>42612</v>
      </c>
      <c r="X22" s="227" t="s">
        <v>2</v>
      </c>
      <c r="Y22" s="50" t="s">
        <v>2</v>
      </c>
      <c r="Z22" s="48" t="s">
        <v>2</v>
      </c>
      <c r="AA22" s="48" t="s">
        <v>2</v>
      </c>
      <c r="AB22" s="48" t="s">
        <v>2</v>
      </c>
      <c r="AC22" s="48" t="s">
        <v>2</v>
      </c>
      <c r="AD22" s="48" t="s">
        <v>2</v>
      </c>
      <c r="AE22" s="51" t="s">
        <v>2</v>
      </c>
      <c r="AF22" s="48" t="s">
        <v>2</v>
      </c>
      <c r="AG22" s="48" t="s">
        <v>2</v>
      </c>
      <c r="AH22" s="276" t="s">
        <v>2</v>
      </c>
      <c r="AI22" s="48" t="s">
        <v>2</v>
      </c>
      <c r="AJ22" s="53" t="s">
        <v>2</v>
      </c>
      <c r="AK22" s="113" t="s">
        <v>2</v>
      </c>
      <c r="AL22" s="48" t="s">
        <v>776</v>
      </c>
      <c r="AM22" s="48" t="s">
        <v>69</v>
      </c>
      <c r="AN22" s="48" t="s">
        <v>89</v>
      </c>
      <c r="AO22" s="96" t="s">
        <v>2</v>
      </c>
      <c r="AP22" s="96" t="s">
        <v>1406</v>
      </c>
      <c r="AQ22" s="96" t="s">
        <v>1382</v>
      </c>
      <c r="AR22" s="96" t="s">
        <v>2</v>
      </c>
      <c r="AS22" s="97" t="s">
        <v>1429</v>
      </c>
      <c r="AT22" s="209"/>
      <c r="AU22" s="96"/>
      <c r="AV22" s="96"/>
      <c r="AW22" s="96"/>
    </row>
    <row r="23" spans="1:49" ht="15" customHeight="1">
      <c r="A23" s="72"/>
      <c r="B23" s="280" t="str">
        <f>IF(B22="x","","x")</f>
        <v>x</v>
      </c>
      <c r="C23" s="91"/>
      <c r="D23" s="46">
        <v>19652</v>
      </c>
      <c r="E23" s="101">
        <v>751796</v>
      </c>
      <c r="F23" s="47">
        <v>17158</v>
      </c>
      <c r="G23" s="48" t="s">
        <v>1349</v>
      </c>
      <c r="H23" s="48" t="s">
        <v>413</v>
      </c>
      <c r="I23" s="48" t="s">
        <v>4</v>
      </c>
      <c r="J23" s="48" t="s">
        <v>1274</v>
      </c>
      <c r="K23" s="49">
        <v>0.45833333333333331</v>
      </c>
      <c r="L23" s="49">
        <v>0.72222222222222221</v>
      </c>
      <c r="M23" s="49">
        <v>0.2638888888888889</v>
      </c>
      <c r="N23" s="49" t="s">
        <v>2</v>
      </c>
      <c r="O23" s="49" t="s">
        <v>2</v>
      </c>
      <c r="P23" s="49" t="s">
        <v>2</v>
      </c>
      <c r="Q23" s="50">
        <v>40864</v>
      </c>
      <c r="R23" s="50" t="s">
        <v>72</v>
      </c>
      <c r="S23" s="50" t="s">
        <v>2</v>
      </c>
      <c r="T23" s="103">
        <f t="shared" ca="1" si="1"/>
        <v>1856</v>
      </c>
      <c r="U23" s="48" t="s">
        <v>2241</v>
      </c>
      <c r="V23" s="50">
        <v>42424</v>
      </c>
      <c r="W23" s="50">
        <v>42424</v>
      </c>
      <c r="X23" s="50" t="s">
        <v>2</v>
      </c>
      <c r="Y23" s="50" t="s">
        <v>2</v>
      </c>
      <c r="Z23" s="48" t="s">
        <v>2</v>
      </c>
      <c r="AA23" s="48" t="s">
        <v>2</v>
      </c>
      <c r="AB23" s="48" t="s">
        <v>2</v>
      </c>
      <c r="AC23" s="48" t="s">
        <v>2</v>
      </c>
      <c r="AD23" s="48" t="s">
        <v>2</v>
      </c>
      <c r="AE23" s="51" t="s">
        <v>1436</v>
      </c>
      <c r="AF23" s="48" t="s">
        <v>2</v>
      </c>
      <c r="AG23" s="48" t="s">
        <v>2</v>
      </c>
      <c r="AH23" s="276">
        <v>21223</v>
      </c>
      <c r="AI23" s="48" t="s">
        <v>2189</v>
      </c>
      <c r="AJ23" s="53" t="s">
        <v>2</v>
      </c>
      <c r="AK23" s="113" t="s">
        <v>2</v>
      </c>
      <c r="AL23" s="48" t="s">
        <v>776</v>
      </c>
      <c r="AM23" s="48" t="s">
        <v>69</v>
      </c>
      <c r="AN23" s="48" t="s">
        <v>89</v>
      </c>
      <c r="AO23" s="96" t="s">
        <v>2</v>
      </c>
      <c r="AP23" s="96" t="s">
        <v>1407</v>
      </c>
      <c r="AQ23" s="96" t="s">
        <v>1383</v>
      </c>
      <c r="AR23" s="96" t="s">
        <v>2</v>
      </c>
      <c r="AS23" s="97" t="s">
        <v>2</v>
      </c>
      <c r="AT23" s="209"/>
      <c r="AU23" s="96"/>
      <c r="AV23" s="96"/>
      <c r="AW23" s="96"/>
    </row>
    <row r="24" spans="1:49" ht="15" customHeight="1">
      <c r="A24" s="72"/>
      <c r="B24" s="280" t="e">
        <f>IF(#REF!="x","","x")</f>
        <v>#REF!</v>
      </c>
      <c r="C24" s="91"/>
      <c r="D24" s="46">
        <v>22364</v>
      </c>
      <c r="E24" s="101">
        <v>772770</v>
      </c>
      <c r="F24" s="238">
        <v>12905</v>
      </c>
      <c r="G24" s="48" t="s">
        <v>1353</v>
      </c>
      <c r="H24" s="274" t="s">
        <v>2801</v>
      </c>
      <c r="I24" s="48" t="s">
        <v>5</v>
      </c>
      <c r="J24" s="48" t="s">
        <v>7</v>
      </c>
      <c r="K24" s="49">
        <v>0.33333333333333331</v>
      </c>
      <c r="L24" s="49">
        <v>0.68055555555555547</v>
      </c>
      <c r="M24" s="49">
        <v>0.34722222222222227</v>
      </c>
      <c r="N24" s="49" t="s">
        <v>2</v>
      </c>
      <c r="O24" s="49" t="s">
        <v>2</v>
      </c>
      <c r="P24" s="49" t="s">
        <v>2</v>
      </c>
      <c r="Q24" s="50" t="s">
        <v>1362</v>
      </c>
      <c r="R24" s="50" t="s">
        <v>72</v>
      </c>
      <c r="S24" s="50" t="s">
        <v>2</v>
      </c>
      <c r="T24" s="103">
        <f t="shared" ca="1" si="1"/>
        <v>1628</v>
      </c>
      <c r="U24" s="48" t="s">
        <v>2242</v>
      </c>
      <c r="V24" s="50">
        <v>42705</v>
      </c>
      <c r="W24" s="50">
        <v>42705</v>
      </c>
      <c r="X24" s="50">
        <v>42734</v>
      </c>
      <c r="Y24" s="50" t="s">
        <v>2</v>
      </c>
      <c r="Z24" s="48" t="s">
        <v>2</v>
      </c>
      <c r="AA24" s="48" t="s">
        <v>2</v>
      </c>
      <c r="AB24" s="48" t="s">
        <v>2</v>
      </c>
      <c r="AC24" s="48" t="s">
        <v>2</v>
      </c>
      <c r="AD24" s="48" t="s">
        <v>2</v>
      </c>
      <c r="AE24" s="51">
        <v>8490490</v>
      </c>
      <c r="AF24" s="48" t="s">
        <v>2</v>
      </c>
      <c r="AG24" s="48" t="s">
        <v>2</v>
      </c>
      <c r="AH24" s="276">
        <v>34127</v>
      </c>
      <c r="AI24" s="48" t="s">
        <v>2194</v>
      </c>
      <c r="AJ24" s="53" t="s">
        <v>2</v>
      </c>
      <c r="AK24" s="113" t="s">
        <v>2</v>
      </c>
      <c r="AL24" s="274" t="s">
        <v>2801</v>
      </c>
      <c r="AM24" s="48" t="s">
        <v>69</v>
      </c>
      <c r="AN24" s="48" t="s">
        <v>89</v>
      </c>
      <c r="AO24" s="96" t="s">
        <v>2</v>
      </c>
      <c r="AP24" s="96" t="s">
        <v>1411</v>
      </c>
      <c r="AQ24" s="96" t="s">
        <v>1387</v>
      </c>
      <c r="AR24" s="96" t="s">
        <v>2</v>
      </c>
      <c r="AS24" s="97" t="s">
        <v>1433</v>
      </c>
      <c r="AT24" s="209"/>
      <c r="AU24" s="96"/>
      <c r="AV24" s="96"/>
      <c r="AW24" s="96"/>
    </row>
    <row r="25" spans="1:49" ht="15" customHeight="1">
      <c r="A25" s="72"/>
      <c r="B25" s="280" t="e">
        <f>IF(B24="x","","x")</f>
        <v>#REF!</v>
      </c>
      <c r="C25" s="91"/>
      <c r="D25" s="46">
        <v>11223</v>
      </c>
      <c r="E25" s="101">
        <v>689241</v>
      </c>
      <c r="F25" s="47">
        <v>12217</v>
      </c>
      <c r="G25" s="48" t="s">
        <v>1354</v>
      </c>
      <c r="H25" s="274" t="s">
        <v>2801</v>
      </c>
      <c r="I25" s="48" t="s">
        <v>4</v>
      </c>
      <c r="J25" s="48" t="s">
        <v>7</v>
      </c>
      <c r="K25" s="49">
        <v>0.375</v>
      </c>
      <c r="L25" s="49">
        <v>0.72222222222222221</v>
      </c>
      <c r="M25" s="49">
        <v>0.34722222222222227</v>
      </c>
      <c r="N25" s="49" t="s">
        <v>2</v>
      </c>
      <c r="O25" s="49" t="s">
        <v>2</v>
      </c>
      <c r="P25" s="49" t="s">
        <v>2</v>
      </c>
      <c r="Q25" s="50">
        <v>40042</v>
      </c>
      <c r="R25" s="50" t="s">
        <v>72</v>
      </c>
      <c r="S25" s="50" t="s">
        <v>2</v>
      </c>
      <c r="T25" s="103">
        <f t="shared" ca="1" si="1"/>
        <v>2678</v>
      </c>
      <c r="U25" s="48" t="s">
        <v>2242</v>
      </c>
      <c r="V25" s="50" t="s">
        <v>2</v>
      </c>
      <c r="W25" s="50" t="s">
        <v>2</v>
      </c>
      <c r="X25" s="50" t="s">
        <v>2</v>
      </c>
      <c r="Y25" s="50" t="s">
        <v>2</v>
      </c>
      <c r="Z25" s="48" t="s">
        <v>2</v>
      </c>
      <c r="AA25" s="48" t="s">
        <v>2</v>
      </c>
      <c r="AB25" s="48" t="s">
        <v>2</v>
      </c>
      <c r="AC25" s="48" t="s">
        <v>2</v>
      </c>
      <c r="AD25" s="48" t="s">
        <v>2</v>
      </c>
      <c r="AE25" s="51">
        <v>8253650</v>
      </c>
      <c r="AF25" s="48" t="s">
        <v>2</v>
      </c>
      <c r="AG25" s="48" t="s">
        <v>2</v>
      </c>
      <c r="AH25" s="276">
        <v>33399</v>
      </c>
      <c r="AI25" s="48" t="s">
        <v>2194</v>
      </c>
      <c r="AJ25" s="53" t="s">
        <v>2</v>
      </c>
      <c r="AK25" s="113" t="s">
        <v>2</v>
      </c>
      <c r="AL25" s="274" t="s">
        <v>2801</v>
      </c>
      <c r="AM25" s="48" t="s">
        <v>69</v>
      </c>
      <c r="AN25" s="48" t="s">
        <v>89</v>
      </c>
      <c r="AO25" s="96" t="s">
        <v>2</v>
      </c>
      <c r="AP25" s="96" t="s">
        <v>1412</v>
      </c>
      <c r="AQ25" s="96" t="s">
        <v>1388</v>
      </c>
      <c r="AR25" s="96" t="s">
        <v>2</v>
      </c>
      <c r="AS25" s="97" t="s">
        <v>2403</v>
      </c>
      <c r="AT25" s="209"/>
      <c r="AU25" s="96"/>
      <c r="AV25" s="96"/>
      <c r="AW25" s="96"/>
    </row>
    <row r="26" spans="1:49" ht="15" customHeight="1">
      <c r="A26" s="72"/>
      <c r="B26" s="280" t="e">
        <f>IF(B25="x","","x")</f>
        <v>#REF!</v>
      </c>
      <c r="C26" s="91"/>
      <c r="D26" s="46">
        <v>29311</v>
      </c>
      <c r="E26" s="101">
        <v>858689</v>
      </c>
      <c r="F26" s="47">
        <v>10117</v>
      </c>
      <c r="G26" s="48" t="s">
        <v>148</v>
      </c>
      <c r="H26" s="48" t="s">
        <v>1357</v>
      </c>
      <c r="I26" s="314" t="s">
        <v>4</v>
      </c>
      <c r="J26" s="48" t="s">
        <v>1361</v>
      </c>
      <c r="K26" s="49">
        <v>0.375</v>
      </c>
      <c r="L26" s="49">
        <v>0.75</v>
      </c>
      <c r="M26" s="49">
        <v>0.375</v>
      </c>
      <c r="N26" s="49" t="s">
        <v>2</v>
      </c>
      <c r="O26" s="49" t="s">
        <v>2</v>
      </c>
      <c r="P26" s="49" t="s">
        <v>2</v>
      </c>
      <c r="Q26" s="50">
        <v>41918</v>
      </c>
      <c r="R26" s="50" t="s">
        <v>72</v>
      </c>
      <c r="S26" s="50"/>
      <c r="T26" s="103">
        <f t="shared" ca="1" si="1"/>
        <v>802</v>
      </c>
      <c r="U26" s="48" t="s">
        <v>2244</v>
      </c>
      <c r="V26" s="50">
        <v>42597</v>
      </c>
      <c r="W26" s="50">
        <v>42626</v>
      </c>
      <c r="X26" s="50" t="s">
        <v>2</v>
      </c>
      <c r="Y26" s="50" t="s">
        <v>2</v>
      </c>
      <c r="Z26" s="48" t="s">
        <v>2</v>
      </c>
      <c r="AA26" s="48" t="s">
        <v>2</v>
      </c>
      <c r="AB26" s="48" t="s">
        <v>2</v>
      </c>
      <c r="AC26" s="48" t="s">
        <v>2</v>
      </c>
      <c r="AD26" s="48"/>
      <c r="AE26" s="51" t="s">
        <v>710</v>
      </c>
      <c r="AF26" s="48"/>
      <c r="AG26" s="48"/>
      <c r="AH26" s="276">
        <v>34891</v>
      </c>
      <c r="AI26" s="48" t="s">
        <v>2192</v>
      </c>
      <c r="AJ26" s="53"/>
      <c r="AK26" s="113"/>
      <c r="AL26" s="48" t="s">
        <v>2288</v>
      </c>
      <c r="AM26" s="48" t="s">
        <v>69</v>
      </c>
      <c r="AN26" s="48" t="s">
        <v>89</v>
      </c>
      <c r="AO26" s="242" t="s">
        <v>3060</v>
      </c>
      <c r="AP26" s="96" t="s">
        <v>835</v>
      </c>
      <c r="AQ26" s="96" t="s">
        <v>2818</v>
      </c>
      <c r="AR26" s="96" t="s">
        <v>2</v>
      </c>
      <c r="AS26" s="97" t="s">
        <v>1124</v>
      </c>
      <c r="AT26" s="209"/>
      <c r="AU26" s="96"/>
      <c r="AV26" s="96"/>
      <c r="AW26" s="96"/>
    </row>
    <row r="27" spans="1:49" ht="15" customHeight="1">
      <c r="A27" s="72"/>
      <c r="B27" s="280" t="e">
        <f>IF(B26="x","","x")</f>
        <v>#REF!</v>
      </c>
      <c r="C27" s="91"/>
      <c r="D27" s="272">
        <v>10201</v>
      </c>
      <c r="E27" s="283">
        <v>689316</v>
      </c>
      <c r="F27" s="273">
        <v>10013</v>
      </c>
      <c r="G27" s="274" t="s">
        <v>2292</v>
      </c>
      <c r="H27" s="274" t="s">
        <v>1357</v>
      </c>
      <c r="I27" s="274" t="s">
        <v>4</v>
      </c>
      <c r="J27" s="274" t="s">
        <v>1361</v>
      </c>
      <c r="K27" s="49">
        <v>0.33333333333333331</v>
      </c>
      <c r="L27" s="49">
        <v>0.70833333333333337</v>
      </c>
      <c r="M27" s="49">
        <v>0.375</v>
      </c>
      <c r="N27" s="49" t="s">
        <v>2</v>
      </c>
      <c r="O27" s="49" t="s">
        <v>2</v>
      </c>
      <c r="P27" s="49" t="s">
        <v>2</v>
      </c>
      <c r="Q27" s="276">
        <v>39790</v>
      </c>
      <c r="R27" s="276" t="s">
        <v>72</v>
      </c>
      <c r="S27" s="216">
        <v>39790</v>
      </c>
      <c r="T27" s="284">
        <f t="shared" ca="1" si="1"/>
        <v>2930</v>
      </c>
      <c r="U27" s="274" t="s">
        <v>2290</v>
      </c>
      <c r="V27" s="50">
        <v>42248</v>
      </c>
      <c r="W27" s="50" t="s">
        <v>2</v>
      </c>
      <c r="X27" s="50" t="s">
        <v>2</v>
      </c>
      <c r="Y27" s="50" t="s">
        <v>2</v>
      </c>
      <c r="Z27" s="48" t="s">
        <v>2</v>
      </c>
      <c r="AA27" s="48" t="s">
        <v>2</v>
      </c>
      <c r="AB27" s="48" t="s">
        <v>2</v>
      </c>
      <c r="AC27" s="48" t="s">
        <v>2</v>
      </c>
      <c r="AD27" s="215" t="s">
        <v>2288</v>
      </c>
      <c r="AE27" s="277">
        <v>3589160</v>
      </c>
      <c r="AF27" s="215"/>
      <c r="AG27" s="215"/>
      <c r="AH27" s="276">
        <v>29809</v>
      </c>
      <c r="AI27" s="274" t="s">
        <v>2195</v>
      </c>
      <c r="AJ27" s="219"/>
      <c r="AK27" s="225"/>
      <c r="AL27" s="274" t="s">
        <v>2288</v>
      </c>
      <c r="AM27" s="274" t="s">
        <v>69</v>
      </c>
      <c r="AN27" s="274" t="s">
        <v>89</v>
      </c>
      <c r="AO27" s="242" t="s">
        <v>2755</v>
      </c>
      <c r="AP27" s="281" t="s">
        <v>2289</v>
      </c>
      <c r="AQ27" s="281" t="s">
        <v>2291</v>
      </c>
      <c r="AR27" s="226" t="s">
        <v>2</v>
      </c>
      <c r="AS27" s="282" t="s">
        <v>2</v>
      </c>
      <c r="AT27" s="209"/>
      <c r="AU27" s="96"/>
      <c r="AV27" s="96"/>
      <c r="AW27" s="96"/>
    </row>
  </sheetData>
  <autoFilter ref="D7:AS27"/>
  <mergeCells count="2">
    <mergeCell ref="Z6:AB6"/>
    <mergeCell ref="AD6:AK6"/>
  </mergeCells>
  <conditionalFormatting sqref="J5:O5 D20:AG20 D18:G19 I18:AG19 AT27:AW27 AQ13:AW16 AQ8:AQ11 AS8:AS11 AR8:AR12 AT8:AW12 D8:AG16 H27:P27 R27:AD27 AF27:AG27 AJ27:AO27 AR27 D21:E23 G21:G23 F20:F23 D24:H26 I21:AG26 AI8:AP16 AI18:AW26">
    <cfRule type="expression" dxfId="2517" priority="361">
      <formula>$I5&lt;&gt;"Ativo"</formula>
    </cfRule>
    <cfRule type="expression" dxfId="2516" priority="362">
      <formula>$B5="x"</formula>
    </cfRule>
  </conditionalFormatting>
  <conditionalFormatting sqref="V22:X23 V8:Y16 V18 V20:V21 W18:Y23 V24:Y27">
    <cfRule type="expression" dxfId="2515" priority="125">
      <formula>$G8&lt;&gt;"Ativo"</formula>
    </cfRule>
    <cfRule type="expression" dxfId="2514" priority="126">
      <formula>$B8="x"</formula>
    </cfRule>
  </conditionalFormatting>
  <conditionalFormatting sqref="V19">
    <cfRule type="expression" dxfId="2513" priority="123">
      <formula>$G19&lt;&gt;"Ativo"</formula>
    </cfRule>
    <cfRule type="expression" dxfId="2512" priority="124">
      <formula>$B19="x"</formula>
    </cfRule>
  </conditionalFormatting>
  <conditionalFormatting sqref="AQ12">
    <cfRule type="expression" dxfId="2511" priority="89">
      <formula>$I12&lt;&gt;"Ativo"</formula>
    </cfRule>
    <cfRule type="expression" dxfId="2510" priority="90">
      <formula>$B12="x"</formula>
    </cfRule>
  </conditionalFormatting>
  <conditionalFormatting sqref="AQ12">
    <cfRule type="expression" dxfId="2509" priority="87">
      <formula>$I12&lt;&gt;"Ativo"</formula>
    </cfRule>
    <cfRule type="expression" dxfId="2508" priority="88">
      <formula>$B12="x"</formula>
    </cfRule>
  </conditionalFormatting>
  <conditionalFormatting sqref="AS12">
    <cfRule type="expression" dxfId="2507" priority="85">
      <formula>$I12&lt;&gt;"Ativo"</formula>
    </cfRule>
    <cfRule type="expression" dxfId="2506" priority="86">
      <formula>$B12="x"</formula>
    </cfRule>
  </conditionalFormatting>
  <conditionalFormatting sqref="H18">
    <cfRule type="expression" dxfId="2505" priority="83">
      <formula>$I18&lt;&gt;"Ativo"</formula>
    </cfRule>
    <cfRule type="expression" dxfId="2504" priority="84">
      <formula>$B18="x"</formula>
    </cfRule>
  </conditionalFormatting>
  <conditionalFormatting sqref="H19">
    <cfRule type="expression" dxfId="2503" priority="81">
      <formula>$I19&lt;&gt;"Ativo"</formula>
    </cfRule>
    <cfRule type="expression" dxfId="2502" priority="82">
      <formula>$B19="x"</formula>
    </cfRule>
  </conditionalFormatting>
  <conditionalFormatting sqref="H21">
    <cfRule type="expression" dxfId="2501" priority="79">
      <formula>$I21&lt;&gt;"Ativo"</formula>
    </cfRule>
    <cfRule type="expression" dxfId="2500" priority="80">
      <formula>$B21="x"</formula>
    </cfRule>
  </conditionalFormatting>
  <conditionalFormatting sqref="H22">
    <cfRule type="expression" dxfId="2499" priority="75">
      <formula>$I22&lt;&gt;"Ativo"</formula>
    </cfRule>
    <cfRule type="expression" dxfId="2498" priority="76">
      <formula>$B22="x"</formula>
    </cfRule>
  </conditionalFormatting>
  <conditionalFormatting sqref="H23">
    <cfRule type="expression" dxfId="2497" priority="73">
      <formula>$I23&lt;&gt;"Ativo"</formula>
    </cfRule>
    <cfRule type="expression" dxfId="2496" priority="74">
      <formula>$B23="x"</formula>
    </cfRule>
  </conditionalFormatting>
  <conditionalFormatting sqref="H20">
    <cfRule type="expression" dxfId="2495" priority="65">
      <formula>$I20&lt;&gt;"Ativo"</formula>
    </cfRule>
    <cfRule type="expression" dxfId="2494" priority="66">
      <formula>$B20="x"</formula>
    </cfRule>
  </conditionalFormatting>
  <conditionalFormatting sqref="D27:G27">
    <cfRule type="expression" dxfId="2493" priority="57">
      <formula>$I27&lt;&gt;"Ativo"</formula>
    </cfRule>
    <cfRule type="expression" dxfId="2492" priority="58">
      <formula>$B27="x"</formula>
    </cfRule>
  </conditionalFormatting>
  <conditionalFormatting sqref="Q27">
    <cfRule type="expression" dxfId="2491" priority="55">
      <formula>$I27&lt;&gt;"Ativo"</formula>
    </cfRule>
    <cfRule type="expression" dxfId="2490" priority="56">
      <formula>$B27="x"</formula>
    </cfRule>
  </conditionalFormatting>
  <conditionalFormatting sqref="AE27">
    <cfRule type="expression" dxfId="2489" priority="53">
      <formula>$I27&lt;&gt;"Ativo"</formula>
    </cfRule>
    <cfRule type="expression" dxfId="2488" priority="54">
      <formula>$B27="x"</formula>
    </cfRule>
  </conditionalFormatting>
  <conditionalFormatting sqref="AH27:AI27">
    <cfRule type="expression" dxfId="2487" priority="51">
      <formula>$I27&lt;&gt;"Ativo"</formula>
    </cfRule>
    <cfRule type="expression" dxfId="2486" priority="52">
      <formula>$B27="x"</formula>
    </cfRule>
  </conditionalFormatting>
  <conditionalFormatting sqref="AP27">
    <cfRule type="expression" dxfId="2485" priority="49">
      <formula>$I27&lt;&gt;"Ativo"</formula>
    </cfRule>
    <cfRule type="expression" dxfId="2484" priority="50">
      <formula>$B27="x"</formula>
    </cfRule>
  </conditionalFormatting>
  <conditionalFormatting sqref="AS27">
    <cfRule type="expression" dxfId="2483" priority="45">
      <formula>$I27&lt;&gt;"Ativo"</formula>
    </cfRule>
    <cfRule type="expression" dxfId="2482" priority="46">
      <formula>$B27="x"</formula>
    </cfRule>
  </conditionalFormatting>
  <conditionalFormatting sqref="AS27">
    <cfRule type="expression" dxfId="2481" priority="43">
      <formula>$I27&lt;&gt;"Ativo"</formula>
    </cfRule>
    <cfRule type="expression" dxfId="2480" priority="44">
      <formula>$B27="x"</formula>
    </cfRule>
  </conditionalFormatting>
  <conditionalFormatting sqref="AQ27">
    <cfRule type="expression" dxfId="2479" priority="31">
      <formula>$I27&lt;&gt;"Ativo"</formula>
    </cfRule>
    <cfRule type="expression" dxfId="2478" priority="32">
      <formula>$B27="x"</formula>
    </cfRule>
  </conditionalFormatting>
  <conditionalFormatting sqref="J17">
    <cfRule type="expression" dxfId="2477" priority="13">
      <formula>$I17&lt;&gt;"Ativo"</formula>
    </cfRule>
    <cfRule type="expression" dxfId="2476" priority="14">
      <formula>$B17="x"</formula>
    </cfRule>
  </conditionalFormatting>
  <conditionalFormatting sqref="I17">
    <cfRule type="expression" dxfId="2475" priority="11">
      <formula>$I17&lt;&gt;"Ativo"</formula>
    </cfRule>
    <cfRule type="expression" dxfId="2474" priority="12">
      <formula>$B17="x"</formula>
    </cfRule>
  </conditionalFormatting>
  <conditionalFormatting sqref="AL17">
    <cfRule type="expression" dxfId="2473" priority="9">
      <formula>$I17&lt;&gt;"Ativo"</formula>
    </cfRule>
    <cfRule type="expression" dxfId="2472" priority="10">
      <formula>$B17="x"</formula>
    </cfRule>
  </conditionalFormatting>
  <conditionalFormatting sqref="AM17">
    <cfRule type="expression" dxfId="2471" priority="7">
      <formula>$I17&lt;&gt;"Ativo"</formula>
    </cfRule>
    <cfRule type="expression" dxfId="2470" priority="8">
      <formula>$B17="x"</formula>
    </cfRule>
  </conditionalFormatting>
  <conditionalFormatting sqref="AS17">
    <cfRule type="expression" dxfId="2469" priority="5">
      <formula>$I17&lt;&gt;"Ativo"</formula>
    </cfRule>
    <cfRule type="expression" dxfId="2468" priority="6">
      <formula>$B17="x"</formula>
    </cfRule>
  </conditionalFormatting>
  <conditionalFormatting sqref="AH8:AH26">
    <cfRule type="expression" dxfId="2467" priority="1">
      <formula>$I8&lt;&gt;"Ativo"</formula>
    </cfRule>
    <cfRule type="expression" dxfId="2466" priority="2">
      <formula>$B8="x"</formula>
    </cfRule>
  </conditionalFormatting>
  <dataValidations count="2">
    <dataValidation type="list" allowBlank="1" showInputMessage="1" showErrorMessage="1" sqref="Y18:Y27 Y8:Y16">
      <formula1>"DEMITIDO,ABN TREINAMENTO,DESL TREINAMENTO,JUSTA CAUSA,LICENÇA INSS,LICENÇA MATERNIDADE,PEDIU DEMISSÃO"</formula1>
    </dataValidation>
    <dataValidation type="list" allowBlank="1" showInputMessage="1" showErrorMessage="1" sqref="I8:I16 I17:I27">
      <formula1>"Ativo,Backup,Desligado,Férias,Licença,Transferido,Treinamento"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817EF33E-808E-4E8C-A592-A052E79E0635}">
            <xm:f>Production!$G18&lt;&gt;"Ativo"</xm:f>
            <x14:dxf>
              <font>
                <color theme="0" tint="-0.34998626667073579"/>
              </font>
              <fill>
                <patternFill patternType="none">
                  <bgColor auto="1"/>
                </patternFill>
              </fill>
            </x14:dxf>
          </x14:cfRule>
          <x14:cfRule type="expression" priority="16" id="{1C685A66-66B0-446E-A3A4-09D3DB4F94D8}">
            <xm:f>Production!$B18="x"</xm:f>
            <x14:dxf>
              <fill>
                <patternFill>
                  <bgColor theme="0" tint="-4.9989318521683403E-2"/>
                </patternFill>
              </fill>
            </x14:dxf>
          </x14:cfRule>
          <xm:sqref>V17:X17</xm:sqref>
        </x14:conditionalFormatting>
        <x14:conditionalFormatting xmlns:xm="http://schemas.microsoft.com/office/excel/2006/main">
          <x14:cfRule type="expression" priority="17" id="{C8654D36-765D-4CDA-B056-1199BA090C0A}">
            <xm:f>Production!$I18&lt;&gt;"Ativo"</xm:f>
            <x14:dxf>
              <font>
                <color theme="0" tint="-0.34998626667073579"/>
              </font>
              <fill>
                <patternFill patternType="none">
                  <bgColor auto="1"/>
                </patternFill>
              </fill>
            </x14:dxf>
          </x14:cfRule>
          <x14:cfRule type="expression" priority="18" id="{821AD47E-2BDB-4B72-81A2-C2AED4826FCC}">
            <xm:f>Production!$B18="x"</xm:f>
            <x14:dxf>
              <fill>
                <patternFill>
                  <bgColor theme="0" tint="-4.9989318521683403E-2"/>
                </patternFill>
              </fill>
            </x14:dxf>
          </x14:cfRule>
          <xm:sqref>D17:H17 K17:AG17 AN17:AR17 AT17:AV17 AI17:AK17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R74"/>
  <sheetViews>
    <sheetView showGridLines="0" showRowColHeaders="0" topLeftCell="A14" zoomScale="80" zoomScaleNormal="80" workbookViewId="0">
      <selection activeCell="F45" sqref="F45"/>
    </sheetView>
  </sheetViews>
  <sheetFormatPr defaultColWidth="9.140625" defaultRowHeight="15"/>
  <cols>
    <col min="1" max="1" width="1.42578125" style="7" customWidth="1"/>
    <col min="2" max="2" width="1.42578125" style="40" customWidth="1"/>
    <col min="3" max="3" width="2.28515625" style="3" customWidth="1"/>
    <col min="4" max="4" width="39.7109375" style="9" customWidth="1"/>
    <col min="5" max="6" width="11.7109375" style="9" bestFit="1" customWidth="1"/>
    <col min="7" max="13" width="15.28515625" style="9" customWidth="1"/>
    <col min="14" max="14" width="12.85546875" style="10" customWidth="1"/>
    <col min="15" max="15" width="12.85546875" style="10" bestFit="1" customWidth="1"/>
    <col min="16" max="16" width="12.85546875" style="10" customWidth="1"/>
    <col min="17" max="17" width="11.7109375" style="10" customWidth="1"/>
    <col min="18" max="18" width="2.140625" style="10" customWidth="1"/>
    <col min="19" max="16384" width="9.140625" style="9"/>
  </cols>
  <sheetData>
    <row r="1" spans="1:18">
      <c r="A1" s="32" t="s">
        <v>29</v>
      </c>
      <c r="B1" s="39"/>
    </row>
    <row r="2" spans="1:18" ht="15" customHeight="1">
      <c r="A2" s="6"/>
      <c r="B2" s="39"/>
      <c r="F2" s="11"/>
      <c r="G2" s="11"/>
      <c r="H2" s="11"/>
      <c r="I2" s="11"/>
      <c r="J2" s="11"/>
      <c r="K2" s="11"/>
      <c r="L2" s="11"/>
      <c r="M2" s="12"/>
      <c r="N2" s="13"/>
      <c r="O2" s="13"/>
      <c r="P2" s="13"/>
      <c r="Q2" s="13"/>
      <c r="R2" s="13"/>
    </row>
    <row r="3" spans="1:18" ht="15" customHeight="1">
      <c r="A3" s="6"/>
      <c r="B3" s="39"/>
      <c r="C3" s="3">
        <v>10161</v>
      </c>
      <c r="F3" s="11"/>
      <c r="G3" s="11"/>
      <c r="H3" s="11"/>
      <c r="I3" s="11"/>
      <c r="J3" s="11"/>
      <c r="K3" s="11"/>
      <c r="L3" s="11"/>
      <c r="M3" s="12"/>
      <c r="N3" s="13"/>
      <c r="O3" s="13"/>
      <c r="P3" s="13"/>
      <c r="Q3" s="13"/>
      <c r="R3" s="13"/>
    </row>
    <row r="4" spans="1:18" ht="15" customHeight="1">
      <c r="A4" s="6"/>
      <c r="B4" s="39"/>
      <c r="C4" s="3">
        <v>12348</v>
      </c>
      <c r="F4" s="11"/>
      <c r="G4" s="11"/>
      <c r="H4" s="11"/>
      <c r="I4" s="11"/>
      <c r="J4" s="11"/>
      <c r="K4" s="11"/>
      <c r="L4" s="11"/>
      <c r="M4" s="12"/>
      <c r="N4" s="13"/>
      <c r="O4" s="13"/>
      <c r="P4" s="13"/>
      <c r="Q4" s="13"/>
      <c r="R4" s="13"/>
    </row>
    <row r="5" spans="1:18" ht="15" customHeight="1">
      <c r="A5" s="6"/>
      <c r="B5" s="39"/>
      <c r="C5" s="3">
        <v>12577</v>
      </c>
      <c r="F5" s="11"/>
      <c r="G5" s="11"/>
      <c r="H5" s="11"/>
      <c r="I5" s="11"/>
      <c r="J5" s="11"/>
      <c r="K5" s="11"/>
      <c r="L5" s="11"/>
      <c r="M5" s="12"/>
      <c r="N5" s="13"/>
      <c r="O5" s="13"/>
      <c r="P5" s="13"/>
      <c r="Q5" s="13"/>
      <c r="R5" s="13"/>
    </row>
    <row r="6" spans="1:18" ht="15.75" customHeight="1" thickBot="1">
      <c r="A6" s="6"/>
      <c r="B6" s="39"/>
      <c r="C6" s="3">
        <v>12718</v>
      </c>
      <c r="F6" s="14"/>
      <c r="G6" s="14"/>
      <c r="H6" s="14"/>
      <c r="I6" s="14"/>
      <c r="J6" s="14"/>
      <c r="K6" s="14"/>
      <c r="L6" s="14"/>
      <c r="M6" s="15"/>
      <c r="N6" s="16"/>
      <c r="O6" s="16"/>
      <c r="P6" s="16"/>
      <c r="Q6" s="16"/>
      <c r="R6" s="9"/>
    </row>
    <row r="7" spans="1:18" ht="19.5" thickTop="1" thickBot="1">
      <c r="A7" s="6"/>
      <c r="B7" s="37" t="s">
        <v>8</v>
      </c>
      <c r="D7" s="17"/>
      <c r="E7" s="341" t="s">
        <v>21</v>
      </c>
      <c r="F7" s="342"/>
      <c r="G7" s="17"/>
      <c r="H7" s="17"/>
      <c r="I7" s="17"/>
      <c r="J7" s="17"/>
      <c r="K7" s="17"/>
      <c r="L7" s="17"/>
      <c r="M7" s="17"/>
      <c r="N7" s="16"/>
      <c r="O7" s="16"/>
      <c r="P7" s="16"/>
      <c r="Q7" s="16"/>
      <c r="R7" s="9"/>
    </row>
    <row r="8" spans="1:18" ht="17.25" customHeight="1" thickBot="1">
      <c r="A8" s="42"/>
      <c r="B8" s="41" t="str">
        <f t="shared" ref="B8:B70" si="0">IF(B7="x","","x")</f>
        <v/>
      </c>
      <c r="C8" s="33"/>
      <c r="D8" s="57" t="s">
        <v>11</v>
      </c>
      <c r="E8" s="58" t="s">
        <v>28</v>
      </c>
      <c r="F8" s="58" t="s">
        <v>13</v>
      </c>
      <c r="G8" s="59" t="s">
        <v>4</v>
      </c>
      <c r="H8" s="59" t="s">
        <v>10</v>
      </c>
      <c r="I8" s="59" t="s">
        <v>9</v>
      </c>
      <c r="J8" s="59" t="s">
        <v>5</v>
      </c>
      <c r="K8" s="59" t="s">
        <v>6</v>
      </c>
      <c r="L8" s="59" t="s">
        <v>16</v>
      </c>
      <c r="M8" s="59" t="s">
        <v>7</v>
      </c>
      <c r="N8" s="18" t="s">
        <v>22</v>
      </c>
      <c r="O8" s="59" t="s">
        <v>23</v>
      </c>
      <c r="P8" s="60" t="s">
        <v>27</v>
      </c>
      <c r="Q8" s="18" t="s">
        <v>14</v>
      </c>
      <c r="R8" s="9"/>
    </row>
    <row r="9" spans="1:18" ht="17.25" customHeight="1">
      <c r="A9" s="6"/>
      <c r="B9" s="37" t="str">
        <f t="shared" si="0"/>
        <v>x</v>
      </c>
      <c r="C9" s="55" t="s">
        <v>20</v>
      </c>
      <c r="D9" s="19" t="s">
        <v>398</v>
      </c>
      <c r="E9" s="20">
        <v>7.0000000000000007E-2</v>
      </c>
      <c r="F9" s="20">
        <f>IFERROR(($I9+$L9)/($G9+$I9+$L9),0)</f>
        <v>5.7142857142857141E-2</v>
      </c>
      <c r="G9" s="21">
        <f>IFERROR(COUNTIFS(Production!$J:J,$D9,Production!$I:$I,G$8),"")</f>
        <v>33</v>
      </c>
      <c r="H9" s="21">
        <f>IFERROR(COUNTIFS(Production!$J$8:$J$910,$D9,Production!$I$8:$I$910,H$8),"")</f>
        <v>3</v>
      </c>
      <c r="I9" s="21">
        <f>IFERROR(COUNTIFS(Production!$J$8:$J$910,$D9,Production!$I$8:$I$910,I$8),"")</f>
        <v>2</v>
      </c>
      <c r="J9" s="21">
        <f>IFERROR(COUNTIFS(Production!$J$8:$J$910,$D9,Production!$I$8:$I$910,J$8),"")</f>
        <v>1</v>
      </c>
      <c r="K9" s="21">
        <f>IFERROR(COUNTIFS(Production!$J$8:$J$910,$D9,Production!$I$8:$I$910,K$8),"")</f>
        <v>4</v>
      </c>
      <c r="L9" s="21">
        <f>IFERROR(COUNTIFS(Production!$J$8:$J$910,$D9,Production!$I$8:$I$910,L$8),"")</f>
        <v>0</v>
      </c>
      <c r="M9" s="21">
        <f>IFERROR(COUNTIFS(Production!$J$8:$J$910,$D9,Production!$I$8:$I$910,M$8),"")</f>
        <v>2</v>
      </c>
      <c r="N9" s="22">
        <f t="shared" ref="N9" si="1">SUM(G9:M9)</f>
        <v>45</v>
      </c>
      <c r="O9" s="21">
        <f>COUNTIFS(Termed!AJ:AJ,$D9,Termed!AI:AI,"DESL TREINAMENTO")</f>
        <v>0</v>
      </c>
      <c r="P9" s="21">
        <f>COUNTIFS(Termed!AK:AK,$D9,Termed!AJ:AJ,"DESL TREINAMENTO")</f>
        <v>0</v>
      </c>
      <c r="Q9" s="22">
        <f t="shared" ref="Q9" si="2">O9+P9+N9</f>
        <v>45</v>
      </c>
      <c r="R9" s="9"/>
    </row>
    <row r="10" spans="1:18" ht="17.25" customHeight="1">
      <c r="A10" s="6"/>
      <c r="B10" s="37" t="str">
        <f t="shared" si="0"/>
        <v/>
      </c>
      <c r="C10" s="55" t="s">
        <v>20</v>
      </c>
      <c r="D10" s="19" t="s">
        <v>403</v>
      </c>
      <c r="E10" s="20">
        <v>7.0000000000000007E-2</v>
      </c>
      <c r="F10" s="20">
        <f t="shared" ref="F9:F24" si="3">IFERROR(($I10+$L10)/($G10+$I10+$L10),0)</f>
        <v>9.0909090909090912E-2</v>
      </c>
      <c r="G10" s="21">
        <f>IFERROR(COUNTIFS(Production!$J:J,$D10,Production!$I:$I,G$8),"")</f>
        <v>20</v>
      </c>
      <c r="H10" s="21">
        <f>IFERROR(COUNTIFS(Production!$J$8:$J$910,$D10,Production!$I$8:$I$910,H$8),"")</f>
        <v>1</v>
      </c>
      <c r="I10" s="21">
        <f>IFERROR(COUNTIFS(Production!$J$8:$J$910,$D10,Production!$I$8:$I$910,I$8),"")</f>
        <v>2</v>
      </c>
      <c r="J10" s="21">
        <f>IFERROR(COUNTIFS(Production!$J$8:$J$910,$D10,Production!$I$8:$I$910,J$8),"")</f>
        <v>1</v>
      </c>
      <c r="K10" s="21">
        <f>IFERROR(COUNTIFS(Production!$J$8:$J$910,$D10,Production!$I$8:$I$910,K$8),"")</f>
        <v>3</v>
      </c>
      <c r="L10" s="21">
        <f>IFERROR(COUNTIFS(Production!$J$8:$J$910,$D10,Production!$I$8:$I$910,L$8),"")</f>
        <v>0</v>
      </c>
      <c r="M10" s="21">
        <f>IFERROR(COUNTIFS(Production!$J$8:$J$910,$D10,Production!$I$8:$I$910,M$8),"")</f>
        <v>0</v>
      </c>
      <c r="N10" s="22">
        <f t="shared" ref="N10:N24" si="4">SUM(G10:M10)</f>
        <v>27</v>
      </c>
      <c r="O10" s="21">
        <f>COUNTIFS(Termed!AJ:AJ,$D10,Termed!AI:AI,"DESL TREINAMENTO")</f>
        <v>0</v>
      </c>
      <c r="P10" s="21">
        <f>COUNTIFS(Termed!AK:AK,$D10,Termed!AJ:AJ,"DESL TREINAMENTO")</f>
        <v>0</v>
      </c>
      <c r="Q10" s="22">
        <f t="shared" ref="Q10:Q24" si="5">O10+P10+N10</f>
        <v>27</v>
      </c>
      <c r="R10" s="9"/>
    </row>
    <row r="11" spans="1:18" ht="17.25" customHeight="1">
      <c r="A11" s="6"/>
      <c r="B11" s="37" t="str">
        <f t="shared" si="0"/>
        <v>x</v>
      </c>
      <c r="C11" s="55" t="s">
        <v>20</v>
      </c>
      <c r="D11" s="19" t="s">
        <v>392</v>
      </c>
      <c r="E11" s="20">
        <v>0.1</v>
      </c>
      <c r="F11" s="20">
        <f t="shared" si="3"/>
        <v>0</v>
      </c>
      <c r="G11" s="21">
        <f>IFERROR(COUNTIFS(Production!$J:J,$D11,Production!$I:$I,G$8),"")</f>
        <v>4</v>
      </c>
      <c r="H11" s="21">
        <f>IFERROR(COUNTIFS(Production!$J$8:$J$910,$D11,Production!$I$8:$I$910,H$8),"")</f>
        <v>0</v>
      </c>
      <c r="I11" s="21">
        <f>IFERROR(COUNTIFS(Production!$J$8:$J$910,$D11,Production!$I$8:$I$910,I$8),"")</f>
        <v>0</v>
      </c>
      <c r="J11" s="21">
        <f>IFERROR(COUNTIFS(Production!$J$8:$J$910,$D11,Production!$I$8:$I$910,J$8),"")</f>
        <v>0</v>
      </c>
      <c r="K11" s="21">
        <f>IFERROR(COUNTIFS(Production!$J$8:$J$910,$D11,Production!$I$8:$I$910,K$8),"")</f>
        <v>1</v>
      </c>
      <c r="L11" s="21">
        <f>IFERROR(COUNTIFS(Production!$J$8:$J$910,$D11,Production!$I$8:$I$910,L$8),"")</f>
        <v>0</v>
      </c>
      <c r="M11" s="21">
        <f>IFERROR(COUNTIFS(Production!$J$8:$J$910,$D11,Production!$I$8:$I$910,M$8),"")</f>
        <v>0</v>
      </c>
      <c r="N11" s="22">
        <f t="shared" si="4"/>
        <v>5</v>
      </c>
      <c r="O11" s="21">
        <f>COUNTIFS(Termed!AJ:AJ,$D11,Termed!AI:AI,"DESL TREINAMENTO")</f>
        <v>0</v>
      </c>
      <c r="P11" s="21">
        <f>COUNTIFS(Termed!AK:AK,$D11,Termed!AJ:AJ,"DESL TREINAMENTO")</f>
        <v>0</v>
      </c>
      <c r="Q11" s="22">
        <f t="shared" si="5"/>
        <v>5</v>
      </c>
      <c r="R11" s="9"/>
    </row>
    <row r="12" spans="1:18" ht="17.25" customHeight="1">
      <c r="A12" s="6"/>
      <c r="B12" s="37" t="str">
        <f t="shared" si="0"/>
        <v/>
      </c>
      <c r="C12" s="55" t="s">
        <v>20</v>
      </c>
      <c r="D12" s="23" t="s">
        <v>395</v>
      </c>
      <c r="E12" s="24">
        <v>0</v>
      </c>
      <c r="F12" s="24">
        <f t="shared" si="3"/>
        <v>0</v>
      </c>
      <c r="G12" s="25">
        <f>IFERROR(COUNTIFS(Production!$J:J,$D12,Production!$I:$I,G$8),"")</f>
        <v>4</v>
      </c>
      <c r="H12" s="25">
        <f>IFERROR(COUNTIFS(Production!$J$8:$J$910,$D12,Production!$I$8:$I$910,H$8),"")</f>
        <v>0</v>
      </c>
      <c r="I12" s="25">
        <f>IFERROR(COUNTIFS(Production!$J$8:$J$910,$D12,Production!$I$8:$I$910,I$8),"")</f>
        <v>0</v>
      </c>
      <c r="J12" s="25">
        <f>IFERROR(COUNTIFS(Production!$J$8:$J$910,$D12,Production!$I$8:$I$910,J$8),"")</f>
        <v>1</v>
      </c>
      <c r="K12" s="25">
        <f>IFERROR(COUNTIFS(Production!$J$8:$J$910,$D12,Production!$I$8:$I$910,K$8),"")</f>
        <v>0</v>
      </c>
      <c r="L12" s="25">
        <f>IFERROR(COUNTIFS(Production!$J$8:$J$910,$D12,Production!$I$8:$I$910,L$8),"")</f>
        <v>0</v>
      </c>
      <c r="M12" s="25">
        <f>IFERROR(COUNTIFS(Production!$J$8:$J$910,$D12,Production!$I$8:$I$910,M$8),"")</f>
        <v>0</v>
      </c>
      <c r="N12" s="26">
        <f t="shared" si="4"/>
        <v>5</v>
      </c>
      <c r="O12" s="25">
        <f>COUNTIFS(Termed!AJ:AJ,$D12,Termed!AI:AI,"DESL TREINAMENTO")</f>
        <v>0</v>
      </c>
      <c r="P12" s="25">
        <f>COUNTIFS(Termed!AK:AK,$D12,Termed!AJ:AJ,"DESL TREINAMENTO")</f>
        <v>0</v>
      </c>
      <c r="Q12" s="26">
        <f t="shared" si="5"/>
        <v>5</v>
      </c>
      <c r="R12" s="9"/>
    </row>
    <row r="13" spans="1:18" ht="17.25" customHeight="1">
      <c r="A13" s="6"/>
      <c r="B13" s="37" t="str">
        <f t="shared" si="0"/>
        <v>x</v>
      </c>
      <c r="C13" s="55" t="s">
        <v>20</v>
      </c>
      <c r="D13" s="23" t="s">
        <v>2853</v>
      </c>
      <c r="E13" s="24">
        <v>0</v>
      </c>
      <c r="F13" s="24">
        <f t="shared" si="3"/>
        <v>0</v>
      </c>
      <c r="G13" s="25">
        <f>IFERROR(COUNTIFS(Production!$J:J,$D13,Production!$I:$I,G$8),"")</f>
        <v>2</v>
      </c>
      <c r="H13" s="25">
        <f>IFERROR(COUNTIFS(Production!$J$8:$J$910,$D13,Production!$I$8:$I$910,H$8),"")</f>
        <v>0</v>
      </c>
      <c r="I13" s="25">
        <f>IFERROR(COUNTIFS(Production!$J$8:$J$910,$D13,Production!$I$8:$I$910,I$8),"")</f>
        <v>0</v>
      </c>
      <c r="J13" s="25">
        <f>IFERROR(COUNTIFS(Production!$J$8:$J$910,$D13,Production!$I$8:$I$910,J$8),"")</f>
        <v>0</v>
      </c>
      <c r="K13" s="25">
        <f>IFERROR(COUNTIFS(Production!$J$8:$J$910,$D13,Production!$I$8:$I$910,K$8),"")</f>
        <v>0</v>
      </c>
      <c r="L13" s="25">
        <f>IFERROR(COUNTIFS(Production!$J$8:$J$910,$D13,Production!$I$8:$I$910,L$8),"")</f>
        <v>0</v>
      </c>
      <c r="M13" s="25">
        <f>IFERROR(COUNTIFS(Production!$J$8:$J$910,$D13,Production!$I$8:$I$910,M$8),"")</f>
        <v>0</v>
      </c>
      <c r="N13" s="26">
        <f t="shared" si="4"/>
        <v>2</v>
      </c>
      <c r="O13" s="25">
        <f>COUNTIFS(Termed!AJ:AJ,$D13,Termed!AI:AI,"DESL TREINAMENTO")</f>
        <v>0</v>
      </c>
      <c r="P13" s="25">
        <f>COUNTIFS(Termed!AK:AK,$D13,Termed!AJ:AJ,"DESL TREINAMENTO")</f>
        <v>0</v>
      </c>
      <c r="Q13" s="26">
        <f t="shared" si="5"/>
        <v>2</v>
      </c>
      <c r="R13" s="9"/>
    </row>
    <row r="14" spans="1:18" ht="17.25" customHeight="1">
      <c r="A14" s="6"/>
      <c r="B14" s="37" t="str">
        <f t="shared" si="0"/>
        <v/>
      </c>
      <c r="C14" s="55" t="s">
        <v>20</v>
      </c>
      <c r="D14" s="23" t="s">
        <v>396</v>
      </c>
      <c r="E14" s="24">
        <v>0</v>
      </c>
      <c r="F14" s="24">
        <f t="shared" si="3"/>
        <v>0</v>
      </c>
      <c r="G14" s="25">
        <f>IFERROR(COUNTIFS(Production!$J:J,$D14,Production!$I:$I,G$8),"")</f>
        <v>6</v>
      </c>
      <c r="H14" s="25">
        <f>IFERROR(COUNTIFS(Production!$J$8:$J$910,$D14,Production!$I$8:$I$910,H$8),"")</f>
        <v>0</v>
      </c>
      <c r="I14" s="25">
        <f>IFERROR(COUNTIFS(Production!$J$8:$J$910,$D14,Production!$I$8:$I$910,I$8),"")</f>
        <v>0</v>
      </c>
      <c r="J14" s="25">
        <f>IFERROR(COUNTIFS(Production!$J$8:$J$910,$D14,Production!$I$8:$I$910,J$8),"")</f>
        <v>0</v>
      </c>
      <c r="K14" s="25">
        <f>IFERROR(COUNTIFS(Production!$J$8:$J$910,$D14,Production!$I$8:$I$910,K$8),"")</f>
        <v>0</v>
      </c>
      <c r="L14" s="25">
        <f>IFERROR(COUNTIFS(Production!$J$8:$J$910,$D14,Production!$I$8:$I$910,L$8),"")</f>
        <v>0</v>
      </c>
      <c r="M14" s="25">
        <f>IFERROR(COUNTIFS(Production!$J$8:$J$910,$D14,Production!$I$8:$I$910,M$8),"")</f>
        <v>0</v>
      </c>
      <c r="N14" s="26">
        <f t="shared" si="4"/>
        <v>6</v>
      </c>
      <c r="O14" s="25">
        <f>COUNTIFS(Termed!AJ:AJ,$D14,Termed!AI:AI,"DESL TREINAMENTO")</f>
        <v>0</v>
      </c>
      <c r="P14" s="25">
        <f>COUNTIFS(Termed!AK:AK,$D14,Termed!AJ:AJ,"DESL TREINAMENTO")</f>
        <v>0</v>
      </c>
      <c r="Q14" s="26">
        <f t="shared" si="5"/>
        <v>6</v>
      </c>
      <c r="R14" s="9"/>
    </row>
    <row r="15" spans="1:18" ht="17.25" customHeight="1">
      <c r="A15" s="6"/>
      <c r="B15" s="37" t="str">
        <f t="shared" si="0"/>
        <v>x</v>
      </c>
      <c r="C15" s="55" t="s">
        <v>20</v>
      </c>
      <c r="D15" s="23" t="s">
        <v>397</v>
      </c>
      <c r="E15" s="24">
        <v>0</v>
      </c>
      <c r="F15" s="24">
        <f t="shared" si="3"/>
        <v>0</v>
      </c>
      <c r="G15" s="25">
        <f>IFERROR(COUNTIFS(Production!$J:J,$D15,Production!$I:$I,G$8),"")</f>
        <v>0</v>
      </c>
      <c r="H15" s="25">
        <f>IFERROR(COUNTIFS(Production!$J$8:$J$910,$D15,Production!$I$8:$I$910,H$8),"")</f>
        <v>0</v>
      </c>
      <c r="I15" s="25">
        <f>IFERROR(COUNTIFS(Production!$J$8:$J$910,$D15,Production!$I$8:$I$910,I$8),"")</f>
        <v>0</v>
      </c>
      <c r="J15" s="25">
        <f>IFERROR(COUNTIFS(Production!$J$8:$J$910,$D15,Production!$I$8:$I$910,J$8),"")</f>
        <v>0</v>
      </c>
      <c r="K15" s="25">
        <f>IFERROR(COUNTIFS(Production!$J$8:$J$910,$D15,Production!$I$8:$I$910,K$8),"")</f>
        <v>0</v>
      </c>
      <c r="L15" s="25">
        <f>IFERROR(COUNTIFS(Production!$J$8:$J$910,$D15,Production!$I$8:$I$910,L$8),"")</f>
        <v>0</v>
      </c>
      <c r="M15" s="25">
        <f>IFERROR(COUNTIFS(Production!$J$8:$J$910,$D15,Production!$I$8:$I$910,M$8),"")</f>
        <v>0</v>
      </c>
      <c r="N15" s="26">
        <f t="shared" si="4"/>
        <v>0</v>
      </c>
      <c r="O15" s="25">
        <f>COUNTIFS(Termed!AJ:AJ,$D15,Termed!AI:AI,"DESL TREINAMENTO")</f>
        <v>0</v>
      </c>
      <c r="P15" s="25">
        <f>COUNTIFS(Termed!AK:AK,$D15,Termed!AJ:AJ,"DESL TREINAMENTO")</f>
        <v>0</v>
      </c>
      <c r="Q15" s="26">
        <f t="shared" si="5"/>
        <v>0</v>
      </c>
      <c r="R15" s="9"/>
    </row>
    <row r="16" spans="1:18" ht="17.25" customHeight="1">
      <c r="A16" s="6"/>
      <c r="B16" s="37" t="str">
        <f t="shared" si="0"/>
        <v/>
      </c>
      <c r="C16" s="55" t="s">
        <v>20</v>
      </c>
      <c r="D16" s="23" t="s">
        <v>404</v>
      </c>
      <c r="E16" s="24">
        <v>0</v>
      </c>
      <c r="F16" s="24">
        <f t="shared" si="3"/>
        <v>0</v>
      </c>
      <c r="G16" s="25">
        <f>IFERROR(COUNTIFS(Production!$J:J,$D16,Production!$I:$I,G$8),"")</f>
        <v>0</v>
      </c>
      <c r="H16" s="25">
        <f>IFERROR(COUNTIFS(Production!$J$8:$J$910,$D16,Production!$I$8:$I$910,H$8),"")</f>
        <v>0</v>
      </c>
      <c r="I16" s="25">
        <f>IFERROR(COUNTIFS(Production!$J$8:$J$910,$D16,Production!$I$8:$I$910,I$8),"")</f>
        <v>0</v>
      </c>
      <c r="J16" s="25">
        <f>IFERROR(COUNTIFS(Production!$J$8:$J$910,$D16,Production!$I$8:$I$910,J$8),"")</f>
        <v>0</v>
      </c>
      <c r="K16" s="25">
        <f>IFERROR(COUNTIFS(Production!$J$8:$J$910,$D16,Production!$I$8:$I$910,K$8),"")</f>
        <v>1</v>
      </c>
      <c r="L16" s="25">
        <f>IFERROR(COUNTIFS(Production!$J$8:$J$910,$D16,Production!$I$8:$I$910,L$8),"")</f>
        <v>0</v>
      </c>
      <c r="M16" s="25">
        <f>IFERROR(COUNTIFS(Production!$J$8:$J$910,$D16,Production!$I$8:$I$910,M$8),"")</f>
        <v>0</v>
      </c>
      <c r="N16" s="26">
        <f t="shared" si="4"/>
        <v>1</v>
      </c>
      <c r="O16" s="25">
        <f>COUNTIFS(Termed!AJ:AJ,$D16,Termed!AI:AI,"DESL TREINAMENTO")</f>
        <v>0</v>
      </c>
      <c r="P16" s="25">
        <f>COUNTIFS(Termed!AK:AK,$D16,Termed!AJ:AJ,"DESL TREINAMENTO")</f>
        <v>0</v>
      </c>
      <c r="Q16" s="26">
        <f t="shared" si="5"/>
        <v>1</v>
      </c>
      <c r="R16" s="9"/>
    </row>
    <row r="17" spans="1:18" ht="17.25" customHeight="1">
      <c r="A17" s="6"/>
      <c r="B17" s="37"/>
      <c r="C17" s="55"/>
      <c r="D17" s="23" t="s">
        <v>399</v>
      </c>
      <c r="E17" s="24">
        <v>0</v>
      </c>
      <c r="F17" s="24">
        <f t="shared" si="3"/>
        <v>0</v>
      </c>
      <c r="G17" s="25">
        <f>IFERROR(COUNTIFS(Production!$J:J,$D17,Production!$I:$I,G$8),"")</f>
        <v>4</v>
      </c>
      <c r="H17" s="25">
        <f>IFERROR(COUNTIFS(Production!$J$8:$J$910,$D17,Production!$I$8:$I$910,H$8),"")</f>
        <v>0</v>
      </c>
      <c r="I17" s="25">
        <f>IFERROR(COUNTIFS(Production!$J$8:$J$910,$D17,Production!$I$8:$I$910,I$8),"")</f>
        <v>0</v>
      </c>
      <c r="J17" s="25">
        <f>IFERROR(COUNTIFS(Production!$J$8:$J$910,$D17,Production!$I$8:$I$910,J$8),"")</f>
        <v>1</v>
      </c>
      <c r="K17" s="25">
        <f>IFERROR(COUNTIFS(Production!$J$8:$J$910,$D17,Production!$I$8:$I$910,K$8),"")</f>
        <v>0</v>
      </c>
      <c r="L17" s="25">
        <f>IFERROR(COUNTIFS(Production!$J$8:$J$910,$D17,Production!$I$8:$I$910,L$8),"")</f>
        <v>0</v>
      </c>
      <c r="M17" s="25">
        <f>IFERROR(COUNTIFS(Production!$J$8:$J$910,$D17,Production!$I$8:$I$910,M$8),"")</f>
        <v>0</v>
      </c>
      <c r="N17" s="26">
        <f t="shared" ref="N17" si="6">SUM(G17:M17)</f>
        <v>5</v>
      </c>
      <c r="O17" s="25">
        <f>COUNTIFS(Termed!AJ:AJ,$D17,Termed!AI:AI,"DESL TREINAMENTO")</f>
        <v>0</v>
      </c>
      <c r="P17" s="25">
        <f>COUNTIFS(Termed!AK:AK,$D17,Termed!AJ:AJ,"DESL TREINAMENTO")</f>
        <v>0</v>
      </c>
      <c r="Q17" s="26">
        <f t="shared" ref="Q17" si="7">O17+P17+N17</f>
        <v>5</v>
      </c>
      <c r="R17" s="9"/>
    </row>
    <row r="18" spans="1:18" ht="18">
      <c r="A18" s="6"/>
      <c r="B18" s="37" t="str">
        <f>IF(B16="x","","x")</f>
        <v>x</v>
      </c>
      <c r="C18" s="55" t="s">
        <v>20</v>
      </c>
      <c r="D18" s="23" t="s">
        <v>400</v>
      </c>
      <c r="E18" s="24">
        <v>0</v>
      </c>
      <c r="F18" s="24">
        <f t="shared" si="3"/>
        <v>0</v>
      </c>
      <c r="G18" s="25">
        <f>IFERROR(COUNTIFS(Production!$J:J,$D18,Production!$I:$I,G$8),"")</f>
        <v>9</v>
      </c>
      <c r="H18" s="25">
        <f>IFERROR(COUNTIFS(Production!$J$8:$J$910,$D18,Production!$I$8:$I$910,H$8),"")</f>
        <v>0</v>
      </c>
      <c r="I18" s="25">
        <f>IFERROR(COUNTIFS(Production!$J$8:$J$910,$D18,Production!$I$8:$I$910,I$8),"")</f>
        <v>0</v>
      </c>
      <c r="J18" s="25">
        <f>IFERROR(COUNTIFS(Production!$J$8:$J$910,$D18,Production!$I$8:$I$910,J$8),"")</f>
        <v>0</v>
      </c>
      <c r="K18" s="25">
        <f>IFERROR(COUNTIFS(Production!$J$8:$J$910,$D18,Production!$I$8:$I$910,K$8),"")</f>
        <v>0</v>
      </c>
      <c r="L18" s="25">
        <f>IFERROR(COUNTIFS(Production!$J$8:$J$910,$D18,Production!$I$8:$I$910,L$8),"")</f>
        <v>0</v>
      </c>
      <c r="M18" s="25">
        <f>IFERROR(COUNTIFS(Production!$J$8:$J$910,$D18,Production!$I$8:$I$910,M$8),"")</f>
        <v>0</v>
      </c>
      <c r="N18" s="26">
        <f t="shared" si="4"/>
        <v>9</v>
      </c>
      <c r="O18" s="25">
        <f>COUNTIFS(Termed!AJ:AJ,$D18,Termed!AI:AI,"DESL TREINAMENTO")</f>
        <v>0</v>
      </c>
      <c r="P18" s="25">
        <f>COUNTIFS(Termed!AK:AK,$D18,Termed!AJ:AJ,"DESL TREINAMENTO")</f>
        <v>0</v>
      </c>
      <c r="Q18" s="26">
        <f t="shared" si="5"/>
        <v>9</v>
      </c>
      <c r="R18" s="9"/>
    </row>
    <row r="19" spans="1:18" ht="18">
      <c r="A19" s="6"/>
      <c r="B19" s="37"/>
      <c r="C19" s="55"/>
      <c r="D19" s="23" t="s">
        <v>401</v>
      </c>
      <c r="E19" s="24">
        <v>0</v>
      </c>
      <c r="F19" s="24">
        <f t="shared" si="3"/>
        <v>0</v>
      </c>
      <c r="G19" s="25">
        <f>IFERROR(COUNTIFS(Production!$J:J,$D19,Production!$I:$I,G$8),"")</f>
        <v>7</v>
      </c>
      <c r="H19" s="25">
        <f>IFERROR(COUNTIFS(Production!$J$8:$J$910,$D19,Production!$I$8:$I$910,H$8),"")</f>
        <v>0</v>
      </c>
      <c r="I19" s="25">
        <f>IFERROR(COUNTIFS(Production!$J$8:$J$910,$D19,Production!$I$8:$I$910,I$8),"")</f>
        <v>0</v>
      </c>
      <c r="J19" s="25">
        <f>IFERROR(COUNTIFS(Production!$J$8:$J$910,$D19,Production!$I$8:$I$910,J$8),"")</f>
        <v>0</v>
      </c>
      <c r="K19" s="25">
        <f>IFERROR(COUNTIFS(Production!$J$8:$J$910,$D19,Production!$I$8:$I$910,K$8),"")</f>
        <v>0</v>
      </c>
      <c r="L19" s="25">
        <f>IFERROR(COUNTIFS(Production!$J$8:$J$910,$D19,Production!$I$8:$I$910,L$8),"")</f>
        <v>0</v>
      </c>
      <c r="M19" s="25">
        <f>IFERROR(COUNTIFS(Production!$J$8:$J$910,$D19,Production!$I$8:$I$910,M$8),"")</f>
        <v>0</v>
      </c>
      <c r="N19" s="26">
        <f t="shared" si="4"/>
        <v>7</v>
      </c>
      <c r="O19" s="25">
        <f>COUNTIFS(Termed!AJ:AJ,$D19,Termed!AI:AI,"DESL TREINAMENTO")</f>
        <v>0</v>
      </c>
      <c r="P19" s="25">
        <f>COUNTIFS(Termed!AK:AK,$D19,Termed!AJ:AJ,"DESL TREINAMENTO")</f>
        <v>0</v>
      </c>
      <c r="Q19" s="26">
        <f t="shared" si="5"/>
        <v>7</v>
      </c>
      <c r="R19" s="9"/>
    </row>
    <row r="20" spans="1:18" ht="18">
      <c r="A20" s="6"/>
      <c r="B20" s="37"/>
      <c r="C20" s="55"/>
      <c r="D20" s="23" t="s">
        <v>402</v>
      </c>
      <c r="E20" s="24">
        <v>0</v>
      </c>
      <c r="F20" s="24">
        <f t="shared" si="3"/>
        <v>0</v>
      </c>
      <c r="G20" s="25">
        <f>IFERROR(COUNTIFS(Production!$J:J,$D20,Production!$I:$I,G$8),"")</f>
        <v>0</v>
      </c>
      <c r="H20" s="25">
        <f>IFERROR(COUNTIFS(Production!$J$8:$J$910,$D20,Production!$I$8:$I$910,H$8),"")</f>
        <v>0</v>
      </c>
      <c r="I20" s="25">
        <f>IFERROR(COUNTIFS(Production!$J$8:$J$910,$D20,Production!$I$8:$I$910,I$8),"")</f>
        <v>0</v>
      </c>
      <c r="J20" s="25">
        <f>IFERROR(COUNTIFS(Production!$J$8:$J$910,$D20,Production!$I$8:$I$910,J$8),"")</f>
        <v>0</v>
      </c>
      <c r="K20" s="25">
        <f>IFERROR(COUNTIFS(Production!$J$8:$J$910,$D20,Production!$I$8:$I$910,K$8),"")</f>
        <v>0</v>
      </c>
      <c r="L20" s="25">
        <f>IFERROR(COUNTIFS(Production!$J$8:$J$910,$D20,Production!$I$8:$I$910,L$8),"")</f>
        <v>0</v>
      </c>
      <c r="M20" s="25">
        <f>IFERROR(COUNTIFS(Production!$J$8:$J$910,$D20,Production!$I$8:$I$910,M$8),"")</f>
        <v>0</v>
      </c>
      <c r="N20" s="26">
        <f t="shared" si="4"/>
        <v>0</v>
      </c>
      <c r="O20" s="25">
        <f>COUNTIFS(Termed!AJ:AJ,$D20,Termed!AI:AI,"DESL TREINAMENTO")</f>
        <v>0</v>
      </c>
      <c r="P20" s="25">
        <f>COUNTIFS(Termed!AK:AK,$D20,Termed!AJ:AJ,"DESL TREINAMENTO")</f>
        <v>0</v>
      </c>
      <c r="Q20" s="26">
        <f t="shared" si="5"/>
        <v>0</v>
      </c>
      <c r="R20" s="9"/>
    </row>
    <row r="21" spans="1:18" ht="18">
      <c r="A21" s="6"/>
      <c r="B21" s="37"/>
      <c r="C21" s="55"/>
      <c r="D21" s="23" t="s">
        <v>393</v>
      </c>
      <c r="E21" s="24">
        <v>0</v>
      </c>
      <c r="F21" s="24">
        <f t="shared" si="3"/>
        <v>0</v>
      </c>
      <c r="G21" s="25">
        <f>IFERROR(COUNTIFS(Production!$J:J,$D21,Production!$I:$I,G$8),"")</f>
        <v>0</v>
      </c>
      <c r="H21" s="25">
        <f>IFERROR(COUNTIFS(Production!$J$8:$J$910,$D21,Production!$I$8:$I$910,H$8),"")</f>
        <v>0</v>
      </c>
      <c r="I21" s="25">
        <f>IFERROR(COUNTIFS(Production!$J$8:$J$910,$D21,Production!$I$8:$I$910,I$8),"")</f>
        <v>0</v>
      </c>
      <c r="J21" s="25">
        <f>IFERROR(COUNTIFS(Production!$J$8:$J$910,$D21,Production!$I$8:$I$910,J$8),"")</f>
        <v>0</v>
      </c>
      <c r="K21" s="25">
        <f>IFERROR(COUNTIFS(Production!$J$8:$J$910,$D21,Production!$I$8:$I$910,K$8),"")</f>
        <v>0</v>
      </c>
      <c r="L21" s="25">
        <f>IFERROR(COUNTIFS(Production!$J$8:$J$910,$D21,Production!$I$8:$I$910,L$8),"")</f>
        <v>0</v>
      </c>
      <c r="M21" s="25">
        <f>IFERROR(COUNTIFS(Production!$J$8:$J$910,$D21,Production!$I$8:$I$910,M$8),"")</f>
        <v>0</v>
      </c>
      <c r="N21" s="26">
        <f t="shared" si="4"/>
        <v>0</v>
      </c>
      <c r="O21" s="25">
        <f>COUNTIFS(Termed!AJ:AJ,$D21,Termed!AI:AI,"DESL TREINAMENTO")</f>
        <v>0</v>
      </c>
      <c r="P21" s="25">
        <f>COUNTIFS(Termed!AK:AK,$D21,Termed!AJ:AJ,"DESL TREINAMENTO")</f>
        <v>0</v>
      </c>
      <c r="Q21" s="26">
        <f t="shared" si="5"/>
        <v>0</v>
      </c>
      <c r="R21" s="9"/>
    </row>
    <row r="22" spans="1:18" ht="18">
      <c r="A22" s="6"/>
      <c r="B22" s="37"/>
      <c r="C22" s="55"/>
      <c r="D22" s="23" t="s">
        <v>394</v>
      </c>
      <c r="E22" s="24">
        <v>0</v>
      </c>
      <c r="F22" s="24">
        <f t="shared" si="3"/>
        <v>8.3333333333333329E-2</v>
      </c>
      <c r="G22" s="25">
        <f>IFERROR(COUNTIFS(Production!$J:J,$D22,Production!$I:$I,G$8),"")</f>
        <v>11</v>
      </c>
      <c r="H22" s="25">
        <f>IFERROR(COUNTIFS(Production!$J$8:$J$910,$D22,Production!$I$8:$I$910,H$8),"")</f>
        <v>0</v>
      </c>
      <c r="I22" s="25">
        <f>IFERROR(COUNTIFS(Production!$J$8:$J$910,$D22,Production!$I$8:$I$910,I$8),"")</f>
        <v>1</v>
      </c>
      <c r="J22" s="25">
        <f>IFERROR(COUNTIFS(Production!$J$8:$J$910,$D22,Production!$I$8:$I$910,J$8),"")</f>
        <v>1</v>
      </c>
      <c r="K22" s="25">
        <f>IFERROR(COUNTIFS(Production!$J$8:$J$910,$D22,Production!$I$8:$I$910,K$8),"")</f>
        <v>0</v>
      </c>
      <c r="L22" s="25">
        <f>IFERROR(COUNTIFS(Production!$J$8:$J$910,$D22,Production!$I$8:$I$910,L$8),"")</f>
        <v>0</v>
      </c>
      <c r="M22" s="25">
        <f>IFERROR(COUNTIFS(Production!$J$8:$J$910,$D22,Production!$I$8:$I$910,M$8),"")</f>
        <v>0</v>
      </c>
      <c r="N22" s="26">
        <f t="shared" si="4"/>
        <v>13</v>
      </c>
      <c r="O22" s="25">
        <f>COUNTIFS(Termed!AJ:AJ,$D22,Termed!AI:AI,"DESL TREINAMENTO")</f>
        <v>0</v>
      </c>
      <c r="P22" s="25">
        <f>COUNTIFS(Termed!AK:AK,$D22,Termed!AJ:AJ,"DESL TREINAMENTO")</f>
        <v>0</v>
      </c>
      <c r="Q22" s="26">
        <f t="shared" si="5"/>
        <v>13</v>
      </c>
      <c r="R22" s="9"/>
    </row>
    <row r="23" spans="1:18" ht="18">
      <c r="A23" s="6"/>
      <c r="B23" s="37"/>
      <c r="C23" s="55"/>
      <c r="D23" s="23" t="s">
        <v>405</v>
      </c>
      <c r="E23" s="24">
        <v>0</v>
      </c>
      <c r="F23" s="24">
        <f t="shared" si="3"/>
        <v>0</v>
      </c>
      <c r="G23" s="25">
        <f>IFERROR(COUNTIFS(Production!$J:J,$D23,Production!$I:$I,G$8),"")</f>
        <v>11</v>
      </c>
      <c r="H23" s="25">
        <f>IFERROR(COUNTIFS(Production!$J$8:$J$910,$D23,Production!$I$8:$I$910,H$8),"")</f>
        <v>0</v>
      </c>
      <c r="I23" s="25">
        <f>IFERROR(COUNTIFS(Production!$J$8:$J$910,$D23,Production!$I$8:$I$910,I$8),"")</f>
        <v>0</v>
      </c>
      <c r="J23" s="25">
        <f>IFERROR(COUNTIFS(Production!$J$8:$J$910,$D23,Production!$I$8:$I$910,J$8),"")</f>
        <v>1</v>
      </c>
      <c r="K23" s="25">
        <f>IFERROR(COUNTIFS(Production!$J$8:$J$910,$D23,Production!$I$8:$I$910,K$8),"")</f>
        <v>2</v>
      </c>
      <c r="L23" s="25">
        <f>IFERROR(COUNTIFS(Production!$J$8:$J$910,$D23,Production!$I$8:$I$910,L$8),"")</f>
        <v>0</v>
      </c>
      <c r="M23" s="25">
        <f>IFERROR(COUNTIFS(Production!$J$8:$J$910,$D23,Production!$I$8:$I$910,M$8),"")</f>
        <v>0</v>
      </c>
      <c r="N23" s="26">
        <f t="shared" ref="N23" si="8">SUM(G23:M23)</f>
        <v>14</v>
      </c>
      <c r="O23" s="25">
        <f>COUNTIFS(Termed!AJ:AJ,$D23,Termed!AI:AI,"DESL TREINAMENTO")</f>
        <v>0</v>
      </c>
      <c r="P23" s="25">
        <f>COUNTIFS(Termed!AK:AK,$D23,Termed!AJ:AJ,"DESL TREINAMENTO")</f>
        <v>0</v>
      </c>
      <c r="Q23" s="26">
        <f t="shared" ref="Q23" si="9">O23+P23+N23</f>
        <v>14</v>
      </c>
      <c r="R23" s="9"/>
    </row>
    <row r="24" spans="1:18" ht="18">
      <c r="A24" s="6"/>
      <c r="B24" s="37"/>
      <c r="C24" s="55"/>
      <c r="D24" s="23" t="s">
        <v>406</v>
      </c>
      <c r="E24" s="24">
        <v>0</v>
      </c>
      <c r="F24" s="24">
        <f t="shared" si="3"/>
        <v>0</v>
      </c>
      <c r="G24" s="25">
        <f>IFERROR(COUNTIFS(Production!$J:J,$D24,Production!$I:$I,G$8),"")</f>
        <v>7</v>
      </c>
      <c r="H24" s="25">
        <f>IFERROR(COUNTIFS(Production!$J$8:$J$910,$D24,Production!$I$8:$I$910,H$8),"")</f>
        <v>0</v>
      </c>
      <c r="I24" s="25">
        <f>IFERROR(COUNTIFS(Production!$J$8:$J$910,$D24,Production!$I$8:$I$910,I$8),"")</f>
        <v>0</v>
      </c>
      <c r="J24" s="25">
        <f>IFERROR(COUNTIFS(Production!$J$8:$J$910,$D24,Production!$I$8:$I$910,J$8),"")</f>
        <v>2</v>
      </c>
      <c r="K24" s="25">
        <f>IFERROR(COUNTIFS(Production!$J$8:$J$910,$D24,Production!$I$8:$I$910,K$8),"")</f>
        <v>0</v>
      </c>
      <c r="L24" s="25">
        <f>IFERROR(COUNTIFS(Production!$J$8:$J$910,$D24,Production!$I$8:$I$910,L$8),"")</f>
        <v>0</v>
      </c>
      <c r="M24" s="25">
        <f>IFERROR(COUNTIFS(Production!$J$8:$J$910,$D24,Production!$I$8:$I$910,M$8),"")</f>
        <v>0</v>
      </c>
      <c r="N24" s="26">
        <f t="shared" si="4"/>
        <v>9</v>
      </c>
      <c r="O24" s="25">
        <f>COUNTIFS(Termed!AJ:AJ,$D24,Termed!AI:AI,"DESL TREINAMENTO")</f>
        <v>0</v>
      </c>
      <c r="P24" s="25">
        <f>COUNTIFS(Termed!AK:AK,$D24,Termed!AJ:AJ,"DESL TREINAMENTO")</f>
        <v>0</v>
      </c>
      <c r="Q24" s="26">
        <f t="shared" si="5"/>
        <v>9</v>
      </c>
      <c r="R24" s="9"/>
    </row>
    <row r="25" spans="1:18" ht="17.25" customHeight="1" thickBot="1">
      <c r="A25" s="6"/>
      <c r="B25" s="37" t="e">
        <f>IF(#REF!="x","","x")</f>
        <v>#REF!</v>
      </c>
      <c r="C25" s="33"/>
      <c r="D25" s="27" t="s">
        <v>24</v>
      </c>
      <c r="E25" s="28">
        <f>IFERROR(SUMPRODUCT(E9:E24,N9:N24)/N25,"")</f>
        <v>3.7432432432432439E-2</v>
      </c>
      <c r="F25" s="28">
        <f>IFERROR(($I25+L25)/(G25+I25+L25),0)</f>
        <v>4.065040650406504E-2</v>
      </c>
      <c r="G25" s="29">
        <f t="shared" ref="G25:Q25" si="10">SUM(G9:G24)</f>
        <v>118</v>
      </c>
      <c r="H25" s="29">
        <f t="shared" si="10"/>
        <v>4</v>
      </c>
      <c r="I25" s="29">
        <f t="shared" si="10"/>
        <v>5</v>
      </c>
      <c r="J25" s="29">
        <f t="shared" si="10"/>
        <v>8</v>
      </c>
      <c r="K25" s="29">
        <f t="shared" si="10"/>
        <v>11</v>
      </c>
      <c r="L25" s="29">
        <f t="shared" si="10"/>
        <v>0</v>
      </c>
      <c r="M25" s="29">
        <f t="shared" si="10"/>
        <v>2</v>
      </c>
      <c r="N25" s="30">
        <f t="shared" si="10"/>
        <v>148</v>
      </c>
      <c r="O25" s="29">
        <f t="shared" si="10"/>
        <v>0</v>
      </c>
      <c r="P25" s="29">
        <f t="shared" si="10"/>
        <v>0</v>
      </c>
      <c r="Q25" s="30">
        <f t="shared" si="10"/>
        <v>148</v>
      </c>
      <c r="R25" s="9"/>
    </row>
    <row r="26" spans="1:18" ht="19.5" customHeight="1">
      <c r="A26" s="6"/>
      <c r="B26" s="37" t="e">
        <f t="shared" si="0"/>
        <v>#REF!</v>
      </c>
      <c r="C26" s="33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9"/>
    </row>
    <row r="27" spans="1:18" ht="17.25" customHeight="1" thickBot="1">
      <c r="A27" s="6"/>
      <c r="B27" s="37" t="e">
        <f t="shared" si="0"/>
        <v>#REF!</v>
      </c>
      <c r="C27" s="33"/>
      <c r="N27" s="9"/>
      <c r="O27" s="9"/>
      <c r="P27" s="9"/>
      <c r="Q27" s="9"/>
      <c r="R27" s="9"/>
    </row>
    <row r="28" spans="1:18" ht="17.25" customHeight="1" thickTop="1" thickBot="1">
      <c r="A28" s="6"/>
      <c r="B28" s="37" t="e">
        <f t="shared" si="0"/>
        <v>#REF!</v>
      </c>
      <c r="C28" s="33"/>
      <c r="D28" s="17"/>
      <c r="E28" s="341" t="s">
        <v>21</v>
      </c>
      <c r="F28" s="342"/>
      <c r="N28" s="9"/>
      <c r="O28" s="9"/>
      <c r="P28" s="9"/>
      <c r="Q28" s="9"/>
      <c r="R28" s="9"/>
    </row>
    <row r="29" spans="1:18" ht="17.25" customHeight="1" thickBot="1">
      <c r="A29" s="6"/>
      <c r="B29" s="37" t="e">
        <f t="shared" si="0"/>
        <v>#REF!</v>
      </c>
      <c r="C29" s="33"/>
      <c r="D29" s="57" t="s">
        <v>30</v>
      </c>
      <c r="E29" s="58" t="s">
        <v>28</v>
      </c>
      <c r="F29" s="58" t="s">
        <v>13</v>
      </c>
      <c r="G29" s="59" t="s">
        <v>4</v>
      </c>
      <c r="H29" s="59" t="s">
        <v>10</v>
      </c>
      <c r="I29" s="59" t="s">
        <v>9</v>
      </c>
      <c r="J29" s="59" t="s">
        <v>5</v>
      </c>
      <c r="K29" s="59" t="s">
        <v>6</v>
      </c>
      <c r="L29" s="59" t="s">
        <v>16</v>
      </c>
      <c r="M29" s="59" t="s">
        <v>7</v>
      </c>
      <c r="N29" s="18" t="s">
        <v>14</v>
      </c>
      <c r="O29" s="59" t="s">
        <v>23</v>
      </c>
      <c r="P29" s="60" t="s">
        <v>27</v>
      </c>
      <c r="Q29" s="18" t="s">
        <v>14</v>
      </c>
      <c r="R29" s="9"/>
    </row>
    <row r="30" spans="1:18" ht="17.25" customHeight="1">
      <c r="A30" s="6"/>
      <c r="B30" s="37" t="e">
        <f>IF(B29="x","","x")</f>
        <v>#REF!</v>
      </c>
      <c r="C30" s="33"/>
      <c r="D30" s="19" t="s">
        <v>775</v>
      </c>
      <c r="E30" s="20">
        <f>(E10*N10+E11*N11)/SUM(,N10,N11)</f>
        <v>7.4687500000000004E-2</v>
      </c>
      <c r="F30" s="20">
        <f>IFERROR(($I30+$L30)/($G30+$I30+$L30),0)</f>
        <v>4.3103448275862072E-2</v>
      </c>
      <c r="G30" s="21">
        <f>IFERROR(COUNTIFS(Production!$AL$8:$AL$910,$D30,Production!$I$8:$I$910,G$8),"")</f>
        <v>111</v>
      </c>
      <c r="H30" s="21">
        <f>IFERROR(COUNTIFS(Production!$AL$8:$AL$910,$D30,Production!$I$8:$I$910,H$8),"")</f>
        <v>4</v>
      </c>
      <c r="I30" s="21">
        <f>IFERROR(COUNTIFS(Production!$AL$8:$AL$910,$D30,Production!$I$8:$I$910,I$8),"")</f>
        <v>5</v>
      </c>
      <c r="J30" s="21">
        <f>IFERROR(COUNTIFS(Production!$AL$8:$AL$910,$D30,Production!$I$8:$I$910,J$8),"")</f>
        <v>6</v>
      </c>
      <c r="K30" s="21">
        <f>IFERROR(COUNTIFS(Production!$AL$8:$AL$910,$D30,Production!$I$8:$I$910,K$8),"")</f>
        <v>11</v>
      </c>
      <c r="L30" s="21">
        <f>IFERROR(COUNTIFS(Production!$AL$8:$AL$910,$D30,Production!$I$8:$I$910,L$8),"")</f>
        <v>0</v>
      </c>
      <c r="M30" s="21">
        <f>IFERROR(COUNTIFS(Production!$AL$8:$AL$910,$D30,Production!$I$8:$I$910,M$8),"")</f>
        <v>2</v>
      </c>
      <c r="N30" s="22">
        <f t="shared" ref="N30" si="11">SUM(G30:M30)</f>
        <v>139</v>
      </c>
      <c r="O30" s="21">
        <f>COUNTIFS(Termed!AY:AY,$D30,Termed!AI:AI,"DESL TREINAMENTO")</f>
        <v>0</v>
      </c>
      <c r="P30" s="21">
        <f>COUNTIFS(Termed!AK:AK,$D30,Termed!AY:AY,"DESL TREINAMENTO")</f>
        <v>0</v>
      </c>
      <c r="Q30" s="22">
        <f t="shared" ref="Q30" si="12">O30+P30+N30</f>
        <v>139</v>
      </c>
      <c r="R30" s="9"/>
    </row>
    <row r="31" spans="1:18" ht="17.25" customHeight="1">
      <c r="A31" s="6"/>
      <c r="B31" s="37"/>
      <c r="C31" s="33"/>
      <c r="D31" s="19" t="s">
        <v>776</v>
      </c>
      <c r="E31" s="20">
        <f>(E11*N11+E12*N12)/SUM(,N11,N12)</f>
        <v>0.05</v>
      </c>
      <c r="F31" s="20">
        <f>IFERROR(($I31+$L31)/($G31+$I31+$L31),0)</f>
        <v>0</v>
      </c>
      <c r="G31" s="21">
        <f>IFERROR(COUNTIFS(Production!$AL$8:$AL$910,$D31,Production!$I$8:$I$910,G$8),"")</f>
        <v>7</v>
      </c>
      <c r="H31" s="21">
        <f>IFERROR(COUNTIFS(Production!$AL$8:$AL$910,$D31,Production!$I$8:$I$910,H$8),"")</f>
        <v>0</v>
      </c>
      <c r="I31" s="21">
        <f>IFERROR(COUNTIFS(Production!$AL$8:$AL$910,$D31,Production!$I$8:$I$910,I$8),"")</f>
        <v>0</v>
      </c>
      <c r="J31" s="21">
        <f>IFERROR(COUNTIFS(Production!$AL$8:$AL$910,$D31,Production!$I$8:$I$910,J$8),"")</f>
        <v>2</v>
      </c>
      <c r="K31" s="21">
        <f>IFERROR(COUNTIFS(Production!$AL$8:$AL$910,$D31,Production!$I$8:$I$910,K$8),"")</f>
        <v>0</v>
      </c>
      <c r="L31" s="21">
        <f>IFERROR(COUNTIFS(Production!$AL$8:$AL$910,$D31,Production!$I$8:$I$910,L$8),"")</f>
        <v>0</v>
      </c>
      <c r="M31" s="21">
        <f>IFERROR(COUNTIFS(Production!$AL$8:$AL$910,$D31,Production!$I$8:$I$910,M$8),"")</f>
        <v>0</v>
      </c>
      <c r="N31" s="22">
        <f t="shared" ref="N31" si="13">SUM(G31:M31)</f>
        <v>9</v>
      </c>
      <c r="O31" s="21">
        <f>COUNTIFS(Termed!AY:AY,$D31,Termed!AI:AI,"DESL TREINAMENTO")</f>
        <v>0</v>
      </c>
      <c r="P31" s="21">
        <f>COUNTIFS(Termed!AK:AK,$D31,Termed!AY:AY,"DESL TREINAMENTO")</f>
        <v>0</v>
      </c>
      <c r="Q31" s="22">
        <f t="shared" ref="Q31" si="14">O31+P31+N31</f>
        <v>9</v>
      </c>
      <c r="R31" s="9"/>
    </row>
    <row r="32" spans="1:18" ht="17.25" customHeight="1" thickBot="1">
      <c r="A32" s="6"/>
      <c r="B32" s="37" t="e">
        <f>IF(#REF!="x","","x")</f>
        <v>#REF!</v>
      </c>
      <c r="C32" s="33"/>
      <c r="D32" s="27" t="s">
        <v>24</v>
      </c>
      <c r="E32" s="28">
        <f>SUMPRODUCT(E30:E31,N30:N31)/N32</f>
        <v>7.3186233108108109E-2</v>
      </c>
      <c r="F32" s="28">
        <f>IFERROR(($I32+L32)/(G32+I32+L32),0)</f>
        <v>4.065040650406504E-2</v>
      </c>
      <c r="G32" s="29">
        <f t="shared" ref="G32:Q32" si="15">SUM(G30:G31)</f>
        <v>118</v>
      </c>
      <c r="H32" s="29">
        <f t="shared" si="15"/>
        <v>4</v>
      </c>
      <c r="I32" s="29">
        <f t="shared" si="15"/>
        <v>5</v>
      </c>
      <c r="J32" s="29">
        <f t="shared" si="15"/>
        <v>8</v>
      </c>
      <c r="K32" s="29">
        <f t="shared" si="15"/>
        <v>11</v>
      </c>
      <c r="L32" s="29">
        <f t="shared" si="15"/>
        <v>0</v>
      </c>
      <c r="M32" s="29">
        <f t="shared" si="15"/>
        <v>2</v>
      </c>
      <c r="N32" s="30">
        <f t="shared" si="15"/>
        <v>148</v>
      </c>
      <c r="O32" s="29">
        <f t="shared" si="15"/>
        <v>0</v>
      </c>
      <c r="P32" s="29">
        <f t="shared" si="15"/>
        <v>0</v>
      </c>
      <c r="Q32" s="30">
        <f t="shared" si="15"/>
        <v>148</v>
      </c>
      <c r="R32" s="9"/>
    </row>
    <row r="33" spans="1:18" ht="17.25" customHeight="1" thickBot="1">
      <c r="A33" s="6"/>
      <c r="B33" s="37" t="e">
        <f t="shared" si="0"/>
        <v>#REF!</v>
      </c>
      <c r="C33" s="33"/>
      <c r="N33" s="9"/>
      <c r="O33" s="9"/>
      <c r="P33" s="9"/>
      <c r="Q33" s="9"/>
      <c r="R33" s="9"/>
    </row>
    <row r="34" spans="1:18" ht="17.25" customHeight="1" thickTop="1" thickBot="1">
      <c r="A34" s="6"/>
      <c r="B34" s="37" t="e">
        <f t="shared" si="0"/>
        <v>#REF!</v>
      </c>
      <c r="C34" s="33"/>
      <c r="D34" s="17"/>
      <c r="E34" s="341" t="s">
        <v>21</v>
      </c>
      <c r="F34" s="342"/>
      <c r="N34" s="9"/>
      <c r="O34" s="9"/>
      <c r="P34" s="9"/>
      <c r="Q34" s="9"/>
      <c r="R34" s="9"/>
    </row>
    <row r="35" spans="1:18" ht="17.25" customHeight="1" thickBot="1">
      <c r="A35" s="6"/>
      <c r="B35" s="37" t="e">
        <f t="shared" si="0"/>
        <v>#REF!</v>
      </c>
      <c r="C35" s="33"/>
      <c r="D35" s="57" t="s">
        <v>0</v>
      </c>
      <c r="E35" s="58" t="s">
        <v>28</v>
      </c>
      <c r="F35" s="58" t="s">
        <v>13</v>
      </c>
      <c r="G35" s="59" t="s">
        <v>4</v>
      </c>
      <c r="H35" s="59" t="s">
        <v>10</v>
      </c>
      <c r="I35" s="59" t="s">
        <v>9</v>
      </c>
      <c r="J35" s="59" t="s">
        <v>5</v>
      </c>
      <c r="K35" s="59" t="s">
        <v>6</v>
      </c>
      <c r="L35" s="59" t="s">
        <v>16</v>
      </c>
      <c r="M35" s="59" t="s">
        <v>7</v>
      </c>
      <c r="N35" s="18" t="s">
        <v>14</v>
      </c>
      <c r="O35" s="59" t="s">
        <v>23</v>
      </c>
      <c r="P35" s="60" t="s">
        <v>27</v>
      </c>
      <c r="Q35" s="18" t="s">
        <v>14</v>
      </c>
      <c r="R35" s="9"/>
    </row>
    <row r="36" spans="1:18" ht="17.25" hidden="1" customHeight="1">
      <c r="A36" s="6"/>
      <c r="B36" s="37" t="e">
        <f t="shared" si="0"/>
        <v>#REF!</v>
      </c>
      <c r="C36" s="33"/>
      <c r="D36" s="19" t="s">
        <v>74</v>
      </c>
      <c r="E36" s="20"/>
      <c r="F36" s="20">
        <f t="shared" ref="F36:F49" si="16">IFERROR(($I36+$L36)/($G36+$I36+$L36),0)</f>
        <v>0</v>
      </c>
      <c r="G36" s="21">
        <f>IFERROR(COUNTIFS(Production!$H$8:$H$23,$D36,Production!$I$8:$I$23,G$8),"")</f>
        <v>0</v>
      </c>
      <c r="H36" s="21">
        <f>IFERROR(COUNTIFS(Production!$H$8:$H$23,$D36,Production!$I$8:$I$23,H$8),"")</f>
        <v>0</v>
      </c>
      <c r="I36" s="21">
        <f>IFERROR(COUNTIFS(Production!$H$8:$H$23,$D36,Production!$I$8:$I$23,I$8),"")</f>
        <v>0</v>
      </c>
      <c r="J36" s="21">
        <f>IFERROR(COUNTIFS(Production!$H$8:$H$23,$D36,Production!$I$8:$I$23,J$8),"")</f>
        <v>0</v>
      </c>
      <c r="K36" s="21">
        <f>IFERROR(COUNTIFS(Production!$H$8:$H$23,$D36,Production!$I$8:$I$23,K$8),"")</f>
        <v>0</v>
      </c>
      <c r="L36" s="21">
        <f>IFERROR(COUNTIFS(Production!$H$8:$H$23,$D36,Production!$I$8:$I$23,L$8),"")</f>
        <v>0</v>
      </c>
      <c r="M36" s="21">
        <f>IFERROR(COUNTIFS(Production!$H$8:$H$23,$D36,Production!$I$8:$I$23,M$8),"")</f>
        <v>0</v>
      </c>
      <c r="N36" s="22">
        <f t="shared" ref="N36" si="17">SUM(G36:M36)</f>
        <v>0</v>
      </c>
      <c r="O36" s="21">
        <f>COUNTIFS(Termed!AH:AH,$D36,Termed!AI:AI,"DESL TREINAMENTO")</f>
        <v>0</v>
      </c>
      <c r="P36" s="21">
        <f>COUNTIFS(Termed!AK:AK,$D36,Termed!AH:AH,"DESL TREINAMENTO")</f>
        <v>0</v>
      </c>
      <c r="Q36" s="22">
        <f t="shared" ref="Q36" si="18">O36+P36+N36</f>
        <v>0</v>
      </c>
      <c r="R36" s="9"/>
    </row>
    <row r="37" spans="1:18" ht="17.25" customHeight="1">
      <c r="A37" s="6"/>
      <c r="B37" s="37" t="e">
        <f t="shared" si="0"/>
        <v>#REF!</v>
      </c>
      <c r="C37" s="33"/>
      <c r="D37" s="19" t="s">
        <v>388</v>
      </c>
      <c r="E37" s="20">
        <v>0</v>
      </c>
      <c r="F37" s="20">
        <f t="shared" si="16"/>
        <v>0</v>
      </c>
      <c r="G37" s="21">
        <f>IFERROR(COUNTIFS(Production!$H:$H,$D37,Production!$I:$I,G$8),"")</f>
        <v>6</v>
      </c>
      <c r="H37" s="21">
        <f>IFERROR(COUNTIFS(Production!$H$8:$H$790,$D37,Production!$I$8:$I$790,H$8),"")</f>
        <v>0</v>
      </c>
      <c r="I37" s="21">
        <f>IFERROR(COUNTIFS(Production!$H$8:$H$790,$D37,Production!$I$8:$I$790,I$8),"")</f>
        <v>0</v>
      </c>
      <c r="J37" s="21">
        <f>IFERROR(COUNTIFS(Production!$H$8:$H$790,$D37,Production!$I$8:$I$790,J$8),"")</f>
        <v>2</v>
      </c>
      <c r="K37" s="21">
        <f>IFERROR(COUNTIFS(Production!$H$8:$H$790,$D37,Production!$I$8:$I$790,K$8),"")</f>
        <v>0</v>
      </c>
      <c r="L37" s="21">
        <f>IFERROR(COUNTIFS(Production!$H$8:$H$790,$D37,Production!$I$8:$I$790,L$8),"")</f>
        <v>0</v>
      </c>
      <c r="M37" s="21">
        <f>IFERROR(COUNTIFS(Production!$H$8:$H$790,$D37,Production!$I$8:$I$790,M$8),"")</f>
        <v>0</v>
      </c>
      <c r="N37" s="22">
        <f t="shared" ref="N37" si="19">SUM(G37:M37)</f>
        <v>8</v>
      </c>
      <c r="O37" s="21">
        <f>COUNTIFS(Termed!AH:AH,$D37,Termed!AI:AI,"DESL TREINAMENTO")</f>
        <v>0</v>
      </c>
      <c r="P37" s="21">
        <f>COUNTIFS(Termed!AK:AK,$D37,Termed!AH:AH,"DESL TREINAMENTO")</f>
        <v>0</v>
      </c>
      <c r="Q37" s="22">
        <f t="shared" ref="Q37" si="20">O37+P37+N37</f>
        <v>8</v>
      </c>
      <c r="R37" s="9"/>
    </row>
    <row r="38" spans="1:18" ht="17.25" customHeight="1">
      <c r="A38" s="6"/>
      <c r="B38" s="37"/>
      <c r="C38" s="33"/>
      <c r="D38" s="19" t="s">
        <v>414</v>
      </c>
      <c r="E38" s="20">
        <v>0</v>
      </c>
      <c r="F38" s="20">
        <f t="shared" si="16"/>
        <v>0</v>
      </c>
      <c r="G38" s="21">
        <f>IFERROR(COUNTIFS(Production!$H:$H,$D38,Production!$I:$I,G$8),"")</f>
        <v>1</v>
      </c>
      <c r="H38" s="21">
        <f>IFERROR(COUNTIFS(Production!$H$8:$H$790,$D38,Production!$I$8:$I$790,H$8),"")</f>
        <v>0</v>
      </c>
      <c r="I38" s="21">
        <f>IFERROR(COUNTIFS(Production!$H$8:$H$790,$D38,Production!$I$8:$I$790,I$8),"")</f>
        <v>0</v>
      </c>
      <c r="J38" s="21">
        <f>IFERROR(COUNTIFS(Production!$H$8:$H$790,$D38,Production!$I$8:$I$790,J$8),"")</f>
        <v>0</v>
      </c>
      <c r="K38" s="21">
        <f>IFERROR(COUNTIFS(Production!$H$8:$H$790,$D38,Production!$I$8:$I$790,K$8),"")</f>
        <v>1</v>
      </c>
      <c r="L38" s="21">
        <f>IFERROR(COUNTIFS(Production!$H$8:$H$790,$D38,Production!$I$8:$I$790,L$8),"")</f>
        <v>0</v>
      </c>
      <c r="M38" s="21">
        <f>IFERROR(COUNTIFS(Production!$H$8:$H$790,$D38,Production!$I$8:$I$790,M$8),"")</f>
        <v>0</v>
      </c>
      <c r="N38" s="22">
        <f t="shared" ref="N38:N49" si="21">SUM(G38:M38)</f>
        <v>2</v>
      </c>
      <c r="O38" s="21">
        <f>COUNTIFS(Termed!AH:AH,$D38,Termed!AI:AI,"DESL TREINAMENTO")</f>
        <v>0</v>
      </c>
      <c r="P38" s="21">
        <f>COUNTIFS(Termed!AK:AK,$D38,Termed!AH:AH,"DESL TREINAMENTO")</f>
        <v>0</v>
      </c>
      <c r="Q38" s="22">
        <f t="shared" ref="Q38:Q49" si="22">O38+P38+N38</f>
        <v>2</v>
      </c>
      <c r="R38" s="9"/>
    </row>
    <row r="39" spans="1:18" ht="17.25" customHeight="1">
      <c r="A39" s="6"/>
      <c r="B39" s="37"/>
      <c r="C39" s="33"/>
      <c r="D39" s="19" t="s">
        <v>412</v>
      </c>
      <c r="E39" s="20">
        <v>0</v>
      </c>
      <c r="F39" s="20">
        <f t="shared" si="16"/>
        <v>0</v>
      </c>
      <c r="G39" s="21">
        <f>IFERROR(COUNTIFS(Production!$H:$H,$D39,Production!$I:$I,G$8),"")</f>
        <v>10</v>
      </c>
      <c r="H39" s="21">
        <f>IFERROR(COUNTIFS(Production!$H$8:$H$790,$D39,Production!$I$8:$I$790,H$8),"")</f>
        <v>0</v>
      </c>
      <c r="I39" s="21">
        <f>IFERROR(COUNTIFS(Production!$H$8:$H$790,$D39,Production!$I$8:$I$790,I$8),"")</f>
        <v>0</v>
      </c>
      <c r="J39" s="21">
        <f>IFERROR(COUNTIFS(Production!$H$8:$H$790,$D39,Production!$I$8:$I$790,J$8),"")</f>
        <v>1</v>
      </c>
      <c r="K39" s="21">
        <f>IFERROR(COUNTIFS(Production!$H$8:$H$790,$D39,Production!$I$8:$I$790,K$8),"")</f>
        <v>1</v>
      </c>
      <c r="L39" s="21">
        <f>IFERROR(COUNTIFS(Production!$H$8:$H$790,$D39,Production!$I$8:$I$790,L$8),"")</f>
        <v>0</v>
      </c>
      <c r="M39" s="21">
        <f>IFERROR(COUNTIFS(Production!$H$8:$H$790,$D39,Production!$I$8:$I$790,M$8),"")</f>
        <v>0</v>
      </c>
      <c r="N39" s="22">
        <f t="shared" si="21"/>
        <v>12</v>
      </c>
      <c r="O39" s="21">
        <f>COUNTIFS(Termed!AH:AH,$D39,Termed!AI:AI,"DESL TREINAMENTO")</f>
        <v>0</v>
      </c>
      <c r="P39" s="21">
        <f>COUNTIFS(Termed!AK:AK,$D39,Termed!AH:AH,"DESL TREINAMENTO")</f>
        <v>0</v>
      </c>
      <c r="Q39" s="22">
        <f t="shared" si="22"/>
        <v>12</v>
      </c>
      <c r="R39" s="9"/>
    </row>
    <row r="40" spans="1:18" ht="17.25" customHeight="1">
      <c r="A40" s="6"/>
      <c r="B40" s="37"/>
      <c r="C40" s="33"/>
      <c r="D40" s="19" t="s">
        <v>415</v>
      </c>
      <c r="E40" s="20">
        <v>0</v>
      </c>
      <c r="F40" s="20">
        <f t="shared" si="16"/>
        <v>0</v>
      </c>
      <c r="G40" s="21">
        <f>IFERROR(COUNTIFS(Production!$H:$H,$D40,Production!$I:$I,G$8),"")</f>
        <v>0</v>
      </c>
      <c r="H40" s="21">
        <f>IFERROR(COUNTIFS(Production!$H$8:$H$790,$D40,Production!$I$8:$I$790,H$8),"")</f>
        <v>0</v>
      </c>
      <c r="I40" s="21">
        <f>IFERROR(COUNTIFS(Production!$H$8:$H$790,$D40,Production!$I$8:$I$790,I$8),"")</f>
        <v>0</v>
      </c>
      <c r="J40" s="21">
        <f>IFERROR(COUNTIFS(Production!$H$8:$H$790,$D40,Production!$I$8:$I$790,J$8),"")</f>
        <v>0</v>
      </c>
      <c r="K40" s="21">
        <f>IFERROR(COUNTIFS(Production!$H$8:$H$790,$D40,Production!$I$8:$I$790,K$8),"")</f>
        <v>0</v>
      </c>
      <c r="L40" s="21">
        <f>IFERROR(COUNTIFS(Production!$H$8:$H$790,$D40,Production!$I$8:$I$790,L$8),"")</f>
        <v>0</v>
      </c>
      <c r="M40" s="21">
        <f>IFERROR(COUNTIFS(Production!$H$8:$H$790,$D40,Production!$I$8:$I$790,M$8),"")</f>
        <v>0</v>
      </c>
      <c r="N40" s="22">
        <f t="shared" si="21"/>
        <v>0</v>
      </c>
      <c r="O40" s="21">
        <f>COUNTIFS(Termed!AH:AH,$D40,Termed!AI:AI,"DESL TREINAMENTO")</f>
        <v>0</v>
      </c>
      <c r="P40" s="21">
        <f>COUNTIFS(Termed!AK:AK,$D40,Termed!AH:AH,"DESL TREINAMENTO")</f>
        <v>0</v>
      </c>
      <c r="Q40" s="22">
        <f t="shared" si="22"/>
        <v>0</v>
      </c>
      <c r="R40" s="9"/>
    </row>
    <row r="41" spans="1:18" ht="17.25" customHeight="1">
      <c r="A41" s="6"/>
      <c r="B41" s="37"/>
      <c r="C41" s="33"/>
      <c r="D41" s="19" t="s">
        <v>407</v>
      </c>
      <c r="E41" s="20">
        <v>0</v>
      </c>
      <c r="F41" s="20">
        <f t="shared" si="16"/>
        <v>0</v>
      </c>
      <c r="G41" s="21">
        <f>IFERROR(COUNTIFS(Production!$H:$H,$D41,Production!$I:$I,G$8),"")</f>
        <v>0</v>
      </c>
      <c r="H41" s="21">
        <f>IFERROR(COUNTIFS(Production!$H$8:$H$790,$D41,Production!$I$8:$I$790,H$8),"")</f>
        <v>0</v>
      </c>
      <c r="I41" s="21">
        <f>IFERROR(COUNTIFS(Production!$H$8:$H$790,$D41,Production!$I$8:$I$790,I$8),"")</f>
        <v>0</v>
      </c>
      <c r="J41" s="21">
        <f>IFERROR(COUNTIFS(Production!$H$8:$H$790,$D41,Production!$I$8:$I$790,J$8),"")</f>
        <v>0</v>
      </c>
      <c r="K41" s="21">
        <f>IFERROR(COUNTIFS(Production!$H$8:$H$790,$D41,Production!$I$8:$I$790,K$8),"")</f>
        <v>0</v>
      </c>
      <c r="L41" s="21">
        <f>IFERROR(COUNTIFS(Production!$H$8:$H$790,$D41,Production!$I$8:$I$790,L$8),"")</f>
        <v>0</v>
      </c>
      <c r="M41" s="21">
        <f>IFERROR(COUNTIFS(Production!$H$8:$H$790,$D41,Production!$I$8:$I$790,M$8),"")</f>
        <v>0</v>
      </c>
      <c r="N41" s="22">
        <f t="shared" si="21"/>
        <v>0</v>
      </c>
      <c r="O41" s="21">
        <f>COUNTIFS(Termed!AH:AH,$D41,Termed!AI:AI,"DESL TREINAMENTO")</f>
        <v>0</v>
      </c>
      <c r="P41" s="21">
        <f>COUNTIFS(Termed!AK:AK,$D41,Termed!AH:AH,"DESL TREINAMENTO")</f>
        <v>0</v>
      </c>
      <c r="Q41" s="22">
        <f t="shared" si="22"/>
        <v>0</v>
      </c>
      <c r="R41" s="9"/>
    </row>
    <row r="42" spans="1:18" ht="17.25" customHeight="1">
      <c r="A42" s="6"/>
      <c r="B42" s="37"/>
      <c r="C42" s="33"/>
      <c r="D42" s="19" t="s">
        <v>416</v>
      </c>
      <c r="E42" s="20">
        <v>0</v>
      </c>
      <c r="F42" s="20">
        <f t="shared" si="16"/>
        <v>0</v>
      </c>
      <c r="G42" s="21">
        <f>IFERROR(COUNTIFS(Production!$H:$H,$D42,Production!$I:$I,G$8),"")</f>
        <v>16</v>
      </c>
      <c r="H42" s="21">
        <f>IFERROR(COUNTIFS(Production!$H$8:$H$790,$D42,Production!$I$8:$I$790,H$8),"")</f>
        <v>1</v>
      </c>
      <c r="I42" s="21">
        <f>IFERROR(COUNTIFS(Production!$H$8:$H$790,$D42,Production!$I$8:$I$790,I$8),"")</f>
        <v>0</v>
      </c>
      <c r="J42" s="21">
        <f>IFERROR(COUNTIFS(Production!$H$8:$H$790,$D42,Production!$I$8:$I$790,J$8),"")</f>
        <v>1</v>
      </c>
      <c r="K42" s="21">
        <f>IFERROR(COUNTIFS(Production!$H$8:$H$790,$D42,Production!$I$8:$I$790,K$8),"")</f>
        <v>1</v>
      </c>
      <c r="L42" s="21">
        <f>IFERROR(COUNTIFS(Production!$H$8:$H$790,$D42,Production!$I$8:$I$790,L$8),"")</f>
        <v>0</v>
      </c>
      <c r="M42" s="21">
        <f>IFERROR(COUNTIFS(Production!$H$8:$H$790,$D42,Production!$I$8:$I$790,M$8),"")</f>
        <v>0</v>
      </c>
      <c r="N42" s="22">
        <f t="shared" si="21"/>
        <v>19</v>
      </c>
      <c r="O42" s="21">
        <f>COUNTIFS(Termed!AH:AH,$D42,Termed!AI:AI,"DESL TREINAMENTO")</f>
        <v>0</v>
      </c>
      <c r="P42" s="21">
        <f>COUNTIFS(Termed!AK:AK,$D42,Termed!AH:AH,"DESL TREINAMENTO")</f>
        <v>0</v>
      </c>
      <c r="Q42" s="22">
        <f t="shared" si="22"/>
        <v>19</v>
      </c>
      <c r="R42" s="9"/>
    </row>
    <row r="43" spans="1:18" ht="17.25" customHeight="1">
      <c r="A43" s="6"/>
      <c r="B43" s="37"/>
      <c r="C43" s="33"/>
      <c r="D43" s="19" t="s">
        <v>424</v>
      </c>
      <c r="E43" s="20">
        <v>0</v>
      </c>
      <c r="F43" s="20">
        <f t="shared" si="16"/>
        <v>0</v>
      </c>
      <c r="G43" s="21">
        <f>IFERROR(COUNTIFS(Production!$H:$H,$D43,Production!$I:$I,G$8),"")</f>
        <v>15</v>
      </c>
      <c r="H43" s="21">
        <f>IFERROR(COUNTIFS(Production!$H$8:$H$790,$D43,Production!$I$8:$I$790,H$8),"")</f>
        <v>0</v>
      </c>
      <c r="I43" s="21">
        <f>IFERROR(COUNTIFS(Production!$H$8:$H$790,$D43,Production!$I$8:$I$790,I$8),"")</f>
        <v>0</v>
      </c>
      <c r="J43" s="21">
        <f>IFERROR(COUNTIFS(Production!$H$8:$H$790,$D43,Production!$I$8:$I$790,J$8),"")</f>
        <v>1</v>
      </c>
      <c r="K43" s="21">
        <f>IFERROR(COUNTIFS(Production!$H$8:$H$790,$D43,Production!$I$8:$I$790,K$8),"")</f>
        <v>1</v>
      </c>
      <c r="L43" s="21">
        <f>IFERROR(COUNTIFS(Production!$H$8:$H$790,$D43,Production!$I$8:$I$790,L$8),"")</f>
        <v>0</v>
      </c>
      <c r="M43" s="21">
        <f>IFERROR(COUNTIFS(Production!$H$8:$H$790,$D43,Production!$I$8:$I$790,M$8),"")</f>
        <v>0</v>
      </c>
      <c r="N43" s="22">
        <f t="shared" si="21"/>
        <v>17</v>
      </c>
      <c r="O43" s="21">
        <f>COUNTIFS(Termed!AH:AH,$D43,Termed!AI:AI,"DESL TREINAMENTO")</f>
        <v>0</v>
      </c>
      <c r="P43" s="21">
        <f>COUNTIFS(Termed!AK:AK,$D43,Termed!AH:AH,"DESL TREINAMENTO")</f>
        <v>0</v>
      </c>
      <c r="Q43" s="22">
        <f t="shared" si="22"/>
        <v>17</v>
      </c>
      <c r="R43" s="9"/>
    </row>
    <row r="44" spans="1:18" ht="17.25" customHeight="1">
      <c r="A44" s="6"/>
      <c r="B44" s="37"/>
      <c r="C44" s="33"/>
      <c r="D44" s="19" t="s">
        <v>417</v>
      </c>
      <c r="E44" s="20">
        <v>0</v>
      </c>
      <c r="F44" s="20">
        <f t="shared" si="16"/>
        <v>7.6923076923076927E-2</v>
      </c>
      <c r="G44" s="21">
        <f>IFERROR(COUNTIFS(Production!$H:$H,$D44,Production!$I:$I,G$8),"")</f>
        <v>12</v>
      </c>
      <c r="H44" s="21">
        <f>IFERROR(COUNTIFS(Production!$H$8:$H$790,$D44,Production!$I$8:$I$790,H$8),"")</f>
        <v>0</v>
      </c>
      <c r="I44" s="21">
        <f>IFERROR(COUNTIFS(Production!$H$8:$H$790,$D44,Production!$I$8:$I$790,I$8),"")</f>
        <v>1</v>
      </c>
      <c r="J44" s="21">
        <f>IFERROR(COUNTIFS(Production!$H$8:$H$790,$D44,Production!$I$8:$I$790,J$8),"")</f>
        <v>1</v>
      </c>
      <c r="K44" s="21">
        <f>IFERROR(COUNTIFS(Production!$H$8:$H$790,$D44,Production!$I$8:$I$790,K$8),"")</f>
        <v>5</v>
      </c>
      <c r="L44" s="21">
        <f>IFERROR(COUNTIFS(Production!$H$8:$H$790,$D44,Production!$I$8:$I$790,L$8),"")</f>
        <v>0</v>
      </c>
      <c r="M44" s="21">
        <f>IFERROR(COUNTIFS(Production!$H$8:$H$790,$D44,Production!$I$8:$I$790,M$8),"")</f>
        <v>0</v>
      </c>
      <c r="N44" s="22">
        <f t="shared" si="21"/>
        <v>19</v>
      </c>
      <c r="O44" s="21">
        <f>COUNTIFS(Termed!AH:AH,$D44,Termed!AI:AI,"DESL TREINAMENTO")</f>
        <v>0</v>
      </c>
      <c r="P44" s="21">
        <f>COUNTIFS(Termed!AK:AK,$D44,Termed!AH:AH,"DESL TREINAMENTO")</f>
        <v>0</v>
      </c>
      <c r="Q44" s="22">
        <f t="shared" si="22"/>
        <v>19</v>
      </c>
      <c r="R44" s="9"/>
    </row>
    <row r="45" spans="1:18" ht="17.25" customHeight="1">
      <c r="A45" s="6"/>
      <c r="B45" s="37"/>
      <c r="C45" s="33"/>
      <c r="D45" s="19" t="s">
        <v>411</v>
      </c>
      <c r="E45" s="20">
        <v>0</v>
      </c>
      <c r="F45" s="20">
        <f t="shared" si="16"/>
        <v>5.8823529411764705E-2</v>
      </c>
      <c r="G45" s="21">
        <f>IFERROR(COUNTIFS(Production!$H:$H,$D45,Production!$I:$I,G$8),"")</f>
        <v>16</v>
      </c>
      <c r="H45" s="21">
        <f>IFERROR(COUNTIFS(Production!$H$8:$H$790,$D45,Production!$I$8:$I$790,H$8),"")</f>
        <v>0</v>
      </c>
      <c r="I45" s="21">
        <f>IFERROR(COUNTIFS(Production!$H$8:$H$790,$D45,Production!$I$8:$I$790,I$8),"")</f>
        <v>1</v>
      </c>
      <c r="J45" s="21">
        <f>IFERROR(COUNTIFS(Production!$H$8:$H$790,$D45,Production!$I$8:$I$790,J$8),"")</f>
        <v>1</v>
      </c>
      <c r="K45" s="21">
        <f>IFERROR(COUNTIFS(Production!$H$8:$H$790,$D45,Production!$I$8:$I$790,K$8),"")</f>
        <v>1</v>
      </c>
      <c r="L45" s="21">
        <f>IFERROR(COUNTIFS(Production!$H$8:$H$790,$D45,Production!$I$8:$I$790,L$8),"")</f>
        <v>0</v>
      </c>
      <c r="M45" s="21">
        <f>IFERROR(COUNTIFS(Production!$H$8:$H$790,$D45,Production!$I$8:$I$790,M$8),"")</f>
        <v>0</v>
      </c>
      <c r="N45" s="22">
        <f t="shared" si="21"/>
        <v>19</v>
      </c>
      <c r="O45" s="21">
        <f>COUNTIFS(Termed!AH:AH,$D45,Termed!AI:AI,"DESL TREINAMENTO")</f>
        <v>0</v>
      </c>
      <c r="P45" s="21">
        <f>COUNTIFS(Termed!AK:AK,$D45,Termed!AH:AH,"DESL TREINAMENTO")</f>
        <v>0</v>
      </c>
      <c r="Q45" s="22">
        <f t="shared" si="22"/>
        <v>19</v>
      </c>
      <c r="R45" s="9"/>
    </row>
    <row r="46" spans="1:18" ht="17.25" customHeight="1">
      <c r="A46" s="6"/>
      <c r="B46" s="37"/>
      <c r="C46" s="33"/>
      <c r="D46" s="19" t="s">
        <v>418</v>
      </c>
      <c r="E46" s="20">
        <v>0</v>
      </c>
      <c r="F46" s="20">
        <f t="shared" si="16"/>
        <v>5.5555555555555552E-2</v>
      </c>
      <c r="G46" s="21">
        <f>IFERROR(COUNTIFS(Production!$H:$H,$D46,Production!$I:$I,G$8),"")</f>
        <v>17</v>
      </c>
      <c r="H46" s="21">
        <f>IFERROR(COUNTIFS(Production!$H$8:$H$790,$D46,Production!$I$8:$I$790,H$8),"")</f>
        <v>1</v>
      </c>
      <c r="I46" s="21">
        <f>IFERROR(COUNTIFS(Production!$H$8:$H$790,$D46,Production!$I$8:$I$790,I$8),"")</f>
        <v>1</v>
      </c>
      <c r="J46" s="21">
        <f>IFERROR(COUNTIFS(Production!$H$8:$H$790,$D46,Production!$I$8:$I$790,J$8),"")</f>
        <v>0</v>
      </c>
      <c r="K46" s="21">
        <f>IFERROR(COUNTIFS(Production!$H$8:$H$790,$D46,Production!$I$8:$I$790,K$8),"")</f>
        <v>0</v>
      </c>
      <c r="L46" s="21">
        <f>IFERROR(COUNTIFS(Production!$H$8:$H$790,$D46,Production!$I$8:$I$790,L$8),"")</f>
        <v>0</v>
      </c>
      <c r="M46" s="21">
        <f>IFERROR(COUNTIFS(Production!$H$8:$H$790,$D46,Production!$I$8:$I$790,M$8),"")</f>
        <v>2</v>
      </c>
      <c r="N46" s="22">
        <f t="shared" si="21"/>
        <v>21</v>
      </c>
      <c r="O46" s="21">
        <f>COUNTIFS(Termed!AH:AH,$D46,Termed!AI:AI,"DESL TREINAMENTO")</f>
        <v>0</v>
      </c>
      <c r="P46" s="21">
        <f>COUNTIFS(Termed!AK:AK,$D46,Termed!AH:AH,"DESL TREINAMENTO")</f>
        <v>0</v>
      </c>
      <c r="Q46" s="22">
        <f t="shared" si="22"/>
        <v>21</v>
      </c>
      <c r="R46" s="9"/>
    </row>
    <row r="47" spans="1:18" ht="17.25" customHeight="1">
      <c r="A47" s="6"/>
      <c r="B47" s="37"/>
      <c r="C47" s="33"/>
      <c r="D47" s="19" t="s">
        <v>776</v>
      </c>
      <c r="E47" s="20">
        <v>0</v>
      </c>
      <c r="F47" s="20">
        <f t="shared" si="16"/>
        <v>0</v>
      </c>
      <c r="G47" s="21">
        <f>IFERROR(COUNTIFS(Production!$H:$H,$D47,Production!$I:$I,G$8),"")</f>
        <v>1</v>
      </c>
      <c r="H47" s="21">
        <f>IFERROR(COUNTIFS(Production!$H$8:$H$790,$D47,Production!$I$8:$I$790,H$8),"")</f>
        <v>0</v>
      </c>
      <c r="I47" s="21">
        <f>IFERROR(COUNTIFS(Production!$H$8:$H$790,$D47,Production!$I$8:$I$790,I$8),"")</f>
        <v>0</v>
      </c>
      <c r="J47" s="21">
        <f>IFERROR(COUNTIFS(Production!$H$8:$H$790,$D47,Production!$I$8:$I$790,J$8),"")</f>
        <v>0</v>
      </c>
      <c r="K47" s="21">
        <f>IFERROR(COUNTIFS(Production!$H$8:$H$790,$D47,Production!$I$8:$I$790,K$8),"")</f>
        <v>0</v>
      </c>
      <c r="L47" s="21">
        <f>IFERROR(COUNTIFS(Production!$H$8:$H$790,$D47,Production!$I$8:$I$790,L$8),"")</f>
        <v>0</v>
      </c>
      <c r="M47" s="21">
        <f>IFERROR(COUNTIFS(Production!$H$8:$H$790,$D47,Production!$I$8:$I$790,M$8),"")</f>
        <v>0</v>
      </c>
      <c r="N47" s="22">
        <f t="shared" si="21"/>
        <v>1</v>
      </c>
      <c r="O47" s="21">
        <f>COUNTIFS(Termed!AH:AH,$D47,Termed!AI:AI,"DESL TREINAMENTO")</f>
        <v>0</v>
      </c>
      <c r="P47" s="21">
        <f>COUNTIFS(Termed!AK:AK,$D47,Termed!AH:AH,"DESL TREINAMENTO")</f>
        <v>0</v>
      </c>
      <c r="Q47" s="22">
        <f t="shared" si="22"/>
        <v>1</v>
      </c>
      <c r="R47" s="9"/>
    </row>
    <row r="48" spans="1:18" ht="17.25" customHeight="1">
      <c r="A48" s="6"/>
      <c r="B48" s="37"/>
      <c r="C48" s="33"/>
      <c r="D48" s="19" t="s">
        <v>410</v>
      </c>
      <c r="E48" s="20">
        <v>0</v>
      </c>
      <c r="F48" s="20">
        <f t="shared" si="16"/>
        <v>0</v>
      </c>
      <c r="G48" s="21">
        <f>IFERROR(COUNTIFS(Production!$H:$H,$D48,Production!$I:$I,G$8),"")</f>
        <v>0</v>
      </c>
      <c r="H48" s="21">
        <f>IFERROR(COUNTIFS(Production!$H$8:$H$790,$D48,Production!$I$8:$I$790,H$8),"")</f>
        <v>0</v>
      </c>
      <c r="I48" s="21">
        <f>IFERROR(COUNTIFS(Production!$H$8:$H$790,$D48,Production!$I$8:$I$790,I$8),"")</f>
        <v>0</v>
      </c>
      <c r="J48" s="21">
        <f>IFERROR(COUNTIFS(Production!$H$8:$H$790,$D48,Production!$I$8:$I$790,J$8),"")</f>
        <v>0</v>
      </c>
      <c r="K48" s="21">
        <f>IFERROR(COUNTIFS(Production!$H$8:$H$790,$D48,Production!$I$8:$I$790,K$8),"")</f>
        <v>0</v>
      </c>
      <c r="L48" s="21">
        <f>IFERROR(COUNTIFS(Production!$H$8:$H$790,$D48,Production!$I$8:$I$790,L$8),"")</f>
        <v>0</v>
      </c>
      <c r="M48" s="21">
        <f>IFERROR(COUNTIFS(Production!$H$8:$H$790,$D48,Production!$I$8:$I$790,M$8),"")</f>
        <v>0</v>
      </c>
      <c r="N48" s="22">
        <f t="shared" si="21"/>
        <v>0</v>
      </c>
      <c r="O48" s="21">
        <f>COUNTIFS(Termed!AH:AH,$D48,Termed!AI:AI,"DESL TREINAMENTO")</f>
        <v>0</v>
      </c>
      <c r="P48" s="21">
        <f>COUNTIFS(Termed!AK:AK,$D48,Termed!AH:AH,"DESL TREINAMENTO")</f>
        <v>0</v>
      </c>
      <c r="Q48" s="22">
        <f t="shared" si="22"/>
        <v>0</v>
      </c>
      <c r="R48" s="9"/>
    </row>
    <row r="49" spans="1:18" ht="17.25" customHeight="1">
      <c r="A49" s="6"/>
      <c r="B49" s="37"/>
      <c r="C49" s="33"/>
      <c r="D49" s="19" t="s">
        <v>420</v>
      </c>
      <c r="E49" s="20">
        <v>0</v>
      </c>
      <c r="F49" s="20">
        <f t="shared" si="16"/>
        <v>0.1111111111111111</v>
      </c>
      <c r="G49" s="21">
        <f>IFERROR(COUNTIFS(Production!$H:$H,$D49,Production!$I:$I,G$8),"")</f>
        <v>16</v>
      </c>
      <c r="H49" s="21">
        <f>IFERROR(COUNTIFS(Production!$H$8:$H$790,$D49,Production!$I$8:$I$790,H$8),"")</f>
        <v>2</v>
      </c>
      <c r="I49" s="21">
        <f>IFERROR(COUNTIFS(Production!$H$8:$H$790,$D49,Production!$I$8:$I$790,I$8),"")</f>
        <v>2</v>
      </c>
      <c r="J49" s="21">
        <f>IFERROR(COUNTIFS(Production!$H$8:$H$790,$D49,Production!$I$8:$I$790,J$8),"")</f>
        <v>1</v>
      </c>
      <c r="K49" s="21">
        <f>IFERROR(COUNTIFS(Production!$H$8:$H$790,$D49,Production!$I$8:$I$790,K$8),"")</f>
        <v>1</v>
      </c>
      <c r="L49" s="21">
        <f>IFERROR(COUNTIFS(Production!$H$8:$H$790,$D49,Production!$I$8:$I$790,L$8),"")</f>
        <v>0</v>
      </c>
      <c r="M49" s="21">
        <f>IFERROR(COUNTIFS(Production!$H$8:$H$790,$D49,Production!$I$8:$I$790,M$8),"")</f>
        <v>0</v>
      </c>
      <c r="N49" s="22">
        <f t="shared" si="21"/>
        <v>22</v>
      </c>
      <c r="O49" s="21">
        <f>COUNTIFS(Termed!AH:AH,$D49,Termed!AI:AI,"DESL TREINAMENTO")</f>
        <v>0</v>
      </c>
      <c r="P49" s="21">
        <f>COUNTIFS(Termed!AK:AK,$D49,Termed!AH:AH,"DESL TREINAMENTO")</f>
        <v>0</v>
      </c>
      <c r="Q49" s="22">
        <f t="shared" si="22"/>
        <v>22</v>
      </c>
      <c r="R49" s="9"/>
    </row>
    <row r="50" spans="1:18" ht="17.25" hidden="1" customHeight="1">
      <c r="A50" s="6"/>
      <c r="B50" s="37" t="e">
        <f>IF(#REF!="x","","x")</f>
        <v>#REF!</v>
      </c>
      <c r="C50" s="33"/>
      <c r="D50" s="19"/>
      <c r="E50" s="20"/>
      <c r="F50" s="20"/>
      <c r="G50" s="21"/>
      <c r="H50" s="21"/>
      <c r="I50" s="21"/>
      <c r="J50" s="21"/>
      <c r="K50" s="21"/>
      <c r="L50" s="21"/>
      <c r="M50" s="21"/>
      <c r="N50" s="22"/>
      <c r="O50" s="21"/>
      <c r="P50" s="21"/>
      <c r="Q50" s="22"/>
      <c r="R50" s="9"/>
    </row>
    <row r="51" spans="1:18" ht="17.25" hidden="1" customHeight="1">
      <c r="A51" s="6"/>
      <c r="B51" s="37" t="e">
        <f t="shared" si="0"/>
        <v>#REF!</v>
      </c>
      <c r="C51" s="33"/>
      <c r="D51" s="19"/>
      <c r="E51" s="20"/>
      <c r="F51" s="20"/>
      <c r="G51" s="21"/>
      <c r="H51" s="21"/>
      <c r="I51" s="21"/>
      <c r="J51" s="21"/>
      <c r="K51" s="21"/>
      <c r="L51" s="21"/>
      <c r="M51" s="21"/>
      <c r="N51" s="22"/>
      <c r="O51" s="21"/>
      <c r="P51" s="21"/>
      <c r="Q51" s="22"/>
      <c r="R51" s="9"/>
    </row>
    <row r="52" spans="1:18" ht="17.25" hidden="1" customHeight="1">
      <c r="A52" s="6"/>
      <c r="B52" s="37" t="e">
        <f t="shared" si="0"/>
        <v>#REF!</v>
      </c>
      <c r="C52" s="33"/>
      <c r="D52" s="19"/>
      <c r="E52" s="20"/>
      <c r="F52" s="20"/>
      <c r="G52" s="21"/>
      <c r="H52" s="21"/>
      <c r="I52" s="21"/>
      <c r="J52" s="21"/>
      <c r="K52" s="21"/>
      <c r="L52" s="21"/>
      <c r="M52" s="21"/>
      <c r="N52" s="22"/>
      <c r="O52" s="21"/>
      <c r="P52" s="21"/>
      <c r="Q52" s="22"/>
      <c r="R52" s="9"/>
    </row>
    <row r="53" spans="1:18" ht="17.25" hidden="1" customHeight="1">
      <c r="A53" s="6"/>
      <c r="B53" s="37" t="e">
        <f t="shared" si="0"/>
        <v>#REF!</v>
      </c>
      <c r="C53" s="33"/>
      <c r="D53" s="19"/>
      <c r="E53" s="20"/>
      <c r="F53" s="20"/>
      <c r="G53" s="21"/>
      <c r="H53" s="21"/>
      <c r="I53" s="21"/>
      <c r="J53" s="21"/>
      <c r="K53" s="21"/>
      <c r="L53" s="21"/>
      <c r="M53" s="21"/>
      <c r="N53" s="22"/>
      <c r="O53" s="21"/>
      <c r="P53" s="21"/>
      <c r="Q53" s="22"/>
      <c r="R53" s="9"/>
    </row>
    <row r="54" spans="1:18" ht="17.25" hidden="1" customHeight="1">
      <c r="A54" s="6"/>
      <c r="B54" s="37" t="e">
        <f t="shared" si="0"/>
        <v>#REF!</v>
      </c>
      <c r="C54" s="33"/>
      <c r="D54" s="19"/>
      <c r="E54" s="20"/>
      <c r="F54" s="20"/>
      <c r="G54" s="21"/>
      <c r="H54" s="21"/>
      <c r="I54" s="21"/>
      <c r="J54" s="21"/>
      <c r="K54" s="21"/>
      <c r="L54" s="21"/>
      <c r="M54" s="21"/>
      <c r="N54" s="22"/>
      <c r="O54" s="21"/>
      <c r="P54" s="21"/>
      <c r="Q54" s="22"/>
      <c r="R54" s="9"/>
    </row>
    <row r="55" spans="1:18" ht="17.25" hidden="1" customHeight="1">
      <c r="A55" s="6"/>
      <c r="B55" s="37" t="e">
        <f t="shared" si="0"/>
        <v>#REF!</v>
      </c>
      <c r="C55" s="33"/>
      <c r="D55" s="19"/>
      <c r="E55" s="20"/>
      <c r="F55" s="20"/>
      <c r="G55" s="21"/>
      <c r="H55" s="21"/>
      <c r="I55" s="21"/>
      <c r="J55" s="21"/>
      <c r="K55" s="21"/>
      <c r="L55" s="21"/>
      <c r="M55" s="21"/>
      <c r="N55" s="22"/>
      <c r="O55" s="21"/>
      <c r="P55" s="21"/>
      <c r="Q55" s="22"/>
      <c r="R55" s="9"/>
    </row>
    <row r="56" spans="1:18" ht="17.25" hidden="1" customHeight="1">
      <c r="A56" s="6"/>
      <c r="B56" s="37" t="e">
        <f t="shared" si="0"/>
        <v>#REF!</v>
      </c>
      <c r="C56" s="33"/>
      <c r="D56" s="19"/>
      <c r="E56" s="20"/>
      <c r="F56" s="20"/>
      <c r="G56" s="21"/>
      <c r="H56" s="21"/>
      <c r="I56" s="21"/>
      <c r="J56" s="21"/>
      <c r="K56" s="21"/>
      <c r="L56" s="21"/>
      <c r="M56" s="21"/>
      <c r="N56" s="22"/>
      <c r="O56" s="21"/>
      <c r="P56" s="21"/>
      <c r="Q56" s="22"/>
      <c r="R56" s="9"/>
    </row>
    <row r="57" spans="1:18" ht="17.25" hidden="1" customHeight="1">
      <c r="A57" s="6"/>
      <c r="B57" s="37" t="e">
        <f t="shared" si="0"/>
        <v>#REF!</v>
      </c>
      <c r="C57" s="33"/>
      <c r="D57" s="19"/>
      <c r="E57" s="20"/>
      <c r="F57" s="20"/>
      <c r="G57" s="21"/>
      <c r="H57" s="21"/>
      <c r="I57" s="21"/>
      <c r="J57" s="21"/>
      <c r="K57" s="21"/>
      <c r="L57" s="21"/>
      <c r="M57" s="21"/>
      <c r="N57" s="22"/>
      <c r="O57" s="21"/>
      <c r="P57" s="21"/>
      <c r="Q57" s="22"/>
      <c r="R57" s="9"/>
    </row>
    <row r="58" spans="1:18" ht="17.25" hidden="1" customHeight="1">
      <c r="A58" s="6"/>
      <c r="B58" s="37" t="e">
        <f t="shared" si="0"/>
        <v>#REF!</v>
      </c>
      <c r="C58" s="33"/>
      <c r="D58" s="19"/>
      <c r="E58" s="20"/>
      <c r="F58" s="20"/>
      <c r="G58" s="21"/>
      <c r="H58" s="21"/>
      <c r="I58" s="21"/>
      <c r="J58" s="21"/>
      <c r="K58" s="21"/>
      <c r="L58" s="21"/>
      <c r="M58" s="21"/>
      <c r="N58" s="22"/>
      <c r="O58" s="21"/>
      <c r="P58" s="21"/>
      <c r="Q58" s="22"/>
      <c r="R58" s="9"/>
    </row>
    <row r="59" spans="1:18" ht="17.25" hidden="1" customHeight="1">
      <c r="A59" s="6"/>
      <c r="B59" s="37" t="e">
        <f t="shared" si="0"/>
        <v>#REF!</v>
      </c>
      <c r="C59" s="33"/>
      <c r="D59" s="19"/>
      <c r="E59" s="20"/>
      <c r="F59" s="20"/>
      <c r="G59" s="21"/>
      <c r="H59" s="21"/>
      <c r="I59" s="21"/>
      <c r="J59" s="21"/>
      <c r="K59" s="21"/>
      <c r="L59" s="21"/>
      <c r="M59" s="21"/>
      <c r="N59" s="22"/>
      <c r="O59" s="21"/>
      <c r="P59" s="21"/>
      <c r="Q59" s="22"/>
      <c r="R59" s="9"/>
    </row>
    <row r="60" spans="1:18" ht="17.25" hidden="1" customHeight="1">
      <c r="A60" s="6"/>
      <c r="B60" s="37" t="e">
        <f t="shared" si="0"/>
        <v>#REF!</v>
      </c>
      <c r="C60" s="33"/>
      <c r="D60" s="19"/>
      <c r="E60" s="20"/>
      <c r="F60" s="20"/>
      <c r="G60" s="21"/>
      <c r="H60" s="21"/>
      <c r="I60" s="21"/>
      <c r="J60" s="21"/>
      <c r="K60" s="21"/>
      <c r="L60" s="21"/>
      <c r="M60" s="21"/>
      <c r="N60" s="22"/>
      <c r="O60" s="21"/>
      <c r="P60" s="21"/>
      <c r="Q60" s="22"/>
      <c r="R60" s="9"/>
    </row>
    <row r="61" spans="1:18" ht="17.25" hidden="1" customHeight="1">
      <c r="A61" s="6"/>
      <c r="B61" s="37" t="e">
        <f t="shared" si="0"/>
        <v>#REF!</v>
      </c>
      <c r="C61" s="33"/>
      <c r="D61" s="19"/>
      <c r="E61" s="20"/>
      <c r="F61" s="20"/>
      <c r="G61" s="21"/>
      <c r="H61" s="21"/>
      <c r="I61" s="21"/>
      <c r="J61" s="21"/>
      <c r="K61" s="21"/>
      <c r="L61" s="21"/>
      <c r="M61" s="21"/>
      <c r="N61" s="22"/>
      <c r="O61" s="21"/>
      <c r="P61" s="21"/>
      <c r="Q61" s="22"/>
      <c r="R61" s="9"/>
    </row>
    <row r="62" spans="1:18" ht="17.25" hidden="1" customHeight="1">
      <c r="A62" s="6"/>
      <c r="B62" s="37" t="e">
        <f t="shared" si="0"/>
        <v>#REF!</v>
      </c>
      <c r="C62" s="33"/>
      <c r="D62" s="19"/>
      <c r="E62" s="20"/>
      <c r="F62" s="20"/>
      <c r="G62" s="21"/>
      <c r="H62" s="21"/>
      <c r="I62" s="21"/>
      <c r="J62" s="21"/>
      <c r="K62" s="21"/>
      <c r="L62" s="21"/>
      <c r="M62" s="21"/>
      <c r="N62" s="22"/>
      <c r="O62" s="21"/>
      <c r="P62" s="21"/>
      <c r="Q62" s="22"/>
      <c r="R62" s="9"/>
    </row>
    <row r="63" spans="1:18" ht="17.25" hidden="1" customHeight="1">
      <c r="A63" s="6"/>
      <c r="B63" s="37" t="e">
        <f t="shared" si="0"/>
        <v>#REF!</v>
      </c>
      <c r="C63" s="33"/>
      <c r="D63" s="19"/>
      <c r="E63" s="20"/>
      <c r="F63" s="20"/>
      <c r="G63" s="21"/>
      <c r="H63" s="21"/>
      <c r="I63" s="21"/>
      <c r="J63" s="21"/>
      <c r="K63" s="21"/>
      <c r="L63" s="21"/>
      <c r="M63" s="21"/>
      <c r="N63" s="22"/>
      <c r="O63" s="21"/>
      <c r="P63" s="21"/>
      <c r="Q63" s="22"/>
      <c r="R63" s="9"/>
    </row>
    <row r="64" spans="1:18" ht="17.25" hidden="1" customHeight="1">
      <c r="A64" s="6"/>
      <c r="B64" s="37" t="e">
        <f t="shared" si="0"/>
        <v>#REF!</v>
      </c>
      <c r="C64" s="33"/>
      <c r="D64" s="19"/>
      <c r="E64" s="20"/>
      <c r="F64" s="20"/>
      <c r="G64" s="21"/>
      <c r="H64" s="21"/>
      <c r="I64" s="21"/>
      <c r="J64" s="21"/>
      <c r="K64" s="21"/>
      <c r="L64" s="21"/>
      <c r="M64" s="21"/>
      <c r="N64" s="22"/>
      <c r="O64" s="21"/>
      <c r="P64" s="21"/>
      <c r="Q64" s="22"/>
      <c r="R64" s="9"/>
    </row>
    <row r="65" spans="1:18" ht="17.25" hidden="1" customHeight="1">
      <c r="A65" s="6"/>
      <c r="B65" s="37" t="e">
        <f t="shared" si="0"/>
        <v>#REF!</v>
      </c>
      <c r="C65" s="33"/>
      <c r="D65" s="19"/>
      <c r="E65" s="20"/>
      <c r="F65" s="20"/>
      <c r="G65" s="21"/>
      <c r="H65" s="21"/>
      <c r="I65" s="21"/>
      <c r="J65" s="21"/>
      <c r="K65" s="21"/>
      <c r="L65" s="21"/>
      <c r="M65" s="21"/>
      <c r="N65" s="22"/>
      <c r="O65" s="21"/>
      <c r="P65" s="21"/>
      <c r="Q65" s="22"/>
      <c r="R65" s="9"/>
    </row>
    <row r="66" spans="1:18" ht="17.25" hidden="1" customHeight="1">
      <c r="A66" s="6"/>
      <c r="B66" s="37" t="e">
        <f t="shared" si="0"/>
        <v>#REF!</v>
      </c>
      <c r="C66" s="33"/>
      <c r="D66" s="19"/>
      <c r="E66" s="20"/>
      <c r="F66" s="20"/>
      <c r="G66" s="21"/>
      <c r="H66" s="21"/>
      <c r="I66" s="21"/>
      <c r="J66" s="21"/>
      <c r="K66" s="21"/>
      <c r="L66" s="21"/>
      <c r="M66" s="21"/>
      <c r="N66" s="22"/>
      <c r="O66" s="21"/>
      <c r="P66" s="21"/>
      <c r="Q66" s="22"/>
      <c r="R66" s="9"/>
    </row>
    <row r="67" spans="1:18" ht="17.25" hidden="1" customHeight="1">
      <c r="A67" s="6"/>
      <c r="B67" s="37" t="e">
        <f t="shared" si="0"/>
        <v>#REF!</v>
      </c>
      <c r="C67" s="33"/>
      <c r="D67" s="19"/>
      <c r="E67" s="20"/>
      <c r="F67" s="20"/>
      <c r="G67" s="21"/>
      <c r="H67" s="21"/>
      <c r="I67" s="21"/>
      <c r="J67" s="21"/>
      <c r="K67" s="21"/>
      <c r="L67" s="21"/>
      <c r="M67" s="21"/>
      <c r="N67" s="22"/>
      <c r="O67" s="21"/>
      <c r="P67" s="21"/>
      <c r="Q67" s="22"/>
      <c r="R67" s="9"/>
    </row>
    <row r="68" spans="1:18" ht="17.25" hidden="1" customHeight="1">
      <c r="A68" s="6"/>
      <c r="B68" s="37" t="e">
        <f t="shared" si="0"/>
        <v>#REF!</v>
      </c>
      <c r="C68" s="33"/>
      <c r="D68" s="19"/>
      <c r="E68" s="20"/>
      <c r="F68" s="20"/>
      <c r="G68" s="21"/>
      <c r="H68" s="21"/>
      <c r="I68" s="21"/>
      <c r="J68" s="21"/>
      <c r="K68" s="21"/>
      <c r="L68" s="21"/>
      <c r="M68" s="21"/>
      <c r="N68" s="22"/>
      <c r="O68" s="21"/>
      <c r="P68" s="21"/>
      <c r="Q68" s="22"/>
      <c r="R68" s="9"/>
    </row>
    <row r="69" spans="1:18" ht="17.25" hidden="1" customHeight="1">
      <c r="A69" s="6"/>
      <c r="B69" s="37" t="e">
        <f t="shared" si="0"/>
        <v>#REF!</v>
      </c>
      <c r="C69" s="33"/>
      <c r="D69" s="19"/>
      <c r="E69" s="20"/>
      <c r="F69" s="20"/>
      <c r="G69" s="21"/>
      <c r="H69" s="21"/>
      <c r="I69" s="21"/>
      <c r="J69" s="21"/>
      <c r="K69" s="21"/>
      <c r="L69" s="21"/>
      <c r="M69" s="21"/>
      <c r="N69" s="22"/>
      <c r="O69" s="21"/>
      <c r="P69" s="21"/>
      <c r="Q69" s="22"/>
      <c r="R69" s="9"/>
    </row>
    <row r="70" spans="1:18" ht="17.25" hidden="1" customHeight="1">
      <c r="A70" s="6"/>
      <c r="B70" s="37" t="e">
        <f t="shared" si="0"/>
        <v>#REF!</v>
      </c>
      <c r="C70" s="33"/>
      <c r="D70" s="19"/>
      <c r="E70" s="20"/>
      <c r="F70" s="20"/>
      <c r="G70" s="21"/>
      <c r="H70" s="21"/>
      <c r="I70" s="21"/>
      <c r="J70" s="21"/>
      <c r="K70" s="21"/>
      <c r="L70" s="21"/>
      <c r="M70" s="21"/>
      <c r="N70" s="22"/>
      <c r="O70" s="21"/>
      <c r="P70" s="21"/>
      <c r="Q70" s="22"/>
      <c r="R70" s="9"/>
    </row>
    <row r="71" spans="1:18" ht="17.25" customHeight="1" thickBot="1">
      <c r="A71" s="6"/>
      <c r="B71" s="37" t="e">
        <f>IF(B70="x","","x")</f>
        <v>#REF!</v>
      </c>
      <c r="C71" s="33"/>
      <c r="D71" s="27" t="s">
        <v>24</v>
      </c>
      <c r="E71" s="28">
        <f>SUMPRODUCT(E36:E70,N36:N70)/N71</f>
        <v>0</v>
      </c>
      <c r="F71" s="28">
        <f>IFERROR(($I71+L71)/(G71+I71+L71),0)</f>
        <v>4.3478260869565216E-2</v>
      </c>
      <c r="G71" s="29">
        <f t="shared" ref="G71:Q71" si="23">SUM(G36:G70)</f>
        <v>110</v>
      </c>
      <c r="H71" s="29">
        <f t="shared" si="23"/>
        <v>4</v>
      </c>
      <c r="I71" s="29">
        <f t="shared" si="23"/>
        <v>5</v>
      </c>
      <c r="J71" s="29">
        <f t="shared" si="23"/>
        <v>8</v>
      </c>
      <c r="K71" s="29">
        <f t="shared" si="23"/>
        <v>11</v>
      </c>
      <c r="L71" s="29">
        <f t="shared" si="23"/>
        <v>0</v>
      </c>
      <c r="M71" s="29">
        <f t="shared" si="23"/>
        <v>2</v>
      </c>
      <c r="N71" s="30">
        <f t="shared" si="23"/>
        <v>140</v>
      </c>
      <c r="O71" s="29">
        <f t="shared" si="23"/>
        <v>0</v>
      </c>
      <c r="P71" s="29">
        <f t="shared" si="23"/>
        <v>0</v>
      </c>
      <c r="Q71" s="30">
        <f t="shared" si="23"/>
        <v>140</v>
      </c>
      <c r="R71" s="9"/>
    </row>
    <row r="72" spans="1:18" ht="17.25" customHeight="1">
      <c r="A72" s="6"/>
      <c r="B72" s="37" t="e">
        <f t="shared" ref="B72:B74" si="24">IF(B71="x","","x")</f>
        <v>#REF!</v>
      </c>
      <c r="C72" s="33"/>
      <c r="N72" s="9"/>
      <c r="O72" s="9"/>
      <c r="P72" s="9"/>
      <c r="Q72" s="9"/>
      <c r="R72" s="9"/>
    </row>
    <row r="73" spans="1:18">
      <c r="A73" s="6"/>
      <c r="B73" s="37" t="e">
        <f t="shared" si="24"/>
        <v>#REF!</v>
      </c>
      <c r="C73" s="33"/>
      <c r="N73" s="9"/>
      <c r="O73" s="9"/>
      <c r="P73" s="9"/>
      <c r="Q73" s="9"/>
      <c r="R73" s="9"/>
    </row>
    <row r="74" spans="1:18">
      <c r="A74" s="6"/>
      <c r="B74" s="37" t="e">
        <f t="shared" si="24"/>
        <v>#REF!</v>
      </c>
      <c r="C74" s="33"/>
      <c r="N74" s="9"/>
      <c r="O74" s="9"/>
      <c r="P74" s="9"/>
      <c r="Q74" s="9"/>
      <c r="R74" s="9"/>
    </row>
  </sheetData>
  <mergeCells count="3">
    <mergeCell ref="E7:F7"/>
    <mergeCell ref="E28:F28"/>
    <mergeCell ref="E34:F34"/>
  </mergeCells>
  <conditionalFormatting sqref="F30:F33 F36:F71 F9:F27">
    <cfRule type="cellIs" dxfId="2461" priority="100" operator="greaterThan">
      <formula>$E9</formula>
    </cfRule>
  </conditionalFormatting>
  <conditionalFormatting sqref="F36:F71 F30:F33">
    <cfRule type="cellIs" dxfId="2460" priority="99" operator="greaterThan">
      <formula>0.05</formula>
    </cfRule>
  </conditionalFormatting>
  <conditionalFormatting sqref="F60:F61">
    <cfRule type="cellIs" dxfId="2459" priority="98" operator="greaterThan">
      <formula>$E60</formula>
    </cfRule>
  </conditionalFormatting>
  <conditionalFormatting sqref="F60:F61">
    <cfRule type="cellIs" dxfId="2458" priority="97" operator="greaterThan">
      <formula>$E60</formula>
    </cfRule>
  </conditionalFormatting>
  <conditionalFormatting sqref="F60">
    <cfRule type="cellIs" dxfId="2457" priority="96" operator="greaterThan">
      <formula>$E60</formula>
    </cfRule>
  </conditionalFormatting>
  <conditionalFormatting sqref="F60">
    <cfRule type="cellIs" dxfId="2456" priority="95" operator="greaterThan">
      <formula>$E60</formula>
    </cfRule>
  </conditionalFormatting>
  <conditionalFormatting sqref="F60">
    <cfRule type="cellIs" dxfId="2455" priority="94" operator="greaterThan">
      <formula>$E60</formula>
    </cfRule>
  </conditionalFormatting>
  <conditionalFormatting sqref="F60">
    <cfRule type="cellIs" dxfId="2454" priority="93" operator="greaterThan">
      <formula>$E60</formula>
    </cfRule>
  </conditionalFormatting>
  <conditionalFormatting sqref="F60">
    <cfRule type="cellIs" dxfId="2453" priority="92" operator="greaterThan">
      <formula>$E60</formula>
    </cfRule>
  </conditionalFormatting>
  <conditionalFormatting sqref="F60:F61">
    <cfRule type="cellIs" dxfId="2452" priority="91" operator="greaterThan">
      <formula>$E60</formula>
    </cfRule>
  </conditionalFormatting>
  <conditionalFormatting sqref="F60:F61">
    <cfRule type="cellIs" dxfId="2451" priority="90" operator="greaterThan">
      <formula>$E60</formula>
    </cfRule>
  </conditionalFormatting>
  <conditionalFormatting sqref="F60:F61">
    <cfRule type="cellIs" dxfId="2450" priority="89" operator="greaterThan">
      <formula>$E60</formula>
    </cfRule>
  </conditionalFormatting>
  <conditionalFormatting sqref="F66">
    <cfRule type="cellIs" dxfId="2449" priority="84" operator="greaterThan">
      <formula>$E66</formula>
    </cfRule>
  </conditionalFormatting>
  <conditionalFormatting sqref="F66">
    <cfRule type="cellIs" dxfId="2448" priority="83" operator="greaterThan">
      <formula>$E66</formula>
    </cfRule>
  </conditionalFormatting>
  <conditionalFormatting sqref="F66">
    <cfRule type="cellIs" dxfId="2447" priority="82" operator="greaterThan">
      <formula>$E66</formula>
    </cfRule>
  </conditionalFormatting>
  <conditionalFormatting sqref="F66">
    <cfRule type="cellIs" dxfId="2446" priority="81" operator="greaterThan">
      <formula>$E66</formula>
    </cfRule>
  </conditionalFormatting>
  <conditionalFormatting sqref="F66">
    <cfRule type="cellIs" dxfId="2445" priority="80" operator="greaterThan">
      <formula>$E66</formula>
    </cfRule>
  </conditionalFormatting>
  <conditionalFormatting sqref="F36:F71 F30:F32 F9:F25">
    <cfRule type="cellIs" dxfId="2444" priority="75" operator="equal">
      <formula>0</formula>
    </cfRule>
  </conditionalFormatting>
  <conditionalFormatting sqref="F33">
    <cfRule type="cellIs" dxfId="2443" priority="67" operator="greaterThan">
      <formula>$E33</formula>
    </cfRule>
  </conditionalFormatting>
  <conditionalFormatting sqref="F65:F66">
    <cfRule type="cellIs" dxfId="2442" priority="65" operator="greaterThan">
      <formula>$E65</formula>
    </cfRule>
  </conditionalFormatting>
  <conditionalFormatting sqref="F65:F66">
    <cfRule type="cellIs" dxfId="2441" priority="64" operator="greaterThan">
      <formula>$E65</formula>
    </cfRule>
  </conditionalFormatting>
  <conditionalFormatting sqref="F65">
    <cfRule type="cellIs" dxfId="2440" priority="63" operator="greaterThan">
      <formula>$E65</formula>
    </cfRule>
  </conditionalFormatting>
  <conditionalFormatting sqref="F65">
    <cfRule type="cellIs" dxfId="2439" priority="62" operator="greaterThan">
      <formula>$E65</formula>
    </cfRule>
  </conditionalFormatting>
  <conditionalFormatting sqref="F65">
    <cfRule type="cellIs" dxfId="2438" priority="61" operator="greaterThan">
      <formula>$E65</formula>
    </cfRule>
  </conditionalFormatting>
  <conditionalFormatting sqref="F65">
    <cfRule type="cellIs" dxfId="2437" priority="60" operator="greaterThan">
      <formula>$E65</formula>
    </cfRule>
  </conditionalFormatting>
  <conditionalFormatting sqref="F65">
    <cfRule type="cellIs" dxfId="2436" priority="59" operator="greaterThan">
      <formula>$E65</formula>
    </cfRule>
  </conditionalFormatting>
  <conditionalFormatting sqref="F65:F66">
    <cfRule type="cellIs" dxfId="2435" priority="58" operator="greaterThan">
      <formula>$E65</formula>
    </cfRule>
  </conditionalFormatting>
  <conditionalFormatting sqref="F65:F66">
    <cfRule type="cellIs" dxfId="2434" priority="57" operator="greaterThan">
      <formula>$E65</formula>
    </cfRule>
  </conditionalFormatting>
  <conditionalFormatting sqref="F65:F66">
    <cfRule type="cellIs" dxfId="2433" priority="56" operator="greaterThan">
      <formula>$E65</formula>
    </cfRule>
  </conditionalFormatting>
  <conditionalFormatting sqref="F32:F33">
    <cfRule type="cellIs" dxfId="2432" priority="55" operator="greaterThan">
      <formula>$E32</formula>
    </cfRule>
  </conditionalFormatting>
  <conditionalFormatting sqref="F70">
    <cfRule type="cellIs" dxfId="2431" priority="52" operator="greaterThan">
      <formula>$E70</formula>
    </cfRule>
  </conditionalFormatting>
  <conditionalFormatting sqref="F70">
    <cfRule type="cellIs" dxfId="2430" priority="51" operator="greaterThan">
      <formula>$E70</formula>
    </cfRule>
  </conditionalFormatting>
  <conditionalFormatting sqref="F70">
    <cfRule type="cellIs" dxfId="2429" priority="50" operator="greaterThan">
      <formula>$E70</formula>
    </cfRule>
  </conditionalFormatting>
  <conditionalFormatting sqref="F70">
    <cfRule type="cellIs" dxfId="2428" priority="49" operator="greaterThan">
      <formula>$E70</formula>
    </cfRule>
  </conditionalFormatting>
  <conditionalFormatting sqref="F70">
    <cfRule type="cellIs" dxfId="2427" priority="48" operator="greaterThan">
      <formula>$E70</formula>
    </cfRule>
  </conditionalFormatting>
  <conditionalFormatting sqref="F66">
    <cfRule type="cellIs" dxfId="2426" priority="41" operator="greaterThan">
      <formula>$E66</formula>
    </cfRule>
  </conditionalFormatting>
  <conditionalFormatting sqref="F66">
    <cfRule type="cellIs" dxfId="2425" priority="40" operator="greaterThan">
      <formula>$E66</formula>
    </cfRule>
  </conditionalFormatting>
  <conditionalFormatting sqref="F66">
    <cfRule type="cellIs" dxfId="2424" priority="39" operator="greaterThan">
      <formula>$E66</formula>
    </cfRule>
  </conditionalFormatting>
  <conditionalFormatting sqref="F66">
    <cfRule type="cellIs" dxfId="2423" priority="38" operator="greaterThan">
      <formula>$E66</formula>
    </cfRule>
  </conditionalFormatting>
  <conditionalFormatting sqref="F66">
    <cfRule type="cellIs" dxfId="2422" priority="37" operator="greaterThan">
      <formula>$E66</formula>
    </cfRule>
  </conditionalFormatting>
  <conditionalFormatting sqref="F59:F60">
    <cfRule type="cellIs" dxfId="2421" priority="30" operator="greaterThan">
      <formula>$E59</formula>
    </cfRule>
  </conditionalFormatting>
  <conditionalFormatting sqref="F59:F60">
    <cfRule type="cellIs" dxfId="2420" priority="29" operator="greaterThan">
      <formula>$E59</formula>
    </cfRule>
  </conditionalFormatting>
  <conditionalFormatting sqref="F59">
    <cfRule type="cellIs" dxfId="2419" priority="28" operator="greaterThan">
      <formula>$E59</formula>
    </cfRule>
  </conditionalFormatting>
  <conditionalFormatting sqref="F59">
    <cfRule type="cellIs" dxfId="2418" priority="27" operator="greaterThan">
      <formula>$E59</formula>
    </cfRule>
  </conditionalFormatting>
  <conditionalFormatting sqref="F59">
    <cfRule type="cellIs" dxfId="2417" priority="26" operator="greaterThan">
      <formula>$E59</formula>
    </cfRule>
  </conditionalFormatting>
  <conditionalFormatting sqref="F59">
    <cfRule type="cellIs" dxfId="2416" priority="25" operator="greaterThan">
      <formula>$E59</formula>
    </cfRule>
  </conditionalFormatting>
  <conditionalFormatting sqref="F59">
    <cfRule type="cellIs" dxfId="2415" priority="24" operator="greaterThan">
      <formula>$E59</formula>
    </cfRule>
  </conditionalFormatting>
  <conditionalFormatting sqref="F59:F60">
    <cfRule type="cellIs" dxfId="2414" priority="23" operator="greaterThan">
      <formula>$E59</formula>
    </cfRule>
  </conditionalFormatting>
  <conditionalFormatting sqref="F59:F60">
    <cfRule type="cellIs" dxfId="2413" priority="22" operator="greaterThan">
      <formula>$E59</formula>
    </cfRule>
  </conditionalFormatting>
  <conditionalFormatting sqref="F59:F60">
    <cfRule type="cellIs" dxfId="2412" priority="21" operator="greaterThan">
      <formula>$E59</formula>
    </cfRule>
  </conditionalFormatting>
  <conditionalFormatting sqref="F65:F66">
    <cfRule type="cellIs" dxfId="2411" priority="20" operator="greaterThan">
      <formula>$E65</formula>
    </cfRule>
  </conditionalFormatting>
  <conditionalFormatting sqref="F65:F66">
    <cfRule type="cellIs" dxfId="2410" priority="19" operator="greaterThan">
      <formula>$E65</formula>
    </cfRule>
  </conditionalFormatting>
  <conditionalFormatting sqref="F65">
    <cfRule type="cellIs" dxfId="2409" priority="18" operator="greaterThan">
      <formula>$E65</formula>
    </cfRule>
  </conditionalFormatting>
  <conditionalFormatting sqref="F65">
    <cfRule type="cellIs" dxfId="2408" priority="17" operator="greaterThan">
      <formula>$E65</formula>
    </cfRule>
  </conditionalFormatting>
  <conditionalFormatting sqref="F65">
    <cfRule type="cellIs" dxfId="2407" priority="16" operator="greaterThan">
      <formula>$E65</formula>
    </cfRule>
  </conditionalFormatting>
  <conditionalFormatting sqref="F65">
    <cfRule type="cellIs" dxfId="2406" priority="15" operator="greaterThan">
      <formula>$E65</formula>
    </cfRule>
  </conditionalFormatting>
  <conditionalFormatting sqref="F65">
    <cfRule type="cellIs" dxfId="2405" priority="14" operator="greaterThan">
      <formula>$E65</formula>
    </cfRule>
  </conditionalFormatting>
  <conditionalFormatting sqref="F65:F66">
    <cfRule type="cellIs" dxfId="2404" priority="13" operator="greaterThan">
      <formula>$E65</formula>
    </cfRule>
  </conditionalFormatting>
  <conditionalFormatting sqref="F65:F66">
    <cfRule type="cellIs" dxfId="2403" priority="12" operator="greaterThan">
      <formula>$E65</formula>
    </cfRule>
  </conditionalFormatting>
  <conditionalFormatting sqref="F65:F66">
    <cfRule type="cellIs" dxfId="2402" priority="11" operator="greaterThan">
      <formula>$E65</formula>
    </cfRule>
  </conditionalFormatting>
  <conditionalFormatting sqref="F71">
    <cfRule type="cellIs" dxfId="2401" priority="7" operator="greaterThan">
      <formula>$E71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1:AN38"/>
  <sheetViews>
    <sheetView showGridLines="0" showRowColHeaders="0" workbookViewId="0">
      <selection activeCell="B3" sqref="B3:F3"/>
    </sheetView>
  </sheetViews>
  <sheetFormatPr defaultRowHeight="15" customHeight="1" zeroHeight="1"/>
  <cols>
    <col min="1" max="1" width="1.42578125" customWidth="1"/>
    <col min="2" max="2" width="12.42578125" bestFit="1" customWidth="1"/>
    <col min="3" max="6" width="6.140625" customWidth="1"/>
    <col min="7" max="7" width="1" customWidth="1"/>
    <col min="8" max="19" width="5.7109375" customWidth="1"/>
    <col min="20" max="20" width="1.140625" customWidth="1"/>
    <col min="21" max="26" width="5.7109375" customWidth="1"/>
    <col min="27" max="27" width="1.140625" customWidth="1"/>
    <col min="28" max="33" width="5.7109375" customWidth="1"/>
    <col min="34" max="34" width="1.140625" customWidth="1"/>
    <col min="35" max="40" width="5.7109375" customWidth="1"/>
  </cols>
  <sheetData>
    <row r="1" spans="2:40" ht="15" customHeight="1"/>
    <row r="2" spans="2:40" ht="15" customHeight="1"/>
    <row r="3" spans="2:40">
      <c r="B3" s="345" t="s">
        <v>403</v>
      </c>
      <c r="C3" s="345"/>
      <c r="D3" s="345"/>
      <c r="E3" s="345"/>
      <c r="F3" s="345"/>
    </row>
    <row r="4" spans="2:40" ht="15" customHeight="1"/>
    <row r="5" spans="2:40" ht="9.9499999999999993" customHeight="1"/>
    <row r="6" spans="2:40">
      <c r="B6" s="346" t="str">
        <f>B3</f>
        <v>PSG</v>
      </c>
      <c r="C6" s="349" t="s">
        <v>82</v>
      </c>
      <c r="D6" s="349"/>
      <c r="E6" s="349"/>
      <c r="F6" s="350"/>
      <c r="H6" s="351" t="s">
        <v>72</v>
      </c>
      <c r="I6" s="352"/>
      <c r="J6" s="352"/>
      <c r="K6" s="352"/>
      <c r="L6" s="352"/>
      <c r="M6" s="352"/>
      <c r="N6" s="352"/>
      <c r="O6" s="352"/>
      <c r="P6" s="352"/>
      <c r="Q6" s="352"/>
      <c r="R6" s="352"/>
      <c r="S6" s="353"/>
      <c r="T6" s="134"/>
      <c r="U6" s="351" t="s">
        <v>84</v>
      </c>
      <c r="V6" s="352"/>
      <c r="W6" s="352"/>
      <c r="X6" s="352"/>
      <c r="Y6" s="352"/>
      <c r="Z6" s="353"/>
      <c r="AA6" s="134"/>
      <c r="AB6" s="351" t="s">
        <v>83</v>
      </c>
      <c r="AC6" s="352"/>
      <c r="AD6" s="352"/>
      <c r="AE6" s="352"/>
      <c r="AF6" s="352"/>
      <c r="AG6" s="353"/>
      <c r="AH6" s="134"/>
      <c r="AI6" s="351" t="s">
        <v>85</v>
      </c>
      <c r="AJ6" s="352"/>
      <c r="AK6" s="352"/>
      <c r="AL6" s="352"/>
      <c r="AM6" s="352"/>
      <c r="AN6" s="353"/>
    </row>
    <row r="7" spans="2:40">
      <c r="B7" s="347"/>
      <c r="C7" s="343" t="s">
        <v>7</v>
      </c>
      <c r="D7" s="343"/>
      <c r="E7" s="343" t="s">
        <v>9</v>
      </c>
      <c r="F7" s="344"/>
      <c r="H7" s="354" t="s">
        <v>4</v>
      </c>
      <c r="I7" s="343"/>
      <c r="J7" s="343" t="s">
        <v>5</v>
      </c>
      <c r="K7" s="343"/>
      <c r="L7" s="343" t="s">
        <v>6</v>
      </c>
      <c r="M7" s="343"/>
      <c r="N7" s="343" t="s">
        <v>9</v>
      </c>
      <c r="O7" s="343"/>
      <c r="P7" s="343" t="s">
        <v>10</v>
      </c>
      <c r="Q7" s="343"/>
      <c r="R7" s="343" t="s">
        <v>16</v>
      </c>
      <c r="S7" s="344"/>
      <c r="T7" s="134"/>
      <c r="U7" s="354" t="s">
        <v>4</v>
      </c>
      <c r="V7" s="343"/>
      <c r="W7" s="343" t="s">
        <v>9</v>
      </c>
      <c r="X7" s="343"/>
      <c r="Y7" s="343" t="s">
        <v>16</v>
      </c>
      <c r="Z7" s="344"/>
      <c r="AA7" s="134"/>
      <c r="AB7" s="354" t="s">
        <v>4</v>
      </c>
      <c r="AC7" s="343"/>
      <c r="AD7" s="343" t="s">
        <v>9</v>
      </c>
      <c r="AE7" s="343"/>
      <c r="AF7" s="343" t="s">
        <v>16</v>
      </c>
      <c r="AG7" s="344"/>
      <c r="AH7" s="134"/>
      <c r="AI7" s="354" t="s">
        <v>4</v>
      </c>
      <c r="AJ7" s="343"/>
      <c r="AK7" s="343" t="s">
        <v>9</v>
      </c>
      <c r="AL7" s="343"/>
      <c r="AM7" s="343" t="s">
        <v>16</v>
      </c>
      <c r="AN7" s="344"/>
    </row>
    <row r="8" spans="2:40">
      <c r="B8" s="348"/>
      <c r="C8" s="135">
        <v>0.34166666666666662</v>
      </c>
      <c r="D8" s="135">
        <v>0.2638888888888889</v>
      </c>
      <c r="E8" s="135">
        <v>0.34166666666666662</v>
      </c>
      <c r="F8" s="136">
        <v>0.2638888888888889</v>
      </c>
      <c r="H8" s="137">
        <v>0.34166666666666662</v>
      </c>
      <c r="I8" s="135">
        <v>0.2638888888888889</v>
      </c>
      <c r="J8" s="135">
        <v>0.34166666666666662</v>
      </c>
      <c r="K8" s="135">
        <v>0.2638888888888889</v>
      </c>
      <c r="L8" s="135">
        <v>0.34166666666666662</v>
      </c>
      <c r="M8" s="135">
        <v>0.2638888888888889</v>
      </c>
      <c r="N8" s="135">
        <v>0.34166666666666662</v>
      </c>
      <c r="O8" s="135">
        <v>0.2638888888888889</v>
      </c>
      <c r="P8" s="135">
        <v>0.34166666666666662</v>
      </c>
      <c r="Q8" s="135">
        <v>0.2638888888888889</v>
      </c>
      <c r="R8" s="135">
        <v>0.34166666666666662</v>
      </c>
      <c r="S8" s="136">
        <v>0.2638888888888889</v>
      </c>
      <c r="T8" s="134"/>
      <c r="U8" s="137">
        <v>0.34166666666666662</v>
      </c>
      <c r="V8" s="135">
        <v>0.2638888888888889</v>
      </c>
      <c r="W8" s="135">
        <v>0.34166666666666662</v>
      </c>
      <c r="X8" s="135">
        <v>0.2638888888888889</v>
      </c>
      <c r="Y8" s="135">
        <v>0.34166666666666662</v>
      </c>
      <c r="Z8" s="136">
        <v>0.2638888888888889</v>
      </c>
      <c r="AA8" s="134"/>
      <c r="AB8" s="137">
        <v>0.34166666666666662</v>
      </c>
      <c r="AC8" s="135">
        <v>0.2638888888888889</v>
      </c>
      <c r="AD8" s="135">
        <v>0.34166666666666662</v>
      </c>
      <c r="AE8" s="135">
        <v>0.2638888888888889</v>
      </c>
      <c r="AF8" s="135">
        <v>0.34166666666666662</v>
      </c>
      <c r="AG8" s="136">
        <v>0.2638888888888889</v>
      </c>
      <c r="AH8" s="134"/>
      <c r="AI8" s="137">
        <v>0.34166666666666662</v>
      </c>
      <c r="AJ8" s="135">
        <v>0.2638888888888889</v>
      </c>
      <c r="AK8" s="135">
        <v>0.34166666666666662</v>
      </c>
      <c r="AL8" s="135">
        <v>0.2638888888888889</v>
      </c>
      <c r="AM8" s="135">
        <v>0.34166666666666662</v>
      </c>
      <c r="AN8" s="136">
        <v>0.2638888888888889</v>
      </c>
    </row>
    <row r="9" spans="2:40">
      <c r="B9" s="138">
        <f ca="1">TODAY()-7</f>
        <v>42713</v>
      </c>
      <c r="C9" s="139">
        <f>COUNTIFS(Production!$J$7:$J$425,$B$6,Production!$I$7:$I$425,C$7,Production!$M$7:$M$425,IF(C$8=TIMEVALUE("06:20"),"&lt;="&amp;C$8,C$8))</f>
        <v>0</v>
      </c>
      <c r="D9" s="139">
        <f>COUNTIFS(Production!$J$7:$J$425,$B$6,Production!$I$7:$I$425,C$7,Production!$M$7:$M$425,IF(D$8=TIMEVALUE("06:20"),"&lt;="&amp;D$8,D$8))</f>
        <v>0</v>
      </c>
      <c r="E9" s="139">
        <f ca="1">COUNTIFS(Production!$J$7:$J$425,$B$6,Production!$I$7:$I$425,E$7,Production!$M$7:$M$425,IF(E$8=TIMEVALUE("06:20"),"&lt;="&amp;E$8,E$8),Production!$R$7:$R$425,$C$6,Production!$V$7:$V$425,$B9)</f>
        <v>0</v>
      </c>
      <c r="F9" s="140">
        <f ca="1">COUNTIFS(Production!$J$7:$J$425,$B$6,Production!$I$7:$I$425,E$7,Production!$M$7:$M$425,IF(F$8=TIMEVALUE("06:20"),"&lt;="&amp;F$8,F$8),Production!$R$7:$R$425,$C$6,Production!$V$7:$V$425,$B9)</f>
        <v>0</v>
      </c>
      <c r="G9" s="141"/>
      <c r="H9" s="142">
        <f ca="1">COUNTIFS(Production!$J$7:$J$425,$B$6,Production!$I$7:$I$425,H$7,Production!$M$7:$M$425,IF(H$8=TIMEVALUE("06:20"),"&lt;="&amp;H$8,H$8),Production!$R$7:$R$425,$H$6)</f>
        <v>4</v>
      </c>
      <c r="I9" s="143">
        <f ca="1">COUNTIFS(Production!$J$7:$J$425,$B$6,Production!$I$7:$I$425,H$7,Production!$M$7:$M$425,IF(I$8=TIMEVALUE("06:20"),"&lt;="&amp;I$8,I$8),Production!$R$7:$R$425,$H$6)</f>
        <v>16</v>
      </c>
      <c r="J9" s="143">
        <f>COUNTIFS(Production!$J$7:$J$425,$B$6,Production!$I$7:$I$425,J$7,Production!$M$7:$M$425,IF(J$8=TIMEVALUE("06:20"),"&lt;="&amp;J$8,J$8),Production!$R$7:$R$425,$H$6)</f>
        <v>0</v>
      </c>
      <c r="K9" s="143">
        <f ca="1">COUNTIFS(Production!$J$7:$J$425,$B$6,Production!$I$7:$I$425,J$7,Production!$M$7:$M$425,IF(K$8=TIMEVALUE("06:20"),"&lt;="&amp;K$8,K$8),Production!$R$7:$R$425,$H$6)</f>
        <v>1</v>
      </c>
      <c r="L9" s="143">
        <f ca="1">COUNTIFS(Production!$J$7:$J$425,$B$6,Production!$I$7:$I$425,L$7,Production!$M$7:$M$425,IF(L$8=TIMEVALUE("06:20"),"&lt;="&amp;L$8,L$8),Production!$R$7:$R$425,$H$6)</f>
        <v>1</v>
      </c>
      <c r="M9" s="143">
        <f ca="1">COUNTIFS(Production!$J$7:$J$425,$B$6,Production!$I$7:$I$425,L$7,Production!$M$7:$M$425,IF(M$8=TIMEVALUE("06:20"),"&lt;="&amp;M$8,M$8),Production!$R$7:$R$425,$H$6)</f>
        <v>2</v>
      </c>
      <c r="N9" s="143">
        <f ca="1">COUNTIFS(Production!$J$7:$J$425,$B$6,Production!$I$7:$I$425,N$7,Production!$M$7:$M$425,IF(N$8=TIMEVALUE("06:20"),"&lt;="&amp;N$8,N$8),Production!$R$7:$R$425,$H$6,Production!$V$7:$V$425,$B9)</f>
        <v>0</v>
      </c>
      <c r="O9" s="143">
        <f ca="1">COUNTIFS(Production!$J$7:$J$425,$B$6,Production!$I$7:$I$425,N$7,Production!$M$7:$M$425,IF(O$8=TIMEVALUE("06:20"),"&lt;="&amp;O$8,O$8),Production!$R$7:$R$425,$H$6,Production!$V$7:$V$425,$B9)</f>
        <v>0</v>
      </c>
      <c r="P9" s="143">
        <f ca="1">COUNTIFS(Production!$J$7:$J$425,$B$6,Production!$I$7:$I$425,P$7,Production!$M$7:$M$425,IF(P$8=TIMEVALUE("06:20"),"&lt;="&amp;P$8,P$8),Production!$R$7:$R$425,$H$6)</f>
        <v>1</v>
      </c>
      <c r="Q9" s="143">
        <f>COUNTIFS(Production!$J$7:$J$425,$B$6,Production!$I$7:$I$425,P$7,Production!$M$7:$M$425,IF(Q$8=TIMEVALUE("06:20"),"&lt;="&amp;Q$8,Q$8),Production!$R$7:$R$425,$H$6)</f>
        <v>0</v>
      </c>
      <c r="R9" s="143">
        <f ca="1">COUNTIFS(Production!$J$7:$J$425,$B$6,Production!$I$7:$I$425,R$7,Production!$M$7:$M$425,IF(R$8=TIMEVALUE("06:20"),"&lt;="&amp;R$8,R$8),Production!$R$7:$R$425,$H$6,Production!$V$7:$V$425,$B9)</f>
        <v>0</v>
      </c>
      <c r="S9" s="144">
        <f ca="1">COUNTIFS(Production!$J$7:$J$425,$B$6,Production!$I$7:$I$425,R$7,Production!$M$7:$M$425,IF(S$8=TIMEVALUE("06:20"),"&lt;="&amp;S$8,S$8),Production!$R$7:$R$425,$H$6,Production!$V$7:$V$425,$B9)</f>
        <v>0</v>
      </c>
      <c r="U9" s="142">
        <f ca="1">COUNTIFS(Production!$J$7:$J$425,$B$6,Production!$I$7:$I$425,U$7,Production!$M$7:$M$425,IF(U$8=TIMEVALUE("06:20"),"&lt;="&amp;U$8,U$8),Production!$R$7:$R$425,$U$6)</f>
        <v>0</v>
      </c>
      <c r="V9" s="143">
        <f ca="1">COUNTIFS(Production!$J$7:$J$425,$B$6,Production!$I$7:$I$425,U$7,Production!$M$7:$M$425,IF(V$8=TIMEVALUE("06:20"),"&lt;="&amp;V$8,V$8),Production!$R$7:$R$425,$U$6)</f>
        <v>0</v>
      </c>
      <c r="W9" s="143">
        <f ca="1">COUNTIFS(Production!$J$7:$J$425,$B$6,Production!$I$7:$I$425,W$7,Production!$M$7:$M$425,IF(W$8=TIMEVALUE("06:20"),"&lt;="&amp;W$8,W$8),Production!$R$7:$R$425,$U$6,Production!$V$7:$V$425,$B9)</f>
        <v>0</v>
      </c>
      <c r="X9" s="143">
        <f ca="1">COUNTIFS(Production!$J$7:$J$425,$B$6,Production!$I$7:$I$425,W$7,Production!$M$7:$M$425,IF(X$8=TIMEVALUE("06:20"),"&lt;="&amp;X$8,X$8),Production!$R$7:$R$425,$U$6,Production!$V$7:$V$425,$B9)</f>
        <v>0</v>
      </c>
      <c r="Y9" s="143">
        <f ca="1">COUNTIFS(Production!$J$7:$J$425,$B$6,Production!$I$7:$I$425,Y$7,Production!$M$7:$M$425,IF(Y$8=TIMEVALUE("06:20"),"&lt;="&amp;Y$8,Y$8),Production!$R$7:$R$425,$U$6,Production!$V$7:$V$425,$B9)</f>
        <v>0</v>
      </c>
      <c r="Z9" s="144">
        <f ca="1">COUNTIFS(Production!$J$7:$J$425,$B$6,Production!$I$7:$I$425,Y$7,Production!$M$7:$M$425,IF(Z$8=TIMEVALUE("06:20"),"&lt;="&amp;Z$8,Z$8),Production!$R$7:$R$425,$U$6,Production!$V$7:$V$425,$B9)</f>
        <v>0</v>
      </c>
      <c r="AA9" s="1"/>
      <c r="AB9" s="142">
        <f ca="1">COUNTIFS(Production!$J$7:$J$425,$B$6,Production!$I$7:$I$425,AB$7,Production!$M$7:$M$425,IF(AB$8=TIMEVALUE("06:20"),"&lt;="&amp;AB$8,AB$8),Production!$R$7:$R$425,$AB$6)</f>
        <v>0</v>
      </c>
      <c r="AC9" s="143">
        <f ca="1">COUNTIFS(Production!$J$7:$J$425,$B$6,Production!$I$7:$I$425,AB$7,Production!$M$7:$M$425,IF(AC$8=TIMEVALUE("06:20"),"&lt;="&amp;AC$8,AC$8),Production!$R$7:$R$425,$AB$6)</f>
        <v>0</v>
      </c>
      <c r="AD9" s="143">
        <f ca="1">COUNTIFS(Production!$J$7:$J$425,$B$6,Production!$I$7:$I$425,AD$7,Production!$M$7:$M$425,IF(AD$8=TIMEVALUE("06:20"),"&lt;="&amp;AD$8,AD$8),Production!$R$7:$R$425,$AB$6,Production!$V$7:$V$425,$B9)</f>
        <v>0</v>
      </c>
      <c r="AE9" s="143">
        <f ca="1">COUNTIFS(Production!$J$7:$J$425,$B$6,Production!$I$7:$I$425,AD$7,Production!$M$7:$M$425,IF(AE$8=TIMEVALUE("06:20"),"&lt;="&amp;AE$8,AE$8),Production!$R$7:$R$425,$AB$6,Production!$V$7:$V$425,$B9)</f>
        <v>0</v>
      </c>
      <c r="AF9" s="143">
        <f ca="1">COUNTIFS(Production!$J$7:$J$425,$B$6,Production!$I$7:$I$425,AF$7,Production!$M$7:$M$425,IF(AF$8=TIMEVALUE("06:20"),"&lt;="&amp;AF$8,AF$8),Production!$R$7:$R$425,$AB$6,Production!$V$7:$V$425,$B9)</f>
        <v>0</v>
      </c>
      <c r="AG9" s="144">
        <f ca="1">COUNTIFS(Production!$J$7:$J$425,$B$6,Production!$I$7:$I$425,AF$7,Production!$M$7:$M$425,IF(AG$8=TIMEVALUE("06:20"),"&lt;="&amp;AG$8,AG$8),Production!$R$7:$R$425,$AB$6,Production!$V$7:$V$425,$B9)</f>
        <v>0</v>
      </c>
      <c r="AI9" s="142">
        <f ca="1">COUNTIFS(Production!$J$7:$J$425,$B$6,Production!$I$7:$I$425,AI$7,Production!$M$7:$M$425,IF(AI$8=TIMEVALUE("06:20"),"&lt;="&amp;AI$8,AI$8),Production!$R$7:$R$425,$AI$6)</f>
        <v>0</v>
      </c>
      <c r="AJ9" s="143">
        <f ca="1">COUNTIFS(Production!$J$7:$J$425,$B$6,Production!$I$7:$I$425,AI$7,Production!$M$7:$M$425,IF(AJ$8=TIMEVALUE("06:20"),"&lt;="&amp;AJ$8,AJ$8),Production!$R$7:$R$425,$AI$6)</f>
        <v>0</v>
      </c>
      <c r="AK9" s="143">
        <f ca="1">COUNTIFS(Production!$J$7:$J$425,$B$6,Production!$I$7:$I$425,AK$7,Production!$M$7:$M$425,IF(AK$8=TIMEVALUE("06:20"),"&lt;="&amp;AK$8,AK$8),Production!$R$7:$R$425,$AI$6,Production!$V$7:$V$425,$B9)</f>
        <v>0</v>
      </c>
      <c r="AL9" s="143">
        <f ca="1">COUNTIFS(Production!$J$7:$J$425,$B$6,Production!$I$7:$I$425,AK$7,Production!$M$7:$M$425,IF(AL$8=TIMEVALUE("06:20"),"&lt;="&amp;AL$8,AL$8),Production!$R$7:$R$425,$AI$6,Production!$V$7:$V$425,$B9)</f>
        <v>0</v>
      </c>
      <c r="AM9" s="143">
        <f ca="1">COUNTIFS(Production!$J$7:$J$425,$B$6,Production!$I$7:$I$425,AM$7,Production!$M$7:$M$425,IF(AM$8=TIMEVALUE("06:20"),"&lt;="&amp;AM$8,AM$8),Production!$R$7:$R$425,$AI$6,Production!$V$7:$V$425,$B9)</f>
        <v>0</v>
      </c>
      <c r="AN9" s="144">
        <f ca="1">COUNTIFS(Production!$J$7:$J$425,$B$6,Production!$I$7:$I$425,AM$7,Production!$M$7:$M$425,IF(AN$8=TIMEVALUE("06:20"),"&lt;="&amp;AN$8,AN$8),Production!$R$7:$R$425,$AI$6,Production!$V$7:$V$425,$B9)</f>
        <v>0</v>
      </c>
    </row>
    <row r="10" spans="2:40">
      <c r="B10" s="138">
        <f ca="1">B9+1</f>
        <v>42714</v>
      </c>
      <c r="C10" s="139">
        <f>COUNTIFS(Production!$J$7:$J$425,$B$6,Production!$I$7:$I$425,C$7,Production!$M$7:$M$425,IF(C$8=TIMEVALUE("06:20"),"&lt;="&amp;C$8,C$8))</f>
        <v>0</v>
      </c>
      <c r="D10" s="139">
        <f>COUNTIFS(Production!$J$7:$J$425,$B$6,Production!$I$7:$I$425,C$7,Production!$M$7:$M$425,IF(D$8=TIMEVALUE("06:20"),"&lt;="&amp;D$8,D$8))</f>
        <v>0</v>
      </c>
      <c r="E10" s="139">
        <f ca="1">COUNTIFS(Production!$J$7:$J$425,$B$6,Production!$I$7:$I$425,E$7,Production!$M$7:$M$425,IF(E$8=TIMEVALUE("06:20"),"&lt;="&amp;E$8,E$8),Production!$R$7:$R$425,$C$6,Production!$V$7:$V$425,$B10)</f>
        <v>0</v>
      </c>
      <c r="F10" s="140">
        <f ca="1">COUNTIFS(Production!$J$7:$J$425,$B$6,Production!$I$7:$I$425,E$7,Production!$M$7:$M$425,IF(F$8=TIMEVALUE("06:20"),"&lt;="&amp;F$8,F$8),Production!$R$7:$R$425,$C$6,Production!$V$7:$V$425,$B10)</f>
        <v>0</v>
      </c>
      <c r="G10" s="141"/>
      <c r="H10" s="142">
        <f ca="1">COUNTIFS(Production!$J$7:$J$425,$B$6,Production!$I$7:$I$425,H$7,Production!$M$7:$M$425,IF(H$8=TIMEVALUE("06:20"),"&lt;="&amp;H$8,H$8),Production!$R$7:$R$425,$H$6)</f>
        <v>4</v>
      </c>
      <c r="I10" s="143">
        <f ca="1">COUNTIFS(Production!$J$7:$J$425,$B$6,Production!$I$7:$I$425,H$7,Production!$M$7:$M$425,IF(I$8=TIMEVALUE("06:20"),"&lt;="&amp;I$8,I$8),Production!$R$7:$R$425,$H$6)</f>
        <v>16</v>
      </c>
      <c r="J10" s="143">
        <f>COUNTIFS(Production!$J$7:$J$425,$B$6,Production!$I$7:$I$425,J$7,Production!$M$7:$M$425,IF(J$8=TIMEVALUE("06:20"),"&lt;="&amp;J$8,J$8),Production!$R$7:$R$425,$H$6)</f>
        <v>0</v>
      </c>
      <c r="K10" s="143">
        <f ca="1">COUNTIFS(Production!$J$7:$J$425,$B$6,Production!$I$7:$I$425,J$7,Production!$M$7:$M$425,IF(K$8=TIMEVALUE("06:20"),"&lt;="&amp;K$8,K$8),Production!$R$7:$R$425,$H$6)</f>
        <v>1</v>
      </c>
      <c r="L10" s="143">
        <f ca="1">COUNTIFS(Production!$J$7:$J$425,$B$6,Production!$I$7:$I$425,L$7,Production!$M$7:$M$425,IF(L$8=TIMEVALUE("06:20"),"&lt;="&amp;L$8,L$8),Production!$R$7:$R$425,$H$6)</f>
        <v>1</v>
      </c>
      <c r="M10" s="143">
        <f ca="1">COUNTIFS(Production!$J$7:$J$425,$B$6,Production!$I$7:$I$425,L$7,Production!$M$7:$M$425,IF(M$8=TIMEVALUE("06:20"),"&lt;="&amp;M$8,M$8),Production!$R$7:$R$425,$H$6)</f>
        <v>2</v>
      </c>
      <c r="N10" s="143">
        <f ca="1">COUNTIFS(Production!$J$7:$J$425,$B$6,Production!$I$7:$I$425,N$7,Production!$M$7:$M$425,IF(N$8=TIMEVALUE("06:20"),"&lt;="&amp;N$8,N$8),Production!$R$7:$R$425,$H$6,Production!$V$7:$V$425,$B10)</f>
        <v>0</v>
      </c>
      <c r="O10" s="143">
        <f ca="1">COUNTIFS(Production!$J$7:$J$425,$B$6,Production!$I$7:$I$425,N$7,Production!$M$7:$M$425,IF(O$8=TIMEVALUE("06:20"),"&lt;="&amp;O$8,O$8),Production!$R$7:$R$425,$H$6,Production!$V$7:$V$425,$B10)</f>
        <v>0</v>
      </c>
      <c r="P10" s="143">
        <f ca="1">COUNTIFS(Production!$J$7:$J$425,$B$6,Production!$I$7:$I$425,P$7,Production!$M$7:$M$425,IF(P$8=TIMEVALUE("06:20"),"&lt;="&amp;P$8,P$8),Production!$R$7:$R$425,$H$6)</f>
        <v>1</v>
      </c>
      <c r="Q10" s="143">
        <f>COUNTIFS(Production!$J$7:$J$425,$B$6,Production!$I$7:$I$425,P$7,Production!$M$7:$M$425,IF(Q$8=TIMEVALUE("06:20"),"&lt;="&amp;Q$8,Q$8),Production!$R$7:$R$425,$H$6)</f>
        <v>0</v>
      </c>
      <c r="R10" s="143">
        <f ca="1">COUNTIFS(Production!$J$7:$J$425,$B$6,Production!$I$7:$I$425,R$7,Production!$M$7:$M$425,IF(R$8=TIMEVALUE("06:20"),"&lt;="&amp;R$8,R$8),Production!$R$7:$R$425,$H$6,Production!$V$7:$V$425,$B10)</f>
        <v>0</v>
      </c>
      <c r="S10" s="144">
        <f ca="1">COUNTIFS(Production!$J$7:$J$425,$B$6,Production!$I$7:$I$425,R$7,Production!$M$7:$M$425,IF(S$8=TIMEVALUE("06:20"),"&lt;="&amp;S$8,S$8),Production!$R$7:$R$425,$H$6,Production!$V$7:$V$425,$B10)</f>
        <v>0</v>
      </c>
      <c r="U10" s="142">
        <f ca="1">COUNTIFS(Production!$J$7:$J$425,$B$6,Production!$I$7:$I$425,U$7,Production!$M$7:$M$425,IF(U$8=TIMEVALUE("06:20"),"&lt;="&amp;U$8,U$8),Production!$R$7:$R$425,$U$6)</f>
        <v>0</v>
      </c>
      <c r="V10" s="143">
        <f ca="1">COUNTIFS(Production!$J$7:$J$425,$B$6,Production!$I$7:$I$425,U$7,Production!$M$7:$M$425,IF(V$8=TIMEVALUE("06:20"),"&lt;="&amp;V$8,V$8),Production!$R$7:$R$425,$U$6)</f>
        <v>0</v>
      </c>
      <c r="W10" s="143">
        <f ca="1">COUNTIFS(Production!$J$7:$J$425,$B$6,Production!$I$7:$I$425,W$7,Production!$M$7:$M$425,IF(W$8=TIMEVALUE("06:20"),"&lt;="&amp;W$8,W$8),Production!$R$7:$R$425,$U$6,Production!$V$7:$V$425,$B10)</f>
        <v>0</v>
      </c>
      <c r="X10" s="143">
        <f ca="1">COUNTIFS(Production!$J$7:$J$425,$B$6,Production!$I$7:$I$425,W$7,Production!$M$7:$M$425,IF(X$8=TIMEVALUE("06:20"),"&lt;="&amp;X$8,X$8),Production!$R$7:$R$425,$U$6,Production!$V$7:$V$425,$B10)</f>
        <v>0</v>
      </c>
      <c r="Y10" s="143">
        <f ca="1">COUNTIFS(Production!$J$7:$J$425,$B$6,Production!$I$7:$I$425,Y$7,Production!$M$7:$M$425,IF(Y$8=TIMEVALUE("06:20"),"&lt;="&amp;Y$8,Y$8),Production!$R$7:$R$425,$U$6,Production!$V$7:$V$425,$B10)</f>
        <v>0</v>
      </c>
      <c r="Z10" s="144">
        <f ca="1">COUNTIFS(Production!$J$7:$J$425,$B$6,Production!$I$7:$I$425,Y$7,Production!$M$7:$M$425,IF(Z$8=TIMEVALUE("06:20"),"&lt;="&amp;Z$8,Z$8),Production!$R$7:$R$425,$U$6,Production!$V$7:$V$425,$B10)</f>
        <v>0</v>
      </c>
      <c r="AA10" s="1"/>
      <c r="AB10" s="142">
        <f ca="1">COUNTIFS(Production!$J$7:$J$425,$B$6,Production!$I$7:$I$425,AB$7,Production!$M$7:$M$425,IF(AB$8=TIMEVALUE("06:20"),"&lt;="&amp;AB$8,AB$8),Production!$R$7:$R$425,$AB$6)</f>
        <v>0</v>
      </c>
      <c r="AC10" s="143">
        <f ca="1">COUNTIFS(Production!$J$7:$J$425,$B$6,Production!$I$7:$I$425,AB$7,Production!$M$7:$M$425,IF(AC$8=TIMEVALUE("06:20"),"&lt;="&amp;AC$8,AC$8),Production!$R$7:$R$425,$AB$6)</f>
        <v>0</v>
      </c>
      <c r="AD10" s="143">
        <f ca="1">COUNTIFS(Production!$J$7:$J$425,$B$6,Production!$I$7:$I$425,AD$7,Production!$M$7:$M$425,IF(AD$8=TIMEVALUE("06:20"),"&lt;="&amp;AD$8,AD$8),Production!$R$7:$R$425,$AB$6,Production!$V$7:$V$425,$B10)</f>
        <v>0</v>
      </c>
      <c r="AE10" s="143">
        <f ca="1">COUNTIFS(Production!$J$7:$J$425,$B$6,Production!$I$7:$I$425,AD$7,Production!$M$7:$M$425,IF(AE$8=TIMEVALUE("06:20"),"&lt;="&amp;AE$8,AE$8),Production!$R$7:$R$425,$AB$6,Production!$V$7:$V$425,$B10)</f>
        <v>0</v>
      </c>
      <c r="AF10" s="143">
        <f ca="1">COUNTIFS(Production!$J$7:$J$425,$B$6,Production!$I$7:$I$425,AF$7,Production!$M$7:$M$425,IF(AF$8=TIMEVALUE("06:20"),"&lt;="&amp;AF$8,AF$8),Production!$R$7:$R$425,$AB$6,Production!$V$7:$V$425,$B10)</f>
        <v>0</v>
      </c>
      <c r="AG10" s="144">
        <f ca="1">COUNTIFS(Production!$J$7:$J$425,$B$6,Production!$I$7:$I$425,AF$7,Production!$M$7:$M$425,IF(AG$8=TIMEVALUE("06:20"),"&lt;="&amp;AG$8,AG$8),Production!$R$7:$R$425,$AB$6,Production!$V$7:$V$425,$B10)</f>
        <v>0</v>
      </c>
      <c r="AI10" s="142">
        <f ca="1">COUNTIFS(Production!$J$7:$J$425,$B$6,Production!$I$7:$I$425,AI$7,Production!$M$7:$M$425,IF(AI$8=TIMEVALUE("06:20"),"&lt;="&amp;AI$8,AI$8),Production!$R$7:$R$425,$AI$6)</f>
        <v>0</v>
      </c>
      <c r="AJ10" s="143">
        <f ca="1">COUNTIFS(Production!$J$7:$J$425,$B$6,Production!$I$7:$I$425,AI$7,Production!$M$7:$M$425,IF(AJ$8=TIMEVALUE("06:20"),"&lt;="&amp;AJ$8,AJ$8),Production!$R$7:$R$425,$AI$6)</f>
        <v>0</v>
      </c>
      <c r="AK10" s="143">
        <f ca="1">COUNTIFS(Production!$J$7:$J$425,$B$6,Production!$I$7:$I$425,AK$7,Production!$M$7:$M$425,IF(AK$8=TIMEVALUE("06:20"),"&lt;="&amp;AK$8,AK$8),Production!$R$7:$R$425,$AI$6,Production!$V$7:$V$425,$B10)</f>
        <v>0</v>
      </c>
      <c r="AL10" s="143">
        <f ca="1">COUNTIFS(Production!$J$7:$J$425,$B$6,Production!$I$7:$I$425,AK$7,Production!$M$7:$M$425,IF(AL$8=TIMEVALUE("06:20"),"&lt;="&amp;AL$8,AL$8),Production!$R$7:$R$425,$AI$6,Production!$V$7:$V$425,$B10)</f>
        <v>0</v>
      </c>
      <c r="AM10" s="143">
        <f ca="1">COUNTIFS(Production!$J$7:$J$425,$B$6,Production!$I$7:$I$425,AM$7,Production!$M$7:$M$425,IF(AM$8=TIMEVALUE("06:20"),"&lt;="&amp;AM$8,AM$8),Production!$R$7:$R$425,$AI$6,Production!$V$7:$V$425,$B10)</f>
        <v>0</v>
      </c>
      <c r="AN10" s="144">
        <f ca="1">COUNTIFS(Production!$J$7:$J$425,$B$6,Production!$I$7:$I$425,AM$7,Production!$M$7:$M$425,IF(AN$8=TIMEVALUE("06:20"),"&lt;="&amp;AN$8,AN$8),Production!$R$7:$R$425,$AI$6,Production!$V$7:$V$425,$B10)</f>
        <v>0</v>
      </c>
    </row>
    <row r="11" spans="2:40">
      <c r="B11" s="138">
        <f t="shared" ref="B11:B15" ca="1" si="0">B10+1</f>
        <v>42715</v>
      </c>
      <c r="C11" s="139">
        <f>COUNTIFS(Production!$J$7:$J$425,$B$6,Production!$I$7:$I$425,C$7,Production!$M$7:$M$425,IF(C$8=TIMEVALUE("06:20"),"&lt;="&amp;C$8,C$8))</f>
        <v>0</v>
      </c>
      <c r="D11" s="139">
        <f>COUNTIFS(Production!$J$7:$J$425,$B$6,Production!$I$7:$I$425,C$7,Production!$M$7:$M$425,IF(D$8=TIMEVALUE("06:20"),"&lt;="&amp;D$8,D$8))</f>
        <v>0</v>
      </c>
      <c r="E11" s="139">
        <f ca="1">COUNTIFS(Production!$J$7:$J$425,$B$6,Production!$I$7:$I$425,E$7,Production!$M$7:$M$425,IF(E$8=TIMEVALUE("06:20"),"&lt;="&amp;E$8,E$8),Production!$R$7:$R$425,$C$6,Production!$V$7:$V$425,$B11)</f>
        <v>0</v>
      </c>
      <c r="F11" s="140">
        <f ca="1">COUNTIFS(Production!$J$7:$J$425,$B$6,Production!$I$7:$I$425,E$7,Production!$M$7:$M$425,IF(F$8=TIMEVALUE("06:20"),"&lt;="&amp;F$8,F$8),Production!$R$7:$R$425,$C$6,Production!$V$7:$V$425,$B11)</f>
        <v>0</v>
      </c>
      <c r="G11" s="141"/>
      <c r="H11" s="142">
        <f ca="1">COUNTIFS(Production!$J$7:$J$425,$B$6,Production!$I$7:$I$425,H$7,Production!$M$7:$M$425,IF(H$8=TIMEVALUE("06:20"),"&lt;="&amp;H$8,H$8),Production!$R$7:$R$425,$H$6)</f>
        <v>4</v>
      </c>
      <c r="I11" s="143">
        <f ca="1">COUNTIFS(Production!$J$7:$J$425,$B$6,Production!$I$7:$I$425,H$7,Production!$M$7:$M$425,IF(I$8=TIMEVALUE("06:20"),"&lt;="&amp;I$8,I$8),Production!$R$7:$R$425,$H$6)</f>
        <v>16</v>
      </c>
      <c r="J11" s="143">
        <f>COUNTIFS(Production!$J$7:$J$425,$B$6,Production!$I$7:$I$425,J$7,Production!$M$7:$M$425,IF(J$8=TIMEVALUE("06:20"),"&lt;="&amp;J$8,J$8),Production!$R$7:$R$425,$H$6)</f>
        <v>0</v>
      </c>
      <c r="K11" s="143">
        <f ca="1">COUNTIFS(Production!$J$7:$J$425,$B$6,Production!$I$7:$I$425,J$7,Production!$M$7:$M$425,IF(K$8=TIMEVALUE("06:20"),"&lt;="&amp;K$8,K$8),Production!$R$7:$R$425,$H$6)</f>
        <v>1</v>
      </c>
      <c r="L11" s="143">
        <f ca="1">COUNTIFS(Production!$J$7:$J$425,$B$6,Production!$I$7:$I$425,L$7,Production!$M$7:$M$425,IF(L$8=TIMEVALUE("06:20"),"&lt;="&amp;L$8,L$8),Production!$R$7:$R$425,$H$6)</f>
        <v>1</v>
      </c>
      <c r="M11" s="143">
        <f ca="1">COUNTIFS(Production!$J$7:$J$425,$B$6,Production!$I$7:$I$425,L$7,Production!$M$7:$M$425,IF(M$8=TIMEVALUE("06:20"),"&lt;="&amp;M$8,M$8),Production!$R$7:$R$425,$H$6)</f>
        <v>2</v>
      </c>
      <c r="N11" s="143">
        <f ca="1">COUNTIFS(Production!$J$7:$J$425,$B$6,Production!$I$7:$I$425,N$7,Production!$M$7:$M$425,IF(N$8=TIMEVALUE("06:20"),"&lt;="&amp;N$8,N$8),Production!$R$7:$R$425,$H$6,Production!$V$7:$V$425,$B11)</f>
        <v>0</v>
      </c>
      <c r="O11" s="143">
        <f ca="1">COUNTIFS(Production!$J$7:$J$425,$B$6,Production!$I$7:$I$425,N$7,Production!$M$7:$M$425,IF(O$8=TIMEVALUE("06:20"),"&lt;="&amp;O$8,O$8),Production!$R$7:$R$425,$H$6,Production!$V$7:$V$425,$B11)</f>
        <v>0</v>
      </c>
      <c r="P11" s="143">
        <f ca="1">COUNTIFS(Production!$J$7:$J$425,$B$6,Production!$I$7:$I$425,P$7,Production!$M$7:$M$425,IF(P$8=TIMEVALUE("06:20"),"&lt;="&amp;P$8,P$8),Production!$R$7:$R$425,$H$6)</f>
        <v>1</v>
      </c>
      <c r="Q11" s="143">
        <f>COUNTIFS(Production!$J$7:$J$425,$B$6,Production!$I$7:$I$425,P$7,Production!$M$7:$M$425,IF(Q$8=TIMEVALUE("06:20"),"&lt;="&amp;Q$8,Q$8),Production!$R$7:$R$425,$H$6)</f>
        <v>0</v>
      </c>
      <c r="R11" s="143">
        <f ca="1">COUNTIFS(Production!$J$7:$J$425,$B$6,Production!$I$7:$I$425,R$7,Production!$M$7:$M$425,IF(R$8=TIMEVALUE("06:20"),"&lt;="&amp;R$8,R$8),Production!$R$7:$R$425,$H$6,Production!$V$7:$V$425,$B11)</f>
        <v>0</v>
      </c>
      <c r="S11" s="144">
        <f ca="1">COUNTIFS(Production!$J$7:$J$425,$B$6,Production!$I$7:$I$425,R$7,Production!$M$7:$M$425,IF(S$8=TIMEVALUE("06:20"),"&lt;="&amp;S$8,S$8),Production!$R$7:$R$425,$H$6,Production!$V$7:$V$425,$B11)</f>
        <v>0</v>
      </c>
      <c r="U11" s="142">
        <f ca="1">COUNTIFS(Production!$J$7:$J$425,$B$6,Production!$I$7:$I$425,U$7,Production!$M$7:$M$425,IF(U$8=TIMEVALUE("06:20"),"&lt;="&amp;U$8,U$8),Production!$R$7:$R$425,$U$6)</f>
        <v>0</v>
      </c>
      <c r="V11" s="143">
        <f ca="1">COUNTIFS(Production!$J$7:$J$425,$B$6,Production!$I$7:$I$425,U$7,Production!$M$7:$M$425,IF(V$8=TIMEVALUE("06:20"),"&lt;="&amp;V$8,V$8),Production!$R$7:$R$425,$U$6)</f>
        <v>0</v>
      </c>
      <c r="W11" s="143">
        <f ca="1">COUNTIFS(Production!$J$7:$J$425,$B$6,Production!$I$7:$I$425,W$7,Production!$M$7:$M$425,IF(W$8=TIMEVALUE("06:20"),"&lt;="&amp;W$8,W$8),Production!$R$7:$R$425,$U$6,Production!$V$7:$V$425,$B11)</f>
        <v>0</v>
      </c>
      <c r="X11" s="143">
        <f ca="1">COUNTIFS(Production!$J$7:$J$425,$B$6,Production!$I$7:$I$425,W$7,Production!$M$7:$M$425,IF(X$8=TIMEVALUE("06:20"),"&lt;="&amp;X$8,X$8),Production!$R$7:$R$425,$U$6,Production!$V$7:$V$425,$B11)</f>
        <v>0</v>
      </c>
      <c r="Y11" s="143">
        <f ca="1">COUNTIFS(Production!$J$7:$J$425,$B$6,Production!$I$7:$I$425,Y$7,Production!$M$7:$M$425,IF(Y$8=TIMEVALUE("06:20"),"&lt;="&amp;Y$8,Y$8),Production!$R$7:$R$425,$U$6,Production!$V$7:$V$425,$B11)</f>
        <v>0</v>
      </c>
      <c r="Z11" s="144">
        <f ca="1">COUNTIFS(Production!$J$7:$J$425,$B$6,Production!$I$7:$I$425,Y$7,Production!$M$7:$M$425,IF(Z$8=TIMEVALUE("06:20"),"&lt;="&amp;Z$8,Z$8),Production!$R$7:$R$425,$U$6,Production!$V$7:$V$425,$B11)</f>
        <v>0</v>
      </c>
      <c r="AA11" s="1"/>
      <c r="AB11" s="142">
        <f ca="1">COUNTIFS(Production!$J$7:$J$425,$B$6,Production!$I$7:$I$425,AB$7,Production!$M$7:$M$425,IF(AB$8=TIMEVALUE("06:20"),"&lt;="&amp;AB$8,AB$8),Production!$R$7:$R$425,$AB$6)</f>
        <v>0</v>
      </c>
      <c r="AC11" s="143">
        <f ca="1">COUNTIFS(Production!$J$7:$J$425,$B$6,Production!$I$7:$I$425,AB$7,Production!$M$7:$M$425,IF(AC$8=TIMEVALUE("06:20"),"&lt;="&amp;AC$8,AC$8),Production!$R$7:$R$425,$AB$6)</f>
        <v>0</v>
      </c>
      <c r="AD11" s="143">
        <f ca="1">COUNTIFS(Production!$J$7:$J$425,$B$6,Production!$I$7:$I$425,AD$7,Production!$M$7:$M$425,IF(AD$8=TIMEVALUE("06:20"),"&lt;="&amp;AD$8,AD$8),Production!$R$7:$R$425,$AB$6,Production!$V$7:$V$425,$B11)</f>
        <v>0</v>
      </c>
      <c r="AE11" s="143">
        <f ca="1">COUNTIFS(Production!$J$7:$J$425,$B$6,Production!$I$7:$I$425,AD$7,Production!$M$7:$M$425,IF(AE$8=TIMEVALUE("06:20"),"&lt;="&amp;AE$8,AE$8),Production!$R$7:$R$425,$AB$6,Production!$V$7:$V$425,$B11)</f>
        <v>0</v>
      </c>
      <c r="AF11" s="143">
        <f ca="1">COUNTIFS(Production!$J$7:$J$425,$B$6,Production!$I$7:$I$425,AF$7,Production!$M$7:$M$425,IF(AF$8=TIMEVALUE("06:20"),"&lt;="&amp;AF$8,AF$8),Production!$R$7:$R$425,$AB$6,Production!$V$7:$V$425,$B11)</f>
        <v>0</v>
      </c>
      <c r="AG11" s="144">
        <f ca="1">COUNTIFS(Production!$J$7:$J$425,$B$6,Production!$I$7:$I$425,AF$7,Production!$M$7:$M$425,IF(AG$8=TIMEVALUE("06:20"),"&lt;="&amp;AG$8,AG$8),Production!$R$7:$R$425,$AB$6,Production!$V$7:$V$425,$B11)</f>
        <v>0</v>
      </c>
      <c r="AI11" s="142">
        <f ca="1">COUNTIFS(Production!$J$7:$J$425,$B$6,Production!$I$7:$I$425,AI$7,Production!$M$7:$M$425,IF(AI$8=TIMEVALUE("06:20"),"&lt;="&amp;AI$8,AI$8),Production!$R$7:$R$425,$AI$6)</f>
        <v>0</v>
      </c>
      <c r="AJ11" s="143">
        <f ca="1">COUNTIFS(Production!$J$7:$J$425,$B$6,Production!$I$7:$I$425,AI$7,Production!$M$7:$M$425,IF(AJ$8=TIMEVALUE("06:20"),"&lt;="&amp;AJ$8,AJ$8),Production!$R$7:$R$425,$AI$6)</f>
        <v>0</v>
      </c>
      <c r="AK11" s="143">
        <f ca="1">COUNTIFS(Production!$J$7:$J$425,$B$6,Production!$I$7:$I$425,AK$7,Production!$M$7:$M$425,IF(AK$8=TIMEVALUE("06:20"),"&lt;="&amp;AK$8,AK$8),Production!$R$7:$R$425,$AI$6,Production!$V$7:$V$425,$B11)</f>
        <v>0</v>
      </c>
      <c r="AL11" s="143">
        <f ca="1">COUNTIFS(Production!$J$7:$J$425,$B$6,Production!$I$7:$I$425,AK$7,Production!$M$7:$M$425,IF(AL$8=TIMEVALUE("06:20"),"&lt;="&amp;AL$8,AL$8),Production!$R$7:$R$425,$AI$6,Production!$V$7:$V$425,$B11)</f>
        <v>0</v>
      </c>
      <c r="AM11" s="143">
        <f ca="1">COUNTIFS(Production!$J$7:$J$425,$B$6,Production!$I$7:$I$425,AM$7,Production!$M$7:$M$425,IF(AM$8=TIMEVALUE("06:20"),"&lt;="&amp;AM$8,AM$8),Production!$R$7:$R$425,$AI$6,Production!$V$7:$V$425,$B11)</f>
        <v>0</v>
      </c>
      <c r="AN11" s="144">
        <f ca="1">COUNTIFS(Production!$J$7:$J$425,$B$6,Production!$I$7:$I$425,AM$7,Production!$M$7:$M$425,IF(AN$8=TIMEVALUE("06:20"),"&lt;="&amp;AN$8,AN$8),Production!$R$7:$R$425,$AI$6,Production!$V$7:$V$425,$B11)</f>
        <v>0</v>
      </c>
    </row>
    <row r="12" spans="2:40">
      <c r="B12" s="138">
        <f t="shared" ca="1" si="0"/>
        <v>42716</v>
      </c>
      <c r="C12" s="139">
        <f>COUNTIFS(Production!$J$7:$J$425,$B$6,Production!$I$7:$I$425,C$7,Production!$M$7:$M$425,IF(C$8=TIMEVALUE("06:20"),"&lt;="&amp;C$8,C$8))</f>
        <v>0</v>
      </c>
      <c r="D12" s="139">
        <f>COUNTIFS(Production!$J$7:$J$425,$B$6,Production!$I$7:$I$425,C$7,Production!$M$7:$M$425,IF(D$8=TIMEVALUE("06:20"),"&lt;="&amp;D$8,D$8))</f>
        <v>0</v>
      </c>
      <c r="E12" s="139">
        <f ca="1">COUNTIFS(Production!$J$7:$J$425,$B$6,Production!$I$7:$I$425,E$7,Production!$M$7:$M$425,IF(E$8=TIMEVALUE("06:20"),"&lt;="&amp;E$8,E$8),Production!$R$7:$R$425,$C$6,Production!$V$7:$V$425,$B12)</f>
        <v>0</v>
      </c>
      <c r="F12" s="140">
        <f ca="1">COUNTIFS(Production!$J$7:$J$425,$B$6,Production!$I$7:$I$425,E$7,Production!$M$7:$M$425,IF(F$8=TIMEVALUE("06:20"),"&lt;="&amp;F$8,F$8),Production!$R$7:$R$425,$C$6,Production!$V$7:$V$425,$B12)</f>
        <v>0</v>
      </c>
      <c r="G12" s="141"/>
      <c r="H12" s="142">
        <f ca="1">COUNTIFS(Production!$J$7:$J$425,$B$6,Production!$I$7:$I$425,H$7,Production!$M$7:$M$425,IF(H$8=TIMEVALUE("06:20"),"&lt;="&amp;H$8,H$8),Production!$R$7:$R$425,$H$6)</f>
        <v>4</v>
      </c>
      <c r="I12" s="143">
        <f ca="1">COUNTIFS(Production!$J$7:$J$425,$B$6,Production!$I$7:$I$425,H$7,Production!$M$7:$M$425,IF(I$8=TIMEVALUE("06:20"),"&lt;="&amp;I$8,I$8),Production!$R$7:$R$425,$H$6)</f>
        <v>16</v>
      </c>
      <c r="J12" s="143">
        <f>COUNTIFS(Production!$J$7:$J$425,$B$6,Production!$I$7:$I$425,J$7,Production!$M$7:$M$425,IF(J$8=TIMEVALUE("06:20"),"&lt;="&amp;J$8,J$8),Production!$R$7:$R$425,$H$6)</f>
        <v>0</v>
      </c>
      <c r="K12" s="143">
        <f ca="1">COUNTIFS(Production!$J$7:$J$425,$B$6,Production!$I$7:$I$425,J$7,Production!$M$7:$M$425,IF(K$8=TIMEVALUE("06:20"),"&lt;="&amp;K$8,K$8),Production!$R$7:$R$425,$H$6)</f>
        <v>1</v>
      </c>
      <c r="L12" s="143">
        <f ca="1">COUNTIFS(Production!$J$7:$J$425,$B$6,Production!$I$7:$I$425,L$7,Production!$M$7:$M$425,IF(L$8=TIMEVALUE("06:20"),"&lt;="&amp;L$8,L$8),Production!$R$7:$R$425,$H$6)</f>
        <v>1</v>
      </c>
      <c r="M12" s="143">
        <f ca="1">COUNTIFS(Production!$J$7:$J$425,$B$6,Production!$I$7:$I$425,L$7,Production!$M$7:$M$425,IF(M$8=TIMEVALUE("06:20"),"&lt;="&amp;M$8,M$8),Production!$R$7:$R$425,$H$6)</f>
        <v>2</v>
      </c>
      <c r="N12" s="143">
        <f ca="1">COUNTIFS(Production!$J$7:$J$425,$B$6,Production!$I$7:$I$425,N$7,Production!$M$7:$M$425,IF(N$8=TIMEVALUE("06:20"),"&lt;="&amp;N$8,N$8),Production!$R$7:$R$425,$H$6,Production!$V$7:$V$425,$B12)</f>
        <v>0</v>
      </c>
      <c r="O12" s="143">
        <f ca="1">COUNTIFS(Production!$J$7:$J$425,$B$6,Production!$I$7:$I$425,N$7,Production!$M$7:$M$425,IF(O$8=TIMEVALUE("06:20"),"&lt;="&amp;O$8,O$8),Production!$R$7:$R$425,$H$6,Production!$V$7:$V$425,$B12)</f>
        <v>0</v>
      </c>
      <c r="P12" s="143">
        <f ca="1">COUNTIFS(Production!$J$7:$J$425,$B$6,Production!$I$7:$I$425,P$7,Production!$M$7:$M$425,IF(P$8=TIMEVALUE("06:20"),"&lt;="&amp;P$8,P$8),Production!$R$7:$R$425,$H$6)</f>
        <v>1</v>
      </c>
      <c r="Q12" s="143">
        <f>COUNTIFS(Production!$J$7:$J$425,$B$6,Production!$I$7:$I$425,P$7,Production!$M$7:$M$425,IF(Q$8=TIMEVALUE("06:20"),"&lt;="&amp;Q$8,Q$8),Production!$R$7:$R$425,$H$6)</f>
        <v>0</v>
      </c>
      <c r="R12" s="143">
        <f ca="1">COUNTIFS(Production!$J$7:$J$425,$B$6,Production!$I$7:$I$425,R$7,Production!$M$7:$M$425,IF(R$8=TIMEVALUE("06:20"),"&lt;="&amp;R$8,R$8),Production!$R$7:$R$425,$H$6,Production!$V$7:$V$425,$B12)</f>
        <v>0</v>
      </c>
      <c r="S12" s="144">
        <f ca="1">COUNTIFS(Production!$J$7:$J$425,$B$6,Production!$I$7:$I$425,R$7,Production!$M$7:$M$425,IF(S$8=TIMEVALUE("06:20"),"&lt;="&amp;S$8,S$8),Production!$R$7:$R$425,$H$6,Production!$V$7:$V$425,$B12)</f>
        <v>0</v>
      </c>
      <c r="U12" s="142">
        <f ca="1">COUNTIFS(Production!$J$7:$J$425,$B$6,Production!$I$7:$I$425,U$7,Production!$M$7:$M$425,IF(U$8=TIMEVALUE("06:20"),"&lt;="&amp;U$8,U$8),Production!$R$7:$R$425,$U$6)</f>
        <v>0</v>
      </c>
      <c r="V12" s="143">
        <f ca="1">COUNTIFS(Production!$J$7:$J$425,$B$6,Production!$I$7:$I$425,U$7,Production!$M$7:$M$425,IF(V$8=TIMEVALUE("06:20"),"&lt;="&amp;V$8,V$8),Production!$R$7:$R$425,$U$6)</f>
        <v>0</v>
      </c>
      <c r="W12" s="143">
        <f ca="1">COUNTIFS(Production!$J$7:$J$425,$B$6,Production!$I$7:$I$425,W$7,Production!$M$7:$M$425,IF(W$8=TIMEVALUE("06:20"),"&lt;="&amp;W$8,W$8),Production!$R$7:$R$425,$U$6,Production!$V$7:$V$425,$B12)</f>
        <v>0</v>
      </c>
      <c r="X12" s="143">
        <f ca="1">COUNTIFS(Production!$J$7:$J$425,$B$6,Production!$I$7:$I$425,W$7,Production!$M$7:$M$425,IF(X$8=TIMEVALUE("06:20"),"&lt;="&amp;X$8,X$8),Production!$R$7:$R$425,$U$6,Production!$V$7:$V$425,$B12)</f>
        <v>0</v>
      </c>
      <c r="Y12" s="143">
        <f ca="1">COUNTIFS(Production!$J$7:$J$425,$B$6,Production!$I$7:$I$425,Y$7,Production!$M$7:$M$425,IF(Y$8=TIMEVALUE("06:20"),"&lt;="&amp;Y$8,Y$8),Production!$R$7:$R$425,$U$6,Production!$V$7:$V$425,$B12)</f>
        <v>0</v>
      </c>
      <c r="Z12" s="144">
        <f ca="1">COUNTIFS(Production!$J$7:$J$425,$B$6,Production!$I$7:$I$425,Y$7,Production!$M$7:$M$425,IF(Z$8=TIMEVALUE("06:20"),"&lt;="&amp;Z$8,Z$8),Production!$R$7:$R$425,$U$6,Production!$V$7:$V$425,$B12)</f>
        <v>0</v>
      </c>
      <c r="AA12" s="1"/>
      <c r="AB12" s="142">
        <f ca="1">COUNTIFS(Production!$J$7:$J$425,$B$6,Production!$I$7:$I$425,AB$7,Production!$M$7:$M$425,IF(AB$8=TIMEVALUE("06:20"),"&lt;="&amp;AB$8,AB$8),Production!$R$7:$R$425,$AB$6)</f>
        <v>0</v>
      </c>
      <c r="AC12" s="143">
        <f ca="1">COUNTIFS(Production!$J$7:$J$425,$B$6,Production!$I$7:$I$425,AB$7,Production!$M$7:$M$425,IF(AC$8=TIMEVALUE("06:20"),"&lt;="&amp;AC$8,AC$8),Production!$R$7:$R$425,$AB$6)</f>
        <v>0</v>
      </c>
      <c r="AD12" s="143">
        <f ca="1">COUNTIFS(Production!$J$7:$J$425,$B$6,Production!$I$7:$I$425,AD$7,Production!$M$7:$M$425,IF(AD$8=TIMEVALUE("06:20"),"&lt;="&amp;AD$8,AD$8),Production!$R$7:$R$425,$AB$6,Production!$V$7:$V$425,$B12)</f>
        <v>0</v>
      </c>
      <c r="AE12" s="143">
        <f ca="1">COUNTIFS(Production!$J$7:$J$425,$B$6,Production!$I$7:$I$425,AD$7,Production!$M$7:$M$425,IF(AE$8=TIMEVALUE("06:20"),"&lt;="&amp;AE$8,AE$8),Production!$R$7:$R$425,$AB$6,Production!$V$7:$V$425,$B12)</f>
        <v>0</v>
      </c>
      <c r="AF12" s="143">
        <f ca="1">COUNTIFS(Production!$J$7:$J$425,$B$6,Production!$I$7:$I$425,AF$7,Production!$M$7:$M$425,IF(AF$8=TIMEVALUE("06:20"),"&lt;="&amp;AF$8,AF$8),Production!$R$7:$R$425,$AB$6,Production!$V$7:$V$425,$B12)</f>
        <v>0</v>
      </c>
      <c r="AG12" s="144">
        <f ca="1">COUNTIFS(Production!$J$7:$J$425,$B$6,Production!$I$7:$I$425,AF$7,Production!$M$7:$M$425,IF(AG$8=TIMEVALUE("06:20"),"&lt;="&amp;AG$8,AG$8),Production!$R$7:$R$425,$AB$6,Production!$V$7:$V$425,$B12)</f>
        <v>0</v>
      </c>
      <c r="AI12" s="142">
        <f ca="1">COUNTIFS(Production!$J$7:$J$425,$B$6,Production!$I$7:$I$425,AI$7,Production!$M$7:$M$425,IF(AI$8=TIMEVALUE("06:20"),"&lt;="&amp;AI$8,AI$8),Production!$R$7:$R$425,$AI$6)</f>
        <v>0</v>
      </c>
      <c r="AJ12" s="143">
        <f ca="1">COUNTIFS(Production!$J$7:$J$425,$B$6,Production!$I$7:$I$425,AI$7,Production!$M$7:$M$425,IF(AJ$8=TIMEVALUE("06:20"),"&lt;="&amp;AJ$8,AJ$8),Production!$R$7:$R$425,$AI$6)</f>
        <v>0</v>
      </c>
      <c r="AK12" s="143">
        <f ca="1">COUNTIFS(Production!$J$7:$J$425,$B$6,Production!$I$7:$I$425,AK$7,Production!$M$7:$M$425,IF(AK$8=TIMEVALUE("06:20"),"&lt;="&amp;AK$8,AK$8),Production!$R$7:$R$425,$AI$6,Production!$V$7:$V$425,$B12)</f>
        <v>0</v>
      </c>
      <c r="AL12" s="143">
        <f ca="1">COUNTIFS(Production!$J$7:$J$425,$B$6,Production!$I$7:$I$425,AK$7,Production!$M$7:$M$425,IF(AL$8=TIMEVALUE("06:20"),"&lt;="&amp;AL$8,AL$8),Production!$R$7:$R$425,$AI$6,Production!$V$7:$V$425,$B12)</f>
        <v>0</v>
      </c>
      <c r="AM12" s="143">
        <f ca="1">COUNTIFS(Production!$J$7:$J$425,$B$6,Production!$I$7:$I$425,AM$7,Production!$M$7:$M$425,IF(AM$8=TIMEVALUE("06:20"),"&lt;="&amp;AM$8,AM$8),Production!$R$7:$R$425,$AI$6,Production!$V$7:$V$425,$B12)</f>
        <v>0</v>
      </c>
      <c r="AN12" s="144">
        <f ca="1">COUNTIFS(Production!$J$7:$J$425,$B$6,Production!$I$7:$I$425,AM$7,Production!$M$7:$M$425,IF(AN$8=TIMEVALUE("06:20"),"&lt;="&amp;AN$8,AN$8),Production!$R$7:$R$425,$AI$6,Production!$V$7:$V$425,$B12)</f>
        <v>0</v>
      </c>
    </row>
    <row r="13" spans="2:40">
      <c r="B13" s="138">
        <f t="shared" ca="1" si="0"/>
        <v>42717</v>
      </c>
      <c r="C13" s="139">
        <f>COUNTIFS(Production!$J$7:$J$425,$B$6,Production!$I$7:$I$425,C$7,Production!$M$7:$M$425,IF(C$8=TIMEVALUE("06:20"),"&lt;="&amp;C$8,C$8))</f>
        <v>0</v>
      </c>
      <c r="D13" s="139">
        <f>COUNTIFS(Production!$J$7:$J$425,$B$6,Production!$I$7:$I$425,C$7,Production!$M$7:$M$425,IF(D$8=TIMEVALUE("06:20"),"&lt;="&amp;D$8,D$8))</f>
        <v>0</v>
      </c>
      <c r="E13" s="139">
        <f ca="1">COUNTIFS(Production!$J$7:$J$425,$B$6,Production!$I$7:$I$425,E$7,Production!$M$7:$M$425,IF(E$8=TIMEVALUE("06:20"),"&lt;="&amp;E$8,E$8),Production!$R$7:$R$425,$C$6,Production!$V$7:$V$425,$B13)</f>
        <v>0</v>
      </c>
      <c r="F13" s="140">
        <f ca="1">COUNTIFS(Production!$J$7:$J$425,$B$6,Production!$I$7:$I$425,E$7,Production!$M$7:$M$425,IF(F$8=TIMEVALUE("06:20"),"&lt;="&amp;F$8,F$8),Production!$R$7:$R$425,$C$6,Production!$V$7:$V$425,$B13)</f>
        <v>0</v>
      </c>
      <c r="G13" s="141"/>
      <c r="H13" s="142">
        <f ca="1">COUNTIFS(Production!$J$7:$J$425,$B$6,Production!$I$7:$I$425,H$7,Production!$M$7:$M$425,IF(H$8=TIMEVALUE("06:20"),"&lt;="&amp;H$8,H$8),Production!$R$7:$R$425,$H$6)</f>
        <v>4</v>
      </c>
      <c r="I13" s="143">
        <f ca="1">COUNTIFS(Production!$J$7:$J$425,$B$6,Production!$I$7:$I$425,H$7,Production!$M$7:$M$425,IF(I$8=TIMEVALUE("06:20"),"&lt;="&amp;I$8,I$8),Production!$R$7:$R$425,$H$6)</f>
        <v>16</v>
      </c>
      <c r="J13" s="143">
        <f>COUNTIFS(Production!$J$7:$J$425,$B$6,Production!$I$7:$I$425,J$7,Production!$M$7:$M$425,IF(J$8=TIMEVALUE("06:20"),"&lt;="&amp;J$8,J$8),Production!$R$7:$R$425,$H$6)</f>
        <v>0</v>
      </c>
      <c r="K13" s="143">
        <f ca="1">COUNTIFS(Production!$J$7:$J$425,$B$6,Production!$I$7:$I$425,J$7,Production!$M$7:$M$425,IF(K$8=TIMEVALUE("06:20"),"&lt;="&amp;K$8,K$8),Production!$R$7:$R$425,$H$6)</f>
        <v>1</v>
      </c>
      <c r="L13" s="143">
        <f ca="1">COUNTIFS(Production!$J$7:$J$425,$B$6,Production!$I$7:$I$425,L$7,Production!$M$7:$M$425,IF(L$8=TIMEVALUE("06:20"),"&lt;="&amp;L$8,L$8),Production!$R$7:$R$425,$H$6)</f>
        <v>1</v>
      </c>
      <c r="M13" s="143">
        <f ca="1">COUNTIFS(Production!$J$7:$J$425,$B$6,Production!$I$7:$I$425,L$7,Production!$M$7:$M$425,IF(M$8=TIMEVALUE("06:20"),"&lt;="&amp;M$8,M$8),Production!$R$7:$R$425,$H$6)</f>
        <v>2</v>
      </c>
      <c r="N13" s="143">
        <f ca="1">COUNTIFS(Production!$J$7:$J$425,$B$6,Production!$I$7:$I$425,N$7,Production!$M$7:$M$425,IF(N$8=TIMEVALUE("06:20"),"&lt;="&amp;N$8,N$8),Production!$R$7:$R$425,$H$6,Production!$V$7:$V$425,$B13)</f>
        <v>0</v>
      </c>
      <c r="O13" s="143">
        <f ca="1">COUNTIFS(Production!$J$7:$J$425,$B$6,Production!$I$7:$I$425,N$7,Production!$M$7:$M$425,IF(O$8=TIMEVALUE("06:20"),"&lt;="&amp;O$8,O$8),Production!$R$7:$R$425,$H$6,Production!$V$7:$V$425,$B13)</f>
        <v>0</v>
      </c>
      <c r="P13" s="143">
        <f ca="1">COUNTIFS(Production!$J$7:$J$425,$B$6,Production!$I$7:$I$425,P$7,Production!$M$7:$M$425,IF(P$8=TIMEVALUE("06:20"),"&lt;="&amp;P$8,P$8),Production!$R$7:$R$425,$H$6)</f>
        <v>1</v>
      </c>
      <c r="Q13" s="143">
        <f>COUNTIFS(Production!$J$7:$J$425,$B$6,Production!$I$7:$I$425,P$7,Production!$M$7:$M$425,IF(Q$8=TIMEVALUE("06:20"),"&lt;="&amp;Q$8,Q$8),Production!$R$7:$R$425,$H$6)</f>
        <v>0</v>
      </c>
      <c r="R13" s="143">
        <f ca="1">COUNTIFS(Production!$J$7:$J$425,$B$6,Production!$I$7:$I$425,R$7,Production!$M$7:$M$425,IF(R$8=TIMEVALUE("06:20"),"&lt;="&amp;R$8,R$8),Production!$R$7:$R$425,$H$6,Production!$V$7:$V$425,$B13)</f>
        <v>0</v>
      </c>
      <c r="S13" s="144">
        <f ca="1">COUNTIFS(Production!$J$7:$J$425,$B$6,Production!$I$7:$I$425,R$7,Production!$M$7:$M$425,IF(S$8=TIMEVALUE("06:20"),"&lt;="&amp;S$8,S$8),Production!$R$7:$R$425,$H$6,Production!$V$7:$V$425,$B13)</f>
        <v>0</v>
      </c>
      <c r="U13" s="142">
        <f ca="1">COUNTIFS(Production!$J$7:$J$425,$B$6,Production!$I$7:$I$425,U$7,Production!$M$7:$M$425,IF(U$8=TIMEVALUE("06:20"),"&lt;="&amp;U$8,U$8),Production!$R$7:$R$425,$U$6)</f>
        <v>0</v>
      </c>
      <c r="V13" s="143">
        <f ca="1">COUNTIFS(Production!$J$7:$J$425,$B$6,Production!$I$7:$I$425,U$7,Production!$M$7:$M$425,IF(V$8=TIMEVALUE("06:20"),"&lt;="&amp;V$8,V$8),Production!$R$7:$R$425,$U$6)</f>
        <v>0</v>
      </c>
      <c r="W13" s="143">
        <f ca="1">COUNTIFS(Production!$J$7:$J$425,$B$6,Production!$I$7:$I$425,W$7,Production!$M$7:$M$425,IF(W$8=TIMEVALUE("06:20"),"&lt;="&amp;W$8,W$8),Production!$R$7:$R$425,$U$6,Production!$V$7:$V$425,$B13)</f>
        <v>0</v>
      </c>
      <c r="X13" s="143">
        <f ca="1">COUNTIFS(Production!$J$7:$J$425,$B$6,Production!$I$7:$I$425,W$7,Production!$M$7:$M$425,IF(X$8=TIMEVALUE("06:20"),"&lt;="&amp;X$8,X$8),Production!$R$7:$R$425,$U$6,Production!$V$7:$V$425,$B13)</f>
        <v>0</v>
      </c>
      <c r="Y13" s="143">
        <f ca="1">COUNTIFS(Production!$J$7:$J$425,$B$6,Production!$I$7:$I$425,Y$7,Production!$M$7:$M$425,IF(Y$8=TIMEVALUE("06:20"),"&lt;="&amp;Y$8,Y$8),Production!$R$7:$R$425,$U$6,Production!$V$7:$V$425,$B13)</f>
        <v>0</v>
      </c>
      <c r="Z13" s="144">
        <f ca="1">COUNTIFS(Production!$J$7:$J$425,$B$6,Production!$I$7:$I$425,Y$7,Production!$M$7:$M$425,IF(Z$8=TIMEVALUE("06:20"),"&lt;="&amp;Z$8,Z$8),Production!$R$7:$R$425,$U$6,Production!$V$7:$V$425,$B13)</f>
        <v>0</v>
      </c>
      <c r="AA13" s="1"/>
      <c r="AB13" s="142">
        <f ca="1">COUNTIFS(Production!$J$7:$J$425,$B$6,Production!$I$7:$I$425,AB$7,Production!$M$7:$M$425,IF(AB$8=TIMEVALUE("06:20"),"&lt;="&amp;AB$8,AB$8),Production!$R$7:$R$425,$AB$6)</f>
        <v>0</v>
      </c>
      <c r="AC13" s="143">
        <f ca="1">COUNTIFS(Production!$J$7:$J$425,$B$6,Production!$I$7:$I$425,AB$7,Production!$M$7:$M$425,IF(AC$8=TIMEVALUE("06:20"),"&lt;="&amp;AC$8,AC$8),Production!$R$7:$R$425,$AB$6)</f>
        <v>0</v>
      </c>
      <c r="AD13" s="143">
        <f ca="1">COUNTIFS(Production!$J$7:$J$425,$B$6,Production!$I$7:$I$425,AD$7,Production!$M$7:$M$425,IF(AD$8=TIMEVALUE("06:20"),"&lt;="&amp;AD$8,AD$8),Production!$R$7:$R$425,$AB$6,Production!$V$7:$V$425,$B13)</f>
        <v>0</v>
      </c>
      <c r="AE13" s="143">
        <f ca="1">COUNTIFS(Production!$J$7:$J$425,$B$6,Production!$I$7:$I$425,AD$7,Production!$M$7:$M$425,IF(AE$8=TIMEVALUE("06:20"),"&lt;="&amp;AE$8,AE$8),Production!$R$7:$R$425,$AB$6,Production!$V$7:$V$425,$B13)</f>
        <v>0</v>
      </c>
      <c r="AF13" s="143">
        <f ca="1">COUNTIFS(Production!$J$7:$J$425,$B$6,Production!$I$7:$I$425,AF$7,Production!$M$7:$M$425,IF(AF$8=TIMEVALUE("06:20"),"&lt;="&amp;AF$8,AF$8),Production!$R$7:$R$425,$AB$6,Production!$V$7:$V$425,$B13)</f>
        <v>0</v>
      </c>
      <c r="AG13" s="144">
        <f ca="1">COUNTIFS(Production!$J$7:$J$425,$B$6,Production!$I$7:$I$425,AF$7,Production!$M$7:$M$425,IF(AG$8=TIMEVALUE("06:20"),"&lt;="&amp;AG$8,AG$8),Production!$R$7:$R$425,$AB$6,Production!$V$7:$V$425,$B13)</f>
        <v>0</v>
      </c>
      <c r="AI13" s="142">
        <f ca="1">COUNTIFS(Production!$J$7:$J$425,$B$6,Production!$I$7:$I$425,AI$7,Production!$M$7:$M$425,IF(AI$8=TIMEVALUE("06:20"),"&lt;="&amp;AI$8,AI$8),Production!$R$7:$R$425,$AI$6)</f>
        <v>0</v>
      </c>
      <c r="AJ13" s="143">
        <f ca="1">COUNTIFS(Production!$J$7:$J$425,$B$6,Production!$I$7:$I$425,AI$7,Production!$M$7:$M$425,IF(AJ$8=TIMEVALUE("06:20"),"&lt;="&amp;AJ$8,AJ$8),Production!$R$7:$R$425,$AI$6)</f>
        <v>0</v>
      </c>
      <c r="AK13" s="143">
        <f ca="1">COUNTIFS(Production!$J$7:$J$425,$B$6,Production!$I$7:$I$425,AK$7,Production!$M$7:$M$425,IF(AK$8=TIMEVALUE("06:20"),"&lt;="&amp;AK$8,AK$8),Production!$R$7:$R$425,$AI$6,Production!$V$7:$V$425,$B13)</f>
        <v>0</v>
      </c>
      <c r="AL13" s="143">
        <f ca="1">COUNTIFS(Production!$J$7:$J$425,$B$6,Production!$I$7:$I$425,AK$7,Production!$M$7:$M$425,IF(AL$8=TIMEVALUE("06:20"),"&lt;="&amp;AL$8,AL$8),Production!$R$7:$R$425,$AI$6,Production!$V$7:$V$425,$B13)</f>
        <v>0</v>
      </c>
      <c r="AM13" s="143">
        <f ca="1">COUNTIFS(Production!$J$7:$J$425,$B$6,Production!$I$7:$I$425,AM$7,Production!$M$7:$M$425,IF(AM$8=TIMEVALUE("06:20"),"&lt;="&amp;AM$8,AM$8),Production!$R$7:$R$425,$AI$6,Production!$V$7:$V$425,$B13)</f>
        <v>0</v>
      </c>
      <c r="AN13" s="144">
        <f ca="1">COUNTIFS(Production!$J$7:$J$425,$B$6,Production!$I$7:$I$425,AM$7,Production!$M$7:$M$425,IF(AN$8=TIMEVALUE("06:20"),"&lt;="&amp;AN$8,AN$8),Production!$R$7:$R$425,$AI$6,Production!$V$7:$V$425,$B13)</f>
        <v>0</v>
      </c>
    </row>
    <row r="14" spans="2:40">
      <c r="B14" s="138">
        <f t="shared" ca="1" si="0"/>
        <v>42718</v>
      </c>
      <c r="C14" s="139">
        <f>COUNTIFS(Production!$J$7:$J$425,$B$6,Production!$I$7:$I$425,C$7,Production!$M$7:$M$425,IF(C$8=TIMEVALUE("06:20"),"&lt;="&amp;C$8,C$8))</f>
        <v>0</v>
      </c>
      <c r="D14" s="139">
        <f>COUNTIFS(Production!$J$7:$J$425,$B$6,Production!$I$7:$I$425,C$7,Production!$M$7:$M$425,IF(D$8=TIMEVALUE("06:20"),"&lt;="&amp;D$8,D$8))</f>
        <v>0</v>
      </c>
      <c r="E14" s="139">
        <f ca="1">COUNTIFS(Production!$J$7:$J$425,$B$6,Production!$I$7:$I$425,E$7,Production!$M$7:$M$425,IF(E$8=TIMEVALUE("06:20"),"&lt;="&amp;E$8,E$8),Production!$R$7:$R$425,$C$6,Production!$V$7:$V$425,$B14)</f>
        <v>0</v>
      </c>
      <c r="F14" s="140">
        <f ca="1">COUNTIFS(Production!$J$7:$J$425,$B$6,Production!$I$7:$I$425,E$7,Production!$M$7:$M$425,IF(F$8=TIMEVALUE("06:20"),"&lt;="&amp;F$8,F$8),Production!$R$7:$R$425,$C$6,Production!$V$7:$V$425,$B14)</f>
        <v>0</v>
      </c>
      <c r="G14" s="141"/>
      <c r="H14" s="142">
        <f ca="1">COUNTIFS(Production!$J$7:$J$425,$B$6,Production!$I$7:$I$425,H$7,Production!$M$7:$M$425,IF(H$8=TIMEVALUE("06:20"),"&lt;="&amp;H$8,H$8),Production!$R$7:$R$425,$H$6)</f>
        <v>4</v>
      </c>
      <c r="I14" s="143">
        <f ca="1">COUNTIFS(Production!$J$7:$J$425,$B$6,Production!$I$7:$I$425,H$7,Production!$M$7:$M$425,IF(I$8=TIMEVALUE("06:20"),"&lt;="&amp;I$8,I$8),Production!$R$7:$R$425,$H$6)</f>
        <v>16</v>
      </c>
      <c r="J14" s="143">
        <f>COUNTIFS(Production!$J$7:$J$425,$B$6,Production!$I$7:$I$425,J$7,Production!$M$7:$M$425,IF(J$8=TIMEVALUE("06:20"),"&lt;="&amp;J$8,J$8),Production!$R$7:$R$425,$H$6)</f>
        <v>0</v>
      </c>
      <c r="K14" s="143">
        <f ca="1">COUNTIFS(Production!$J$7:$J$425,$B$6,Production!$I$7:$I$425,J$7,Production!$M$7:$M$425,IF(K$8=TIMEVALUE("06:20"),"&lt;="&amp;K$8,K$8),Production!$R$7:$R$425,$H$6)</f>
        <v>1</v>
      </c>
      <c r="L14" s="143">
        <f ca="1">COUNTIFS(Production!$J$7:$J$425,$B$6,Production!$I$7:$I$425,L$7,Production!$M$7:$M$425,IF(L$8=TIMEVALUE("06:20"),"&lt;="&amp;L$8,L$8),Production!$R$7:$R$425,$H$6)</f>
        <v>1</v>
      </c>
      <c r="M14" s="143">
        <f ca="1">COUNTIFS(Production!$J$7:$J$425,$B$6,Production!$I$7:$I$425,L$7,Production!$M$7:$M$425,IF(M$8=TIMEVALUE("06:20"),"&lt;="&amp;M$8,M$8),Production!$R$7:$R$425,$H$6)</f>
        <v>2</v>
      </c>
      <c r="N14" s="143">
        <f ca="1">COUNTIFS(Production!$J$7:$J$425,$B$6,Production!$I$7:$I$425,N$7,Production!$M$7:$M$425,IF(N$8=TIMEVALUE("06:20"),"&lt;="&amp;N$8,N$8),Production!$R$7:$R$425,$H$6,Production!$V$7:$V$425,$B14)</f>
        <v>0</v>
      </c>
      <c r="O14" s="143">
        <f ca="1">COUNTIFS(Production!$J$7:$J$425,$B$6,Production!$I$7:$I$425,N$7,Production!$M$7:$M$425,IF(O$8=TIMEVALUE("06:20"),"&lt;="&amp;O$8,O$8),Production!$R$7:$R$425,$H$6,Production!$V$7:$V$425,$B14)</f>
        <v>0</v>
      </c>
      <c r="P14" s="143">
        <f ca="1">COUNTIFS(Production!$J$7:$J$425,$B$6,Production!$I$7:$I$425,P$7,Production!$M$7:$M$425,IF(P$8=TIMEVALUE("06:20"),"&lt;="&amp;P$8,P$8),Production!$R$7:$R$425,$H$6)</f>
        <v>1</v>
      </c>
      <c r="Q14" s="143">
        <f>COUNTIFS(Production!$J$7:$J$425,$B$6,Production!$I$7:$I$425,P$7,Production!$M$7:$M$425,IF(Q$8=TIMEVALUE("06:20"),"&lt;="&amp;Q$8,Q$8),Production!$R$7:$R$425,$H$6)</f>
        <v>0</v>
      </c>
      <c r="R14" s="143">
        <f ca="1">COUNTIFS(Production!$J$7:$J$425,$B$6,Production!$I$7:$I$425,R$7,Production!$M$7:$M$425,IF(R$8=TIMEVALUE("06:20"),"&lt;="&amp;R$8,R$8),Production!$R$7:$R$425,$H$6,Production!$V$7:$V$425,$B14)</f>
        <v>0</v>
      </c>
      <c r="S14" s="144">
        <f ca="1">COUNTIFS(Production!$J$7:$J$425,$B$6,Production!$I$7:$I$425,R$7,Production!$M$7:$M$425,IF(S$8=TIMEVALUE("06:20"),"&lt;="&amp;S$8,S$8),Production!$R$7:$R$425,$H$6,Production!$V$7:$V$425,$B14)</f>
        <v>0</v>
      </c>
      <c r="U14" s="142">
        <f ca="1">COUNTIFS(Production!$J$7:$J$425,$B$6,Production!$I$7:$I$425,U$7,Production!$M$7:$M$425,IF(U$8=TIMEVALUE("06:20"),"&lt;="&amp;U$8,U$8),Production!$R$7:$R$425,$U$6)</f>
        <v>0</v>
      </c>
      <c r="V14" s="143">
        <f ca="1">COUNTIFS(Production!$J$7:$J$425,$B$6,Production!$I$7:$I$425,U$7,Production!$M$7:$M$425,IF(V$8=TIMEVALUE("06:20"),"&lt;="&amp;V$8,V$8),Production!$R$7:$R$425,$U$6)</f>
        <v>0</v>
      </c>
      <c r="W14" s="143">
        <f ca="1">COUNTIFS(Production!$J$7:$J$425,$B$6,Production!$I$7:$I$425,W$7,Production!$M$7:$M$425,IF(W$8=TIMEVALUE("06:20"),"&lt;="&amp;W$8,W$8),Production!$R$7:$R$425,$U$6,Production!$V$7:$V$425,$B14)</f>
        <v>0</v>
      </c>
      <c r="X14" s="143">
        <f ca="1">COUNTIFS(Production!$J$7:$J$425,$B$6,Production!$I$7:$I$425,W$7,Production!$M$7:$M$425,IF(X$8=TIMEVALUE("06:20"),"&lt;="&amp;X$8,X$8),Production!$R$7:$R$425,$U$6,Production!$V$7:$V$425,$B14)</f>
        <v>0</v>
      </c>
      <c r="Y14" s="143">
        <f ca="1">COUNTIFS(Production!$J$7:$J$425,$B$6,Production!$I$7:$I$425,Y$7,Production!$M$7:$M$425,IF(Y$8=TIMEVALUE("06:20"),"&lt;="&amp;Y$8,Y$8),Production!$R$7:$R$425,$U$6,Production!$V$7:$V$425,$B14)</f>
        <v>0</v>
      </c>
      <c r="Z14" s="144">
        <f ca="1">COUNTIFS(Production!$J$7:$J$425,$B$6,Production!$I$7:$I$425,Y$7,Production!$M$7:$M$425,IF(Z$8=TIMEVALUE("06:20"),"&lt;="&amp;Z$8,Z$8),Production!$R$7:$R$425,$U$6,Production!$V$7:$V$425,$B14)</f>
        <v>0</v>
      </c>
      <c r="AA14" s="1"/>
      <c r="AB14" s="142">
        <f ca="1">COUNTIFS(Production!$J$7:$J$425,$B$6,Production!$I$7:$I$425,AB$7,Production!$M$7:$M$425,IF(AB$8=TIMEVALUE("06:20"),"&lt;="&amp;AB$8,AB$8),Production!$R$7:$R$425,$AB$6)</f>
        <v>0</v>
      </c>
      <c r="AC14" s="143">
        <f ca="1">COUNTIFS(Production!$J$7:$J$425,$B$6,Production!$I$7:$I$425,AB$7,Production!$M$7:$M$425,IF(AC$8=TIMEVALUE("06:20"),"&lt;="&amp;AC$8,AC$8),Production!$R$7:$R$425,$AB$6)</f>
        <v>0</v>
      </c>
      <c r="AD14" s="143">
        <f ca="1">COUNTIFS(Production!$J$7:$J$425,$B$6,Production!$I$7:$I$425,AD$7,Production!$M$7:$M$425,IF(AD$8=TIMEVALUE("06:20"),"&lt;="&amp;AD$8,AD$8),Production!$R$7:$R$425,$AB$6,Production!$V$7:$V$425,$B14)</f>
        <v>0</v>
      </c>
      <c r="AE14" s="143">
        <f ca="1">COUNTIFS(Production!$J$7:$J$425,$B$6,Production!$I$7:$I$425,AD$7,Production!$M$7:$M$425,IF(AE$8=TIMEVALUE("06:20"),"&lt;="&amp;AE$8,AE$8),Production!$R$7:$R$425,$AB$6,Production!$V$7:$V$425,$B14)</f>
        <v>0</v>
      </c>
      <c r="AF14" s="143">
        <f ca="1">COUNTIFS(Production!$J$7:$J$425,$B$6,Production!$I$7:$I$425,AF$7,Production!$M$7:$M$425,IF(AF$8=TIMEVALUE("06:20"),"&lt;="&amp;AF$8,AF$8),Production!$R$7:$R$425,$AB$6,Production!$V$7:$V$425,$B14)</f>
        <v>0</v>
      </c>
      <c r="AG14" s="144">
        <f ca="1">COUNTIFS(Production!$J$7:$J$425,$B$6,Production!$I$7:$I$425,AF$7,Production!$M$7:$M$425,IF(AG$8=TIMEVALUE("06:20"),"&lt;="&amp;AG$8,AG$8),Production!$R$7:$R$425,$AB$6,Production!$V$7:$V$425,$B14)</f>
        <v>0</v>
      </c>
      <c r="AI14" s="142">
        <f ca="1">COUNTIFS(Production!$J$7:$J$425,$B$6,Production!$I$7:$I$425,AI$7,Production!$M$7:$M$425,IF(AI$8=TIMEVALUE("06:20"),"&lt;="&amp;AI$8,AI$8),Production!$R$7:$R$425,$AI$6)</f>
        <v>0</v>
      </c>
      <c r="AJ14" s="143">
        <f ca="1">COUNTIFS(Production!$J$7:$J$425,$B$6,Production!$I$7:$I$425,AI$7,Production!$M$7:$M$425,IF(AJ$8=TIMEVALUE("06:20"),"&lt;="&amp;AJ$8,AJ$8),Production!$R$7:$R$425,$AI$6)</f>
        <v>0</v>
      </c>
      <c r="AK14" s="143">
        <f ca="1">COUNTIFS(Production!$J$7:$J$425,$B$6,Production!$I$7:$I$425,AK$7,Production!$M$7:$M$425,IF(AK$8=TIMEVALUE("06:20"),"&lt;="&amp;AK$8,AK$8),Production!$R$7:$R$425,$AI$6,Production!$V$7:$V$425,$B14)</f>
        <v>0</v>
      </c>
      <c r="AL14" s="143">
        <f ca="1">COUNTIFS(Production!$J$7:$J$425,$B$6,Production!$I$7:$I$425,AK$7,Production!$M$7:$M$425,IF(AL$8=TIMEVALUE("06:20"),"&lt;="&amp;AL$8,AL$8),Production!$R$7:$R$425,$AI$6,Production!$V$7:$V$425,$B14)</f>
        <v>0</v>
      </c>
      <c r="AM14" s="143">
        <f ca="1">COUNTIFS(Production!$J$7:$J$425,$B$6,Production!$I$7:$I$425,AM$7,Production!$M$7:$M$425,IF(AM$8=TIMEVALUE("06:20"),"&lt;="&amp;AM$8,AM$8),Production!$R$7:$R$425,$AI$6,Production!$V$7:$V$425,$B14)</f>
        <v>0</v>
      </c>
      <c r="AN14" s="144">
        <f ca="1">COUNTIFS(Production!$J$7:$J$425,$B$6,Production!$I$7:$I$425,AM$7,Production!$M$7:$M$425,IF(AN$8=TIMEVALUE("06:20"),"&lt;="&amp;AN$8,AN$8),Production!$R$7:$R$425,$AI$6,Production!$V$7:$V$425,$B14)</f>
        <v>0</v>
      </c>
    </row>
    <row r="15" spans="2:40">
      <c r="B15" s="138">
        <f t="shared" ca="1" si="0"/>
        <v>42719</v>
      </c>
      <c r="C15" s="139">
        <f>COUNTIFS(Production!$J$7:$J$425,$B$6,Production!$I$7:$I$425,C$7,Production!$M$7:$M$425,IF(C$8=TIMEVALUE("06:20"),"&lt;="&amp;C$8,C$8))</f>
        <v>0</v>
      </c>
      <c r="D15" s="139">
        <f>COUNTIFS(Production!$J$7:$J$425,$B$6,Production!$I$7:$I$425,C$7,Production!$M$7:$M$425,IF(D$8=TIMEVALUE("06:20"),"&lt;="&amp;D$8,D$8))</f>
        <v>0</v>
      </c>
      <c r="E15" s="139">
        <f ca="1">COUNTIFS(Production!$J$7:$J$425,$B$6,Production!$I$7:$I$425,E$7,Production!$M$7:$M$425,IF(E$8=TIMEVALUE("06:20"),"&lt;="&amp;E$8,E$8),Production!$R$7:$R$425,$C$6,Production!$V$7:$V$425,$B15)</f>
        <v>0</v>
      </c>
      <c r="F15" s="140">
        <f ca="1">COUNTIFS(Production!$J$7:$J$425,$B$6,Production!$I$7:$I$425,E$7,Production!$M$7:$M$425,IF(F$8=TIMEVALUE("06:20"),"&lt;="&amp;F$8,F$8),Production!$R$7:$R$425,$C$6,Production!$V$7:$V$425,$B15)</f>
        <v>0</v>
      </c>
      <c r="G15" s="141"/>
      <c r="H15" s="142">
        <f ca="1">COUNTIFS(Production!$J$7:$J$425,$B$6,Production!$I$7:$I$425,H$7,Production!$M$7:$M$425,IF(H$8=TIMEVALUE("06:20"),"&lt;="&amp;H$8,H$8),Production!$R$7:$R$425,$H$6)</f>
        <v>4</v>
      </c>
      <c r="I15" s="143">
        <f ca="1">COUNTIFS(Production!$J$7:$J$425,$B$6,Production!$I$7:$I$425,H$7,Production!$M$7:$M$425,IF(I$8=TIMEVALUE("06:20"),"&lt;="&amp;I$8,I$8),Production!$R$7:$R$425,$H$6)</f>
        <v>16</v>
      </c>
      <c r="J15" s="143">
        <f>COUNTIFS(Production!$J$7:$J$425,$B$6,Production!$I$7:$I$425,J$7,Production!$M$7:$M$425,IF(J$8=TIMEVALUE("06:20"),"&lt;="&amp;J$8,J$8),Production!$R$7:$R$425,$H$6)</f>
        <v>0</v>
      </c>
      <c r="K15" s="143">
        <f ca="1">COUNTIFS(Production!$J$7:$J$425,$B$6,Production!$I$7:$I$425,J$7,Production!$M$7:$M$425,IF(K$8=TIMEVALUE("06:20"),"&lt;="&amp;K$8,K$8),Production!$R$7:$R$425,$H$6)</f>
        <v>1</v>
      </c>
      <c r="L15" s="143">
        <f ca="1">COUNTIFS(Production!$J$7:$J$425,$B$6,Production!$I$7:$I$425,L$7,Production!$M$7:$M$425,IF(L$8=TIMEVALUE("06:20"),"&lt;="&amp;L$8,L$8),Production!$R$7:$R$425,$H$6)</f>
        <v>1</v>
      </c>
      <c r="M15" s="143">
        <f ca="1">COUNTIFS(Production!$J$7:$J$425,$B$6,Production!$I$7:$I$425,L$7,Production!$M$7:$M$425,IF(M$8=TIMEVALUE("06:20"),"&lt;="&amp;M$8,M$8),Production!$R$7:$R$425,$H$6)</f>
        <v>2</v>
      </c>
      <c r="N15" s="143">
        <f ca="1">COUNTIFS(Production!$J$7:$J$425,$B$6,Production!$I$7:$I$425,N$7,Production!$M$7:$M$425,IF(N$8=TIMEVALUE("06:20"),"&lt;="&amp;N$8,N$8),Production!$R$7:$R$425,$H$6,Production!$V$7:$V$425,$B15)</f>
        <v>0</v>
      </c>
      <c r="O15" s="143">
        <f ca="1">COUNTIFS(Production!$J$7:$J$425,$B$6,Production!$I$7:$I$425,N$7,Production!$M$7:$M$425,IF(O$8=TIMEVALUE("06:20"),"&lt;="&amp;O$8,O$8),Production!$R$7:$R$425,$H$6,Production!$V$7:$V$425,$B15)</f>
        <v>0</v>
      </c>
      <c r="P15" s="143">
        <f ca="1">COUNTIFS(Production!$J$7:$J$425,$B$6,Production!$I$7:$I$425,P$7,Production!$M$7:$M$425,IF(P$8=TIMEVALUE("06:20"),"&lt;="&amp;P$8,P$8),Production!$R$7:$R$425,$H$6)</f>
        <v>1</v>
      </c>
      <c r="Q15" s="143">
        <f>COUNTIFS(Production!$J$7:$J$425,$B$6,Production!$I$7:$I$425,P$7,Production!$M$7:$M$425,IF(Q$8=TIMEVALUE("06:20"),"&lt;="&amp;Q$8,Q$8),Production!$R$7:$R$425,$H$6)</f>
        <v>0</v>
      </c>
      <c r="R15" s="143">
        <f ca="1">COUNTIFS(Production!$J$7:$J$425,$B$6,Production!$I$7:$I$425,R$7,Production!$M$7:$M$425,IF(R$8=TIMEVALUE("06:20"),"&lt;="&amp;R$8,R$8),Production!$R$7:$R$425,$H$6,Production!$V$7:$V$425,$B15)</f>
        <v>0</v>
      </c>
      <c r="S15" s="144">
        <f ca="1">COUNTIFS(Production!$J$7:$J$425,$B$6,Production!$I$7:$I$425,R$7,Production!$M$7:$M$425,IF(S$8=TIMEVALUE("06:20"),"&lt;="&amp;S$8,S$8),Production!$R$7:$R$425,$H$6,Production!$V$7:$V$425,$B15)</f>
        <v>0</v>
      </c>
      <c r="U15" s="142">
        <f ca="1">COUNTIFS(Production!$J$7:$J$425,$B$6,Production!$I$7:$I$425,U$7,Production!$M$7:$M$425,IF(U$8=TIMEVALUE("06:20"),"&lt;="&amp;U$8,U$8),Production!$R$7:$R$425,$U$6)</f>
        <v>0</v>
      </c>
      <c r="V15" s="143">
        <f ca="1">COUNTIFS(Production!$J$7:$J$425,$B$6,Production!$I$7:$I$425,U$7,Production!$M$7:$M$425,IF(V$8=TIMEVALUE("06:20"),"&lt;="&amp;V$8,V$8),Production!$R$7:$R$425,$U$6)</f>
        <v>0</v>
      </c>
      <c r="W15" s="143">
        <f ca="1">COUNTIFS(Production!$J$7:$J$425,$B$6,Production!$I$7:$I$425,W$7,Production!$M$7:$M$425,IF(W$8=TIMEVALUE("06:20"),"&lt;="&amp;W$8,W$8),Production!$R$7:$R$425,$U$6,Production!$V$7:$V$425,$B15)</f>
        <v>0</v>
      </c>
      <c r="X15" s="143">
        <f ca="1">COUNTIFS(Production!$J$7:$J$425,$B$6,Production!$I$7:$I$425,W$7,Production!$M$7:$M$425,IF(X$8=TIMEVALUE("06:20"),"&lt;="&amp;X$8,X$8),Production!$R$7:$R$425,$U$6,Production!$V$7:$V$425,$B15)</f>
        <v>0</v>
      </c>
      <c r="Y15" s="143">
        <f ca="1">COUNTIFS(Production!$J$7:$J$425,$B$6,Production!$I$7:$I$425,Y$7,Production!$M$7:$M$425,IF(Y$8=TIMEVALUE("06:20"),"&lt;="&amp;Y$8,Y$8),Production!$R$7:$R$425,$U$6,Production!$V$7:$V$425,$B15)</f>
        <v>0</v>
      </c>
      <c r="Z15" s="144">
        <f ca="1">COUNTIFS(Production!$J$7:$J$425,$B$6,Production!$I$7:$I$425,Y$7,Production!$M$7:$M$425,IF(Z$8=TIMEVALUE("06:20"),"&lt;="&amp;Z$8,Z$8),Production!$R$7:$R$425,$U$6,Production!$V$7:$V$425,$B15)</f>
        <v>0</v>
      </c>
      <c r="AA15" s="1"/>
      <c r="AB15" s="142">
        <f ca="1">COUNTIFS(Production!$J$7:$J$425,$B$6,Production!$I$7:$I$425,AB$7,Production!$M$7:$M$425,IF(AB$8=TIMEVALUE("06:20"),"&lt;="&amp;AB$8,AB$8),Production!$R$7:$R$425,$AB$6)</f>
        <v>0</v>
      </c>
      <c r="AC15" s="143">
        <f ca="1">COUNTIFS(Production!$J$7:$J$425,$B$6,Production!$I$7:$I$425,AB$7,Production!$M$7:$M$425,IF(AC$8=TIMEVALUE("06:20"),"&lt;="&amp;AC$8,AC$8),Production!$R$7:$R$425,$AB$6)</f>
        <v>0</v>
      </c>
      <c r="AD15" s="143">
        <f ca="1">COUNTIFS(Production!$J$7:$J$425,$B$6,Production!$I$7:$I$425,AD$7,Production!$M$7:$M$425,IF(AD$8=TIMEVALUE("06:20"),"&lt;="&amp;AD$8,AD$8),Production!$R$7:$R$425,$AB$6,Production!$V$7:$V$425,$B15)</f>
        <v>0</v>
      </c>
      <c r="AE15" s="143">
        <f ca="1">COUNTIFS(Production!$J$7:$J$425,$B$6,Production!$I$7:$I$425,AD$7,Production!$M$7:$M$425,IF(AE$8=TIMEVALUE("06:20"),"&lt;="&amp;AE$8,AE$8),Production!$R$7:$R$425,$AB$6,Production!$V$7:$V$425,$B15)</f>
        <v>0</v>
      </c>
      <c r="AF15" s="143">
        <f ca="1">COUNTIFS(Production!$J$7:$J$425,$B$6,Production!$I$7:$I$425,AF$7,Production!$M$7:$M$425,IF(AF$8=TIMEVALUE("06:20"),"&lt;="&amp;AF$8,AF$8),Production!$R$7:$R$425,$AB$6,Production!$V$7:$V$425,$B15)</f>
        <v>0</v>
      </c>
      <c r="AG15" s="144">
        <f ca="1">COUNTIFS(Production!$J$7:$J$425,$B$6,Production!$I$7:$I$425,AF$7,Production!$M$7:$M$425,IF(AG$8=TIMEVALUE("06:20"),"&lt;="&amp;AG$8,AG$8),Production!$R$7:$R$425,$AB$6,Production!$V$7:$V$425,$B15)</f>
        <v>0</v>
      </c>
      <c r="AI15" s="142">
        <f ca="1">COUNTIFS(Production!$J$7:$J$425,$B$6,Production!$I$7:$I$425,AI$7,Production!$M$7:$M$425,IF(AI$8=TIMEVALUE("06:20"),"&lt;="&amp;AI$8,AI$8),Production!$R$7:$R$425,$AI$6)</f>
        <v>0</v>
      </c>
      <c r="AJ15" s="143">
        <f ca="1">COUNTIFS(Production!$J$7:$J$425,$B$6,Production!$I$7:$I$425,AI$7,Production!$M$7:$M$425,IF(AJ$8=TIMEVALUE("06:20"),"&lt;="&amp;AJ$8,AJ$8),Production!$R$7:$R$425,$AI$6)</f>
        <v>0</v>
      </c>
      <c r="AK15" s="143">
        <f ca="1">COUNTIFS(Production!$J$7:$J$425,$B$6,Production!$I$7:$I$425,AK$7,Production!$M$7:$M$425,IF(AK$8=TIMEVALUE("06:20"),"&lt;="&amp;AK$8,AK$8),Production!$R$7:$R$425,$AI$6,Production!$V$7:$V$425,$B15)</f>
        <v>0</v>
      </c>
      <c r="AL15" s="143">
        <f ca="1">COUNTIFS(Production!$J$7:$J$425,$B$6,Production!$I$7:$I$425,AK$7,Production!$M$7:$M$425,IF(AL$8=TIMEVALUE("06:20"),"&lt;="&amp;AL$8,AL$8),Production!$R$7:$R$425,$AI$6,Production!$V$7:$V$425,$B15)</f>
        <v>0</v>
      </c>
      <c r="AM15" s="143">
        <f ca="1">COUNTIFS(Production!$J$7:$J$425,$B$6,Production!$I$7:$I$425,AM$7,Production!$M$7:$M$425,IF(AM$8=TIMEVALUE("06:20"),"&lt;="&amp;AM$8,AM$8),Production!$R$7:$R$425,$AI$6,Production!$V$7:$V$425,$B15)</f>
        <v>0</v>
      </c>
      <c r="AN15" s="144">
        <f ca="1">COUNTIFS(Production!$J$7:$J$425,$B$6,Production!$I$7:$I$425,AM$7,Production!$M$7:$M$425,IF(AN$8=TIMEVALUE("06:20"),"&lt;="&amp;AN$8,AN$8),Production!$R$7:$R$425,$AI$6,Production!$V$7:$V$425,$B15)</f>
        <v>0</v>
      </c>
    </row>
    <row r="16" spans="2:40">
      <c r="B16" s="145" t="s">
        <v>14</v>
      </c>
      <c r="C16" s="146" t="str">
        <f>IF(C15=0,"",C15)</f>
        <v/>
      </c>
      <c r="D16" s="146" t="str">
        <f>IF(D15=0,"",D15)</f>
        <v/>
      </c>
      <c r="E16" s="146" t="str">
        <f ca="1">IF(SUM(E9:E15)=0,"",SUM(E9:E15))</f>
        <v/>
      </c>
      <c r="F16" s="147" t="str">
        <f ca="1">IF(SUM(F9:F15)=0,"",SUM(F9:F15))</f>
        <v/>
      </c>
      <c r="H16" s="148">
        <f t="shared" ref="H16:M16" ca="1" si="1">IF(H15=0,"",H15)</f>
        <v>4</v>
      </c>
      <c r="I16" s="149">
        <f t="shared" ca="1" si="1"/>
        <v>16</v>
      </c>
      <c r="J16" s="149" t="str">
        <f t="shared" si="1"/>
        <v/>
      </c>
      <c r="K16" s="149">
        <f t="shared" ca="1" si="1"/>
        <v>1</v>
      </c>
      <c r="L16" s="149">
        <f t="shared" ca="1" si="1"/>
        <v>1</v>
      </c>
      <c r="M16" s="149">
        <f t="shared" ca="1" si="1"/>
        <v>2</v>
      </c>
      <c r="N16" s="149" t="str">
        <f ca="1">IF(SUM(N9:N15)=0,"",SUM(N9:N15))</f>
        <v/>
      </c>
      <c r="O16" s="149" t="str">
        <f ca="1">IF(SUM(O9:O15)=0,"",SUM(O9:O15))</f>
        <v/>
      </c>
      <c r="P16" s="149">
        <f t="shared" ref="P16:Q16" ca="1" si="2">IF(P15=0,"",P15)</f>
        <v>1</v>
      </c>
      <c r="Q16" s="149" t="str">
        <f t="shared" si="2"/>
        <v/>
      </c>
      <c r="R16" s="149" t="str">
        <f ca="1">IF(SUM(R9:R15)=0,"",SUM(R9:R15))</f>
        <v/>
      </c>
      <c r="S16" s="150" t="str">
        <f ca="1">IF(SUM(S9:S15)=0,"",SUM(S9:S15))</f>
        <v/>
      </c>
      <c r="U16" s="148" t="str">
        <f ca="1">IF(U15=0,"",U15)</f>
        <v/>
      </c>
      <c r="V16" s="149" t="str">
        <f ca="1">IF(V15=0,"",V15)</f>
        <v/>
      </c>
      <c r="W16" s="149" t="str">
        <f ca="1">IF(SUM(W9:W15)=0,"",SUM(W9:W15))</f>
        <v/>
      </c>
      <c r="X16" s="149" t="str">
        <f ca="1">IF(SUM(X9:X15)=0,"",SUM(X9:X15))</f>
        <v/>
      </c>
      <c r="Y16" s="149" t="str">
        <f ca="1">IF(SUM(Y9:Y15)=0,"",SUM(Y9:Y15))</f>
        <v/>
      </c>
      <c r="Z16" s="150" t="str">
        <f ca="1">IF(SUM(Z9:Z15)=0,"",SUM(Z9:Z15))</f>
        <v/>
      </c>
      <c r="AA16" s="1"/>
      <c r="AB16" s="148" t="str">
        <f ca="1">IF(AB15=0,"",AB15)</f>
        <v/>
      </c>
      <c r="AC16" s="149" t="str">
        <f ca="1">IF(AC15=0,"",AC15)</f>
        <v/>
      </c>
      <c r="AD16" s="149" t="str">
        <f ca="1">IF(SUM(AD9:AD15)=0,"",SUM(AD9:AD15))</f>
        <v/>
      </c>
      <c r="AE16" s="149" t="str">
        <f ca="1">IF(SUM(AE9:AE15)=0,"",SUM(AE9:AE15))</f>
        <v/>
      </c>
      <c r="AF16" s="149" t="str">
        <f ca="1">IF(SUM(AF9:AF15)=0,"",SUM(AF9:AF15))</f>
        <v/>
      </c>
      <c r="AG16" s="150" t="str">
        <f ca="1">IF(SUM(AG9:AG15)=0,"",SUM(AG9:AG15))</f>
        <v/>
      </c>
      <c r="AI16" s="148" t="str">
        <f ca="1">IF(AI15=0,"",AI15)</f>
        <v/>
      </c>
      <c r="AJ16" s="149" t="str">
        <f ca="1">IF(AJ15=0,"",AJ15)</f>
        <v/>
      </c>
      <c r="AK16" s="149" t="str">
        <f ca="1">IF(SUM(AK9:AK15)=0,"",SUM(AK9:AK15))</f>
        <v/>
      </c>
      <c r="AL16" s="149" t="str">
        <f ca="1">IF(SUM(AL9:AL15)=0,"",SUM(AL9:AL15))</f>
        <v/>
      </c>
      <c r="AM16" s="149" t="str">
        <f ca="1">IF(SUM(AM9:AM15)=0,"",SUM(AM9:AM15))</f>
        <v/>
      </c>
      <c r="AN16" s="150" t="str">
        <f ca="1">IF(SUM(AN9:AN15)=0,"",SUM(AN9:AN15))</f>
        <v/>
      </c>
    </row>
    <row r="17" spans="2:2" ht="9.9499999999999993" customHeight="1"/>
    <row r="18" spans="2:2" ht="15" customHeight="1"/>
    <row r="19" spans="2:2" ht="15" customHeight="1"/>
    <row r="20" spans="2:2" ht="15" customHeight="1"/>
    <row r="21" spans="2:2" ht="15" customHeight="1"/>
    <row r="22" spans="2:2" ht="15" customHeight="1"/>
    <row r="23" spans="2:2" ht="15" customHeight="1"/>
    <row r="24" spans="2:2" hidden="1">
      <c r="B24" s="311" t="s">
        <v>392</v>
      </c>
    </row>
    <row r="25" spans="2:2" hidden="1">
      <c r="B25" s="311" t="s">
        <v>393</v>
      </c>
    </row>
    <row r="26" spans="2:2" hidden="1">
      <c r="B26" s="311" t="s">
        <v>394</v>
      </c>
    </row>
    <row r="27" spans="2:2" hidden="1">
      <c r="B27" s="311" t="s">
        <v>395</v>
      </c>
    </row>
    <row r="28" spans="2:2" ht="15" hidden="1" customHeight="1">
      <c r="B28" s="311" t="s">
        <v>2853</v>
      </c>
    </row>
    <row r="29" spans="2:2" ht="15" hidden="1" customHeight="1">
      <c r="B29" s="311" t="s">
        <v>396</v>
      </c>
    </row>
    <row r="30" spans="2:2" ht="15" hidden="1" customHeight="1">
      <c r="B30" s="311" t="s">
        <v>397</v>
      </c>
    </row>
    <row r="31" spans="2:2" ht="15" hidden="1" customHeight="1">
      <c r="B31" s="311" t="s">
        <v>398</v>
      </c>
    </row>
    <row r="32" spans="2:2" ht="15" hidden="1" customHeight="1">
      <c r="B32" s="311" t="s">
        <v>399</v>
      </c>
    </row>
    <row r="33" spans="2:2" ht="15" hidden="1" customHeight="1">
      <c r="B33" s="311" t="s">
        <v>400</v>
      </c>
    </row>
    <row r="34" spans="2:2" ht="15" hidden="1" customHeight="1">
      <c r="B34" s="311" t="s">
        <v>401</v>
      </c>
    </row>
    <row r="35" spans="2:2" ht="15" hidden="1" customHeight="1">
      <c r="B35" s="311" t="s">
        <v>403</v>
      </c>
    </row>
    <row r="36" spans="2:2" ht="15" hidden="1" customHeight="1">
      <c r="B36" s="311" t="s">
        <v>404</v>
      </c>
    </row>
    <row r="37" spans="2:2" ht="15" hidden="1" customHeight="1">
      <c r="B37" s="311" t="s">
        <v>405</v>
      </c>
    </row>
    <row r="38" spans="2:2" ht="15" hidden="1" customHeight="1">
      <c r="B38" s="311" t="s">
        <v>406</v>
      </c>
    </row>
  </sheetData>
  <mergeCells count="24">
    <mergeCell ref="AI7:AJ7"/>
    <mergeCell ref="AK7:AL7"/>
    <mergeCell ref="AM7:AN7"/>
    <mergeCell ref="AI6:AN6"/>
    <mergeCell ref="C7:D7"/>
    <mergeCell ref="E7:F7"/>
    <mergeCell ref="H7:I7"/>
    <mergeCell ref="J7:K7"/>
    <mergeCell ref="L7:M7"/>
    <mergeCell ref="P7:Q7"/>
    <mergeCell ref="R7:S7"/>
    <mergeCell ref="U7:V7"/>
    <mergeCell ref="W7:X7"/>
    <mergeCell ref="AB6:AG6"/>
    <mergeCell ref="AB7:AC7"/>
    <mergeCell ref="AD7:AE7"/>
    <mergeCell ref="AF7:AG7"/>
    <mergeCell ref="B3:F3"/>
    <mergeCell ref="B6:B8"/>
    <mergeCell ref="C6:F6"/>
    <mergeCell ref="H6:S6"/>
    <mergeCell ref="U6:Z6"/>
    <mergeCell ref="Y7:Z7"/>
    <mergeCell ref="N7:O7"/>
  </mergeCells>
  <dataValidations count="1">
    <dataValidation type="list" allowBlank="1" showInputMessage="1" showErrorMessage="1" sqref="B3:F3">
      <formula1>$B$24:$B$38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982"/>
  <sheetViews>
    <sheetView showGridLines="0" showRowColHeaders="0" zoomScale="80" zoomScaleNormal="80" workbookViewId="0">
      <pane xSplit="4" topLeftCell="E1" activePane="topRight" state="frozen"/>
      <selection pane="topRight" activeCell="H11" sqref="H11"/>
    </sheetView>
  </sheetViews>
  <sheetFormatPr defaultRowHeight="15"/>
  <cols>
    <col min="1" max="1" width="1.42578125" style="7" customWidth="1"/>
    <col min="2" max="2" width="1.42578125" style="40" customWidth="1"/>
    <col min="3" max="3" width="1.7109375" style="3" customWidth="1"/>
    <col min="4" max="4" width="8" bestFit="1" customWidth="1"/>
    <col min="5" max="5" width="6.5703125" bestFit="1" customWidth="1"/>
    <col min="6" max="6" width="22.42578125" bestFit="1" customWidth="1"/>
    <col min="7" max="7" width="6.5703125" bestFit="1" customWidth="1"/>
    <col min="8" max="8" width="23.42578125" bestFit="1" customWidth="1"/>
    <col min="9" max="9" width="6.5703125" bestFit="1" customWidth="1"/>
    <col min="10" max="10" width="22.7109375" bestFit="1" customWidth="1"/>
    <col min="11" max="11" width="6.5703125" bestFit="1" customWidth="1"/>
    <col min="12" max="12" width="22.140625" bestFit="1" customWidth="1"/>
    <col min="13" max="13" width="6.5703125" bestFit="1" customWidth="1"/>
    <col min="14" max="14" width="22.85546875" bestFit="1" customWidth="1"/>
    <col min="15" max="15" width="6.5703125" bestFit="1" customWidth="1"/>
    <col min="16" max="16" width="23.42578125" bestFit="1" customWidth="1"/>
    <col min="17" max="17" width="6.5703125" bestFit="1" customWidth="1"/>
    <col min="18" max="18" width="23.140625" bestFit="1" customWidth="1"/>
    <col min="19" max="19" width="6.5703125" bestFit="1" customWidth="1"/>
    <col min="20" max="20" width="23.140625" bestFit="1" customWidth="1"/>
    <col min="21" max="21" width="6.5703125" bestFit="1" customWidth="1"/>
    <col min="22" max="22" width="23.140625" bestFit="1" customWidth="1"/>
    <col min="23" max="23" width="6.5703125" bestFit="1" customWidth="1"/>
    <col min="24" max="24" width="22.42578125" customWidth="1"/>
    <col min="25" max="25" width="15.7109375" bestFit="1" customWidth="1"/>
  </cols>
  <sheetData>
    <row r="1" spans="1:24">
      <c r="A1" s="32"/>
      <c r="B1" s="39"/>
    </row>
    <row r="2" spans="1:24">
      <c r="A2" s="6"/>
      <c r="B2" s="39"/>
    </row>
    <row r="3" spans="1:24">
      <c r="A3" s="6"/>
      <c r="B3" s="39"/>
    </row>
    <row r="4" spans="1:24">
      <c r="A4" s="6"/>
      <c r="B4" s="39"/>
    </row>
    <row r="5" spans="1:24" ht="15.75" thickBot="1">
      <c r="A5" s="6"/>
      <c r="B5" s="39"/>
    </row>
    <row r="6" spans="1:24" ht="15.75" thickBot="1">
      <c r="A6" s="6"/>
      <c r="B6" s="39"/>
      <c r="D6" s="85" t="s">
        <v>2903</v>
      </c>
      <c r="E6" s="357" t="s">
        <v>2897</v>
      </c>
      <c r="F6" s="358"/>
      <c r="G6" s="355" t="s">
        <v>2904</v>
      </c>
      <c r="H6" s="356"/>
      <c r="I6" s="357" t="s">
        <v>2898</v>
      </c>
      <c r="J6" s="358"/>
      <c r="K6" s="357" t="s">
        <v>2901</v>
      </c>
      <c r="L6" s="358"/>
      <c r="M6" s="355" t="s">
        <v>2905</v>
      </c>
      <c r="N6" s="356"/>
      <c r="O6" s="357" t="s">
        <v>2908</v>
      </c>
      <c r="P6" s="358"/>
      <c r="Q6" s="357" t="s">
        <v>2909</v>
      </c>
      <c r="R6" s="358"/>
      <c r="S6" s="355" t="s">
        <v>2900</v>
      </c>
      <c r="T6" s="356"/>
      <c r="U6" s="357" t="s">
        <v>2906</v>
      </c>
      <c r="V6" s="358"/>
      <c r="W6" s="359" t="s">
        <v>2896</v>
      </c>
      <c r="X6" s="360"/>
    </row>
    <row r="7" spans="1:24">
      <c r="A7" s="6"/>
      <c r="B7" s="39"/>
      <c r="D7" s="361" t="s">
        <v>2902</v>
      </c>
      <c r="E7" s="85" t="s">
        <v>17</v>
      </c>
      <c r="F7" s="100" t="s">
        <v>18</v>
      </c>
      <c r="G7" s="86" t="s">
        <v>17</v>
      </c>
      <c r="H7" s="87" t="s">
        <v>18</v>
      </c>
      <c r="I7" s="86" t="s">
        <v>17</v>
      </c>
      <c r="J7" s="86" t="s">
        <v>18</v>
      </c>
      <c r="K7" s="86" t="s">
        <v>17</v>
      </c>
      <c r="L7" s="86" t="s">
        <v>18</v>
      </c>
      <c r="M7" s="86" t="s">
        <v>17</v>
      </c>
      <c r="N7" s="86" t="s">
        <v>18</v>
      </c>
      <c r="O7" s="86" t="s">
        <v>17</v>
      </c>
      <c r="P7" s="86" t="s">
        <v>18</v>
      </c>
      <c r="Q7" s="86" t="s">
        <v>17</v>
      </c>
      <c r="R7" s="161" t="s">
        <v>18</v>
      </c>
      <c r="S7" s="85" t="s">
        <v>17</v>
      </c>
      <c r="T7" s="100" t="s">
        <v>18</v>
      </c>
      <c r="U7" s="86" t="s">
        <v>17</v>
      </c>
      <c r="V7" s="87" t="s">
        <v>18</v>
      </c>
      <c r="W7" s="86" t="s">
        <v>17</v>
      </c>
      <c r="X7" s="161" t="s">
        <v>18</v>
      </c>
    </row>
    <row r="8" spans="1:24" ht="15.75">
      <c r="A8" s="6"/>
      <c r="B8" s="37"/>
      <c r="D8" s="362"/>
      <c r="E8" s="325">
        <v>12259</v>
      </c>
      <c r="F8" s="326" t="s">
        <v>2912</v>
      </c>
      <c r="G8" s="326">
        <v>12588</v>
      </c>
      <c r="H8" s="326" t="s">
        <v>2918</v>
      </c>
      <c r="I8" s="326">
        <v>12644</v>
      </c>
      <c r="J8" s="326" t="s">
        <v>2928</v>
      </c>
      <c r="K8" s="326">
        <v>12415</v>
      </c>
      <c r="L8" s="326" t="s">
        <v>2932</v>
      </c>
      <c r="M8" s="4">
        <v>12544</v>
      </c>
      <c r="N8" s="4" t="s">
        <v>2943</v>
      </c>
      <c r="O8" s="326">
        <v>12746</v>
      </c>
      <c r="P8" s="326" t="s">
        <v>2939</v>
      </c>
      <c r="Q8" s="326">
        <v>12701</v>
      </c>
      <c r="R8" s="326" t="s">
        <v>2976</v>
      </c>
      <c r="S8" s="326">
        <v>12379</v>
      </c>
      <c r="T8" s="326" t="s">
        <v>2936</v>
      </c>
      <c r="U8" s="326">
        <v>12185</v>
      </c>
      <c r="V8" s="327" t="s">
        <v>2942</v>
      </c>
      <c r="W8" s="328">
        <v>12538</v>
      </c>
      <c r="X8" s="328" t="s">
        <v>2967</v>
      </c>
    </row>
    <row r="9" spans="1:24" ht="15.75">
      <c r="A9" s="42"/>
      <c r="B9" s="41"/>
      <c r="C9" s="33"/>
      <c r="D9" s="362"/>
      <c r="E9" s="321">
        <v>12320</v>
      </c>
      <c r="F9" s="4" t="s">
        <v>2987</v>
      </c>
      <c r="G9" s="4">
        <v>12974</v>
      </c>
      <c r="H9" s="4" t="s">
        <v>2923</v>
      </c>
      <c r="I9" s="4">
        <v>12545</v>
      </c>
      <c r="J9" s="4" t="s">
        <v>2930</v>
      </c>
      <c r="K9" s="4">
        <v>12406</v>
      </c>
      <c r="L9" s="4" t="s">
        <v>2933</v>
      </c>
      <c r="M9" s="4">
        <v>12278</v>
      </c>
      <c r="N9" s="4" t="s">
        <v>2975</v>
      </c>
      <c r="O9" s="4">
        <v>12504</v>
      </c>
      <c r="P9" s="4" t="s">
        <v>2956</v>
      </c>
      <c r="Q9" s="4">
        <v>12740</v>
      </c>
      <c r="R9" s="4" t="s">
        <v>2940</v>
      </c>
      <c r="S9" s="4">
        <v>12664</v>
      </c>
      <c r="T9" s="4" t="s">
        <v>2950</v>
      </c>
      <c r="U9" s="4">
        <v>12557</v>
      </c>
      <c r="V9" s="323" t="s">
        <v>2966</v>
      </c>
      <c r="W9" s="318">
        <v>12566</v>
      </c>
      <c r="X9" s="318" t="s">
        <v>2955</v>
      </c>
    </row>
    <row r="10" spans="1:24" ht="15.75">
      <c r="A10" s="6"/>
      <c r="B10" s="37"/>
      <c r="C10" s="33"/>
      <c r="D10" s="362"/>
      <c r="E10" s="321">
        <v>12477</v>
      </c>
      <c r="F10" s="4" t="s">
        <v>2913</v>
      </c>
      <c r="G10" s="4">
        <v>12591</v>
      </c>
      <c r="H10" s="4" t="s">
        <v>2922</v>
      </c>
      <c r="I10" s="4">
        <v>12012</v>
      </c>
      <c r="J10" s="4" t="s">
        <v>2929</v>
      </c>
      <c r="K10" s="4" t="s">
        <v>2</v>
      </c>
      <c r="L10" s="4"/>
      <c r="M10" s="4">
        <v>12301</v>
      </c>
      <c r="N10" s="4" t="s">
        <v>2952</v>
      </c>
      <c r="O10" s="4">
        <v>12316</v>
      </c>
      <c r="P10" s="4" t="s">
        <v>2953</v>
      </c>
      <c r="Q10" s="4">
        <v>12737</v>
      </c>
      <c r="R10" s="4" t="s">
        <v>2965</v>
      </c>
      <c r="S10" s="4">
        <v>12186</v>
      </c>
      <c r="T10" s="4" t="s">
        <v>2961</v>
      </c>
      <c r="U10" s="4">
        <v>12579</v>
      </c>
      <c r="V10" s="323" t="s">
        <v>2979</v>
      </c>
      <c r="W10" s="318">
        <v>12067</v>
      </c>
      <c r="X10" s="318" t="s">
        <v>2938</v>
      </c>
    </row>
    <row r="11" spans="1:24" ht="15.75">
      <c r="A11" s="6"/>
      <c r="B11" s="37"/>
      <c r="C11" s="33"/>
      <c r="D11" s="362"/>
      <c r="E11" s="321">
        <v>12408</v>
      </c>
      <c r="F11" s="4" t="s">
        <v>2910</v>
      </c>
      <c r="G11" s="4">
        <v>12754</v>
      </c>
      <c r="H11" s="4" t="s">
        <v>2915</v>
      </c>
      <c r="I11" s="4">
        <v>17002</v>
      </c>
      <c r="J11" s="4" t="s">
        <v>2927</v>
      </c>
      <c r="K11" s="4" t="s">
        <v>2</v>
      </c>
      <c r="L11" s="4"/>
      <c r="M11" s="4">
        <v>17105</v>
      </c>
      <c r="N11" s="4" t="s">
        <v>3050</v>
      </c>
      <c r="O11" s="4">
        <v>12516</v>
      </c>
      <c r="P11" s="4" t="s">
        <v>2934</v>
      </c>
      <c r="Q11" s="4">
        <v>12682</v>
      </c>
      <c r="R11" s="4" t="s">
        <v>2935</v>
      </c>
      <c r="S11" s="4">
        <v>12307</v>
      </c>
      <c r="T11" s="4" t="s">
        <v>2958</v>
      </c>
      <c r="U11" s="4">
        <v>12358</v>
      </c>
      <c r="V11" s="323" t="s">
        <v>2980</v>
      </c>
      <c r="W11" s="318">
        <v>12680</v>
      </c>
      <c r="X11" s="318" t="s">
        <v>2959</v>
      </c>
    </row>
    <row r="12" spans="1:24" ht="15.75">
      <c r="A12" s="6"/>
      <c r="B12" s="37"/>
      <c r="C12" s="33"/>
      <c r="D12" s="362"/>
      <c r="E12" s="321">
        <v>12650</v>
      </c>
      <c r="F12" s="4" t="s">
        <v>2911</v>
      </c>
      <c r="G12" s="4">
        <v>12812</v>
      </c>
      <c r="H12" s="4" t="s">
        <v>2921</v>
      </c>
      <c r="I12" s="4">
        <v>12665</v>
      </c>
      <c r="J12" s="4" t="s">
        <v>2931</v>
      </c>
      <c r="K12" s="4" t="s">
        <v>2</v>
      </c>
      <c r="L12" s="4"/>
      <c r="M12" s="4">
        <v>12694</v>
      </c>
      <c r="N12" s="4" t="s">
        <v>2964</v>
      </c>
      <c r="O12" s="4">
        <v>12486</v>
      </c>
      <c r="P12" s="4" t="s">
        <v>2948</v>
      </c>
      <c r="Q12" s="4">
        <v>12681</v>
      </c>
      <c r="R12" s="4" t="s">
        <v>2944</v>
      </c>
      <c r="S12" s="4">
        <v>12174</v>
      </c>
      <c r="T12" s="4" t="s">
        <v>2941</v>
      </c>
      <c r="U12" s="4">
        <v>12208</v>
      </c>
      <c r="V12" s="323" t="s">
        <v>2969</v>
      </c>
      <c r="W12" s="318">
        <v>12473</v>
      </c>
      <c r="X12" s="318" t="s">
        <v>2951</v>
      </c>
    </row>
    <row r="13" spans="1:24" ht="15.75">
      <c r="A13" s="6"/>
      <c r="B13" s="37"/>
      <c r="C13" s="33"/>
      <c r="D13" s="362"/>
      <c r="E13" s="321" t="s">
        <v>2</v>
      </c>
      <c r="F13" s="4"/>
      <c r="G13" s="4">
        <v>12587</v>
      </c>
      <c r="H13" s="4" t="s">
        <v>2919</v>
      </c>
      <c r="I13" s="4"/>
      <c r="J13" s="4"/>
      <c r="K13" s="4" t="s">
        <v>2</v>
      </c>
      <c r="L13" s="4"/>
      <c r="M13" s="4">
        <v>17162</v>
      </c>
      <c r="N13" s="4" t="s">
        <v>3049</v>
      </c>
      <c r="O13" s="4"/>
      <c r="P13" s="4"/>
      <c r="Q13" s="4">
        <v>12799</v>
      </c>
      <c r="R13" s="4" t="s">
        <v>2957</v>
      </c>
      <c r="S13" s="4">
        <v>12793</v>
      </c>
      <c r="T13" s="4" t="s">
        <v>2954</v>
      </c>
      <c r="U13" s="4">
        <v>12536</v>
      </c>
      <c r="V13" s="323" t="s">
        <v>2962</v>
      </c>
      <c r="W13" s="318">
        <v>12766</v>
      </c>
      <c r="X13" s="318" t="s">
        <v>2970</v>
      </c>
    </row>
    <row r="14" spans="1:24" ht="15.75">
      <c r="A14" s="6"/>
      <c r="B14" s="37"/>
      <c r="C14" s="33"/>
      <c r="D14" s="362"/>
      <c r="E14" s="321" t="s">
        <v>2</v>
      </c>
      <c r="F14" s="4"/>
      <c r="G14" s="4">
        <v>12697</v>
      </c>
      <c r="H14" s="4" t="s">
        <v>2925</v>
      </c>
      <c r="I14" s="4" t="s">
        <v>2</v>
      </c>
      <c r="J14" s="4"/>
      <c r="K14" s="4" t="s">
        <v>2</v>
      </c>
      <c r="L14" s="4"/>
      <c r="M14" s="4"/>
      <c r="N14" s="4"/>
      <c r="O14" s="4" t="s">
        <v>2</v>
      </c>
      <c r="P14" s="4"/>
      <c r="Q14" s="4">
        <v>12702</v>
      </c>
      <c r="R14" s="4" t="s">
        <v>2968</v>
      </c>
      <c r="S14" s="4">
        <v>12437</v>
      </c>
      <c r="T14" s="4" t="s">
        <v>2945</v>
      </c>
      <c r="U14" s="4">
        <v>12577</v>
      </c>
      <c r="V14" s="323" t="s">
        <v>2977</v>
      </c>
      <c r="W14" s="318">
        <v>12513</v>
      </c>
      <c r="X14" s="318" t="s">
        <v>2947</v>
      </c>
    </row>
    <row r="15" spans="1:24" ht="15.75">
      <c r="A15" s="6"/>
      <c r="B15" s="37"/>
      <c r="C15" s="33"/>
      <c r="D15" s="362"/>
      <c r="E15" s="321" t="s">
        <v>2</v>
      </c>
      <c r="F15" s="4"/>
      <c r="G15" s="4">
        <v>12553</v>
      </c>
      <c r="H15" s="4" t="s">
        <v>2916</v>
      </c>
      <c r="I15" s="4" t="s">
        <v>2</v>
      </c>
      <c r="J15" s="4"/>
      <c r="K15" s="4" t="s">
        <v>2</v>
      </c>
      <c r="L15" s="4"/>
      <c r="M15" s="4"/>
      <c r="N15" s="4"/>
      <c r="O15" s="4" t="s">
        <v>2</v>
      </c>
      <c r="P15" s="4"/>
      <c r="Q15" s="4">
        <v>12730</v>
      </c>
      <c r="R15" s="4" t="s">
        <v>2960</v>
      </c>
      <c r="S15" s="4" t="s">
        <v>2</v>
      </c>
      <c r="T15" s="4"/>
      <c r="U15" s="4">
        <v>12308</v>
      </c>
      <c r="V15" s="323" t="s">
        <v>2973</v>
      </c>
      <c r="W15" s="318">
        <v>12479</v>
      </c>
      <c r="X15" s="318" t="s">
        <v>2981</v>
      </c>
    </row>
    <row r="16" spans="1:24" ht="15.75">
      <c r="A16" s="6"/>
      <c r="B16" s="37"/>
      <c r="C16" s="33"/>
      <c r="D16" s="362"/>
      <c r="E16" s="321" t="s">
        <v>2</v>
      </c>
      <c r="F16" s="4"/>
      <c r="G16" s="4">
        <v>12430</v>
      </c>
      <c r="H16" s="4" t="s">
        <v>2917</v>
      </c>
      <c r="I16" s="4" t="s">
        <v>2</v>
      </c>
      <c r="J16" s="4"/>
      <c r="K16" s="4" t="s">
        <v>2</v>
      </c>
      <c r="L16" s="4"/>
      <c r="M16" s="4" t="s">
        <v>2</v>
      </c>
      <c r="N16" s="4"/>
      <c r="O16" s="4" t="s">
        <v>2</v>
      </c>
      <c r="P16" s="4"/>
      <c r="Q16" s="4">
        <v>12582</v>
      </c>
      <c r="R16" s="4" t="s">
        <v>2949</v>
      </c>
      <c r="S16" s="4" t="s">
        <v>2</v>
      </c>
      <c r="T16" s="4"/>
      <c r="U16" s="4">
        <v>12866</v>
      </c>
      <c r="V16" s="323" t="s">
        <v>2937</v>
      </c>
      <c r="W16" s="318">
        <v>12573</v>
      </c>
      <c r="X16" s="318" t="s">
        <v>2963</v>
      </c>
    </row>
    <row r="17" spans="1:24" ht="15.75">
      <c r="A17" s="6"/>
      <c r="B17" s="37"/>
      <c r="C17" s="33"/>
      <c r="D17" s="362"/>
      <c r="E17" s="321" t="s">
        <v>2</v>
      </c>
      <c r="F17" s="4"/>
      <c r="G17" s="4">
        <v>17059</v>
      </c>
      <c r="H17" s="4" t="s">
        <v>2924</v>
      </c>
      <c r="I17" s="4" t="s">
        <v>2</v>
      </c>
      <c r="J17" s="4"/>
      <c r="K17" s="4" t="s">
        <v>2</v>
      </c>
      <c r="L17" s="4"/>
      <c r="M17" s="4" t="s">
        <v>2</v>
      </c>
      <c r="N17" s="4"/>
      <c r="O17" s="4" t="s">
        <v>2</v>
      </c>
      <c r="P17" s="4"/>
      <c r="Q17" s="4" t="s">
        <v>2</v>
      </c>
      <c r="R17" s="4"/>
      <c r="S17" s="4" t="s">
        <v>2</v>
      </c>
      <c r="T17" s="4"/>
      <c r="U17" s="4">
        <v>12161</v>
      </c>
      <c r="V17" s="323" t="s">
        <v>2971</v>
      </c>
      <c r="W17" s="318" t="s">
        <v>2</v>
      </c>
      <c r="X17" s="318"/>
    </row>
    <row r="18" spans="1:24" ht="15.75">
      <c r="A18" s="6"/>
      <c r="B18" s="37"/>
      <c r="C18" s="33"/>
      <c r="D18" s="362"/>
      <c r="E18" s="321" t="s">
        <v>2</v>
      </c>
      <c r="F18" s="4"/>
      <c r="G18" s="4">
        <v>12480</v>
      </c>
      <c r="H18" s="4" t="s">
        <v>2914</v>
      </c>
      <c r="I18" s="4" t="s">
        <v>2</v>
      </c>
      <c r="J18" s="4"/>
      <c r="K18" s="4" t="s">
        <v>2</v>
      </c>
      <c r="L18" s="4"/>
      <c r="M18" s="4" t="s">
        <v>2</v>
      </c>
      <c r="N18" s="4"/>
      <c r="O18" s="4" t="s">
        <v>2</v>
      </c>
      <c r="P18" s="4"/>
      <c r="Q18" s="4" t="s">
        <v>2</v>
      </c>
      <c r="R18" s="4"/>
      <c r="S18" s="4" t="s">
        <v>2</v>
      </c>
      <c r="T18" s="4"/>
      <c r="U18" s="4">
        <v>12660</v>
      </c>
      <c r="V18" s="323" t="s">
        <v>2974</v>
      </c>
      <c r="W18" s="318" t="s">
        <v>2</v>
      </c>
      <c r="X18" s="318"/>
    </row>
    <row r="19" spans="1:24" ht="15.75">
      <c r="A19" s="6"/>
      <c r="B19" s="37"/>
      <c r="C19" s="33"/>
      <c r="D19" s="362"/>
      <c r="E19" s="321" t="s">
        <v>2</v>
      </c>
      <c r="F19" s="4"/>
      <c r="G19" s="4">
        <v>12292</v>
      </c>
      <c r="H19" s="4" t="s">
        <v>2926</v>
      </c>
      <c r="I19" s="4" t="s">
        <v>2</v>
      </c>
      <c r="J19" s="4"/>
      <c r="K19" s="4" t="s">
        <v>2</v>
      </c>
      <c r="L19" s="4"/>
      <c r="M19" s="4" t="s">
        <v>2</v>
      </c>
      <c r="N19" s="4"/>
      <c r="O19" s="4" t="s">
        <v>2</v>
      </c>
      <c r="P19" s="4"/>
      <c r="Q19" s="4" t="s">
        <v>2</v>
      </c>
      <c r="R19" s="4"/>
      <c r="S19" s="4" t="s">
        <v>2</v>
      </c>
      <c r="T19" s="4"/>
      <c r="U19" s="4">
        <v>12179</v>
      </c>
      <c r="V19" s="323" t="s">
        <v>2972</v>
      </c>
      <c r="W19" s="318" t="s">
        <v>2</v>
      </c>
      <c r="X19" s="318"/>
    </row>
    <row r="20" spans="1:24" ht="15.75">
      <c r="A20" s="6"/>
      <c r="B20" s="37"/>
      <c r="C20" s="33"/>
      <c r="D20" s="362"/>
      <c r="E20" s="321" t="s">
        <v>2</v>
      </c>
      <c r="F20" s="4"/>
      <c r="G20" s="4">
        <v>12338</v>
      </c>
      <c r="H20" s="4" t="s">
        <v>2920</v>
      </c>
      <c r="I20" s="4" t="s">
        <v>2</v>
      </c>
      <c r="J20" s="4"/>
      <c r="K20" s="4" t="s">
        <v>2</v>
      </c>
      <c r="L20" s="4"/>
      <c r="M20" s="4" t="s">
        <v>2</v>
      </c>
      <c r="N20" s="4"/>
      <c r="O20" s="4" t="s">
        <v>2</v>
      </c>
      <c r="P20" s="4"/>
      <c r="Q20" s="4" t="s">
        <v>2</v>
      </c>
      <c r="R20" s="4"/>
      <c r="S20" s="4" t="s">
        <v>2</v>
      </c>
      <c r="T20" s="4"/>
      <c r="U20" s="4">
        <v>12191</v>
      </c>
      <c r="V20" s="323" t="s">
        <v>2978</v>
      </c>
      <c r="W20" s="318" t="s">
        <v>2</v>
      </c>
      <c r="X20" s="318"/>
    </row>
    <row r="21" spans="1:24" ht="15.75">
      <c r="A21" s="6"/>
      <c r="B21" s="37"/>
      <c r="C21" s="33"/>
      <c r="D21" s="363"/>
      <c r="E21" s="322" t="s">
        <v>2</v>
      </c>
      <c r="F21" s="319"/>
      <c r="G21" s="319" t="s">
        <v>2</v>
      </c>
      <c r="H21" s="319"/>
      <c r="I21" s="319" t="s">
        <v>2</v>
      </c>
      <c r="J21" s="319"/>
      <c r="K21" s="319" t="s">
        <v>2</v>
      </c>
      <c r="L21" s="319"/>
      <c r="M21" s="319" t="s">
        <v>2</v>
      </c>
      <c r="N21" s="319"/>
      <c r="O21" s="319" t="s">
        <v>2</v>
      </c>
      <c r="P21" s="319"/>
      <c r="Q21" s="319" t="s">
        <v>2</v>
      </c>
      <c r="R21" s="319"/>
      <c r="S21" s="319" t="s">
        <v>2</v>
      </c>
      <c r="T21" s="319"/>
      <c r="U21" s="319">
        <v>12809</v>
      </c>
      <c r="V21" s="324" t="s">
        <v>2946</v>
      </c>
      <c r="W21" s="320" t="s">
        <v>2</v>
      </c>
      <c r="X21" s="320"/>
    </row>
    <row r="22" spans="1:24" ht="16.5" thickBot="1">
      <c r="A22" s="6"/>
      <c r="B22" s="37"/>
      <c r="C22" s="33"/>
    </row>
    <row r="23" spans="1:24" ht="15.75" customHeight="1" thickBot="1">
      <c r="A23" s="6"/>
      <c r="B23" s="37"/>
      <c r="C23" s="33"/>
      <c r="D23" s="85" t="s">
        <v>2903</v>
      </c>
      <c r="E23" s="357" t="s">
        <v>1310</v>
      </c>
      <c r="F23" s="358"/>
      <c r="G23" s="355" t="s">
        <v>1314</v>
      </c>
      <c r="H23" s="356"/>
      <c r="I23" s="357" t="s">
        <v>1313</v>
      </c>
      <c r="J23" s="358"/>
      <c r="K23" s="357" t="s">
        <v>1311</v>
      </c>
      <c r="L23" s="358"/>
      <c r="M23" s="355" t="s">
        <v>1307</v>
      </c>
      <c r="N23" s="356"/>
      <c r="O23" s="357" t="s">
        <v>2899</v>
      </c>
      <c r="P23" s="358"/>
      <c r="Q23" s="359" t="s">
        <v>2907</v>
      </c>
      <c r="R23" s="360"/>
    </row>
    <row r="24" spans="1:24" ht="15.75">
      <c r="A24" s="6"/>
      <c r="B24" s="37"/>
      <c r="C24" s="33"/>
      <c r="D24" s="361" t="s">
        <v>2902</v>
      </c>
      <c r="E24" s="85" t="s">
        <v>17</v>
      </c>
      <c r="F24" s="100" t="s">
        <v>18</v>
      </c>
      <c r="G24" s="86" t="s">
        <v>17</v>
      </c>
      <c r="H24" s="87" t="s">
        <v>18</v>
      </c>
      <c r="I24" s="86" t="s">
        <v>17</v>
      </c>
      <c r="J24" s="86" t="s">
        <v>18</v>
      </c>
      <c r="K24" s="86" t="s">
        <v>17</v>
      </c>
      <c r="L24" s="86" t="s">
        <v>18</v>
      </c>
      <c r="M24" s="86" t="s">
        <v>17</v>
      </c>
      <c r="N24" s="86" t="s">
        <v>18</v>
      </c>
      <c r="O24" s="86" t="s">
        <v>17</v>
      </c>
      <c r="P24" s="86" t="s">
        <v>18</v>
      </c>
      <c r="Q24" s="86" t="s">
        <v>17</v>
      </c>
      <c r="R24" s="161" t="s">
        <v>18</v>
      </c>
    </row>
    <row r="25" spans="1:24" ht="15.75">
      <c r="A25" s="6"/>
      <c r="B25" s="37"/>
      <c r="C25" s="33"/>
      <c r="D25" s="362"/>
      <c r="E25" s="325">
        <v>12544</v>
      </c>
      <c r="F25" s="325" t="s">
        <v>2943</v>
      </c>
      <c r="G25" s="326">
        <v>12278</v>
      </c>
      <c r="H25" s="326" t="s">
        <v>2975</v>
      </c>
      <c r="I25" s="326">
        <v>12301</v>
      </c>
      <c r="J25" s="326" t="s">
        <v>2952</v>
      </c>
      <c r="K25" s="326">
        <v>17162</v>
      </c>
      <c r="L25" s="326" t="s">
        <v>3049</v>
      </c>
      <c r="M25" s="326">
        <v>12480</v>
      </c>
      <c r="N25" s="326" t="s">
        <v>2914</v>
      </c>
      <c r="O25" s="326">
        <v>12185</v>
      </c>
      <c r="P25" s="326" t="s">
        <v>2942</v>
      </c>
      <c r="Q25" s="326">
        <v>12259</v>
      </c>
      <c r="R25" s="326" t="s">
        <v>2912</v>
      </c>
    </row>
    <row r="26" spans="1:24" ht="15.75">
      <c r="A26" s="6"/>
      <c r="B26" s="37"/>
      <c r="C26" s="33"/>
      <c r="D26" s="362"/>
      <c r="E26" s="321">
        <v>12275</v>
      </c>
      <c r="F26" s="321" t="s">
        <v>3024</v>
      </c>
      <c r="G26" s="4">
        <v>12694</v>
      </c>
      <c r="H26" s="4" t="s">
        <v>2964</v>
      </c>
      <c r="I26" s="4">
        <v>17085</v>
      </c>
      <c r="J26" s="4" t="s">
        <v>2982</v>
      </c>
      <c r="K26" s="4">
        <v>12753</v>
      </c>
      <c r="L26" s="4" t="s">
        <v>3048</v>
      </c>
      <c r="M26" s="4">
        <v>12754</v>
      </c>
      <c r="N26" s="4" t="s">
        <v>2915</v>
      </c>
      <c r="O26" s="4">
        <v>12557</v>
      </c>
      <c r="P26" s="4" t="s">
        <v>2966</v>
      </c>
      <c r="Q26" s="4">
        <v>12320</v>
      </c>
      <c r="R26" s="4" t="s">
        <v>2987</v>
      </c>
    </row>
    <row r="27" spans="1:24" ht="15.75">
      <c r="A27" s="6"/>
      <c r="B27" s="37"/>
      <c r="C27" s="33"/>
      <c r="D27" s="362"/>
      <c r="E27" s="321">
        <v>17097</v>
      </c>
      <c r="F27" s="321" t="s">
        <v>3025</v>
      </c>
      <c r="G27" s="4">
        <v>17125</v>
      </c>
      <c r="H27" s="4" t="s">
        <v>2989</v>
      </c>
      <c r="I27" s="4">
        <v>12402</v>
      </c>
      <c r="J27" s="4" t="s">
        <v>2986</v>
      </c>
      <c r="K27" s="4">
        <v>17030</v>
      </c>
      <c r="L27" s="4" t="s">
        <v>2983</v>
      </c>
      <c r="M27" s="4">
        <v>12553</v>
      </c>
      <c r="N27" s="4" t="s">
        <v>2916</v>
      </c>
      <c r="O27" s="4">
        <v>12536</v>
      </c>
      <c r="P27" s="4" t="s">
        <v>2962</v>
      </c>
      <c r="Q27" s="4">
        <v>12477</v>
      </c>
      <c r="R27" s="4" t="s">
        <v>2913</v>
      </c>
    </row>
    <row r="28" spans="1:24" ht="15.75">
      <c r="A28" s="6"/>
      <c r="B28" s="37"/>
      <c r="C28" s="33"/>
      <c r="D28" s="362"/>
      <c r="E28" s="321">
        <v>17047</v>
      </c>
      <c r="F28" s="321" t="s">
        <v>3026</v>
      </c>
      <c r="G28" s="4">
        <v>17102</v>
      </c>
      <c r="H28" s="4" t="s">
        <v>3020</v>
      </c>
      <c r="I28" s="4">
        <v>12088</v>
      </c>
      <c r="J28" s="4" t="s">
        <v>3035</v>
      </c>
      <c r="K28" s="4">
        <v>12340</v>
      </c>
      <c r="L28" s="4" t="s">
        <v>2985</v>
      </c>
      <c r="M28" s="4">
        <v>12430</v>
      </c>
      <c r="N28" s="4" t="s">
        <v>2917</v>
      </c>
      <c r="O28" s="4">
        <v>12577</v>
      </c>
      <c r="P28" s="4" t="s">
        <v>2977</v>
      </c>
      <c r="Q28" s="4">
        <v>12408</v>
      </c>
      <c r="R28" s="4" t="s">
        <v>2910</v>
      </c>
    </row>
    <row r="29" spans="1:24" ht="15.75">
      <c r="A29" s="6"/>
      <c r="B29" s="37"/>
      <c r="C29" s="33"/>
      <c r="D29" s="362"/>
      <c r="E29" s="321">
        <v>17093</v>
      </c>
      <c r="F29" s="321" t="s">
        <v>3027</v>
      </c>
      <c r="G29" s="4">
        <v>12521</v>
      </c>
      <c r="H29" s="4" t="s">
        <v>3022</v>
      </c>
      <c r="I29" s="4">
        <v>12718</v>
      </c>
      <c r="J29" s="4" t="s">
        <v>2984</v>
      </c>
      <c r="K29" s="4">
        <v>17101</v>
      </c>
      <c r="L29" s="4" t="s">
        <v>2988</v>
      </c>
      <c r="M29" s="4">
        <v>12588</v>
      </c>
      <c r="N29" s="4" t="s">
        <v>2918</v>
      </c>
      <c r="O29" s="4">
        <v>12308</v>
      </c>
      <c r="P29" s="4" t="s">
        <v>2973</v>
      </c>
      <c r="Q29" s="4">
        <v>12650</v>
      </c>
      <c r="R29" s="4" t="s">
        <v>2911</v>
      </c>
    </row>
    <row r="30" spans="1:24" ht="15.75">
      <c r="A30" s="6"/>
      <c r="B30" s="37"/>
      <c r="C30" s="33"/>
      <c r="D30" s="362"/>
      <c r="E30" s="321">
        <v>12792</v>
      </c>
      <c r="F30" s="321" t="s">
        <v>3028</v>
      </c>
      <c r="G30" s="4">
        <v>12504</v>
      </c>
      <c r="H30" s="4" t="s">
        <v>2956</v>
      </c>
      <c r="I30" s="4">
        <v>12486</v>
      </c>
      <c r="J30" s="4" t="s">
        <v>2948</v>
      </c>
      <c r="K30" s="4">
        <v>12798</v>
      </c>
      <c r="L30" s="4" t="s">
        <v>2990</v>
      </c>
      <c r="M30" s="4">
        <v>12587</v>
      </c>
      <c r="N30" s="4" t="s">
        <v>2919</v>
      </c>
      <c r="O30" s="4">
        <v>12866</v>
      </c>
      <c r="P30" s="4" t="s">
        <v>2937</v>
      </c>
      <c r="Q30" s="4">
        <v>12644</v>
      </c>
      <c r="R30" s="4" t="s">
        <v>2928</v>
      </c>
    </row>
    <row r="31" spans="1:24" ht="15.75">
      <c r="A31" s="6"/>
      <c r="B31" s="37"/>
      <c r="C31" s="33"/>
      <c r="D31" s="362"/>
      <c r="E31" s="321">
        <v>17183</v>
      </c>
      <c r="F31" s="321" t="s">
        <v>3031</v>
      </c>
      <c r="G31" s="4">
        <v>17087</v>
      </c>
      <c r="H31" s="4" t="s">
        <v>2995</v>
      </c>
      <c r="I31" s="4">
        <v>17009</v>
      </c>
      <c r="J31" s="4" t="s">
        <v>3036</v>
      </c>
      <c r="K31" s="4">
        <v>17177</v>
      </c>
      <c r="L31" s="4" t="s">
        <v>2991</v>
      </c>
      <c r="M31" s="4">
        <v>12338</v>
      </c>
      <c r="N31" s="4" t="s">
        <v>2920</v>
      </c>
      <c r="O31" s="4">
        <v>12161</v>
      </c>
      <c r="P31" s="4" t="s">
        <v>2971</v>
      </c>
      <c r="Q31" s="4">
        <v>12545</v>
      </c>
      <c r="R31" s="4" t="s">
        <v>2930</v>
      </c>
    </row>
    <row r="32" spans="1:24" ht="15.75">
      <c r="A32" s="6"/>
      <c r="B32" s="37"/>
      <c r="C32" s="33"/>
      <c r="D32" s="362"/>
      <c r="E32" s="321">
        <v>17190</v>
      </c>
      <c r="F32" s="321" t="s">
        <v>3051</v>
      </c>
      <c r="G32" s="4">
        <v>17137</v>
      </c>
      <c r="H32" s="4" t="s">
        <v>2994</v>
      </c>
      <c r="I32" s="4">
        <v>12290</v>
      </c>
      <c r="J32" s="4" t="s">
        <v>3037</v>
      </c>
      <c r="K32" s="4">
        <v>17120</v>
      </c>
      <c r="L32" s="4" t="s">
        <v>2992</v>
      </c>
      <c r="M32" s="4">
        <v>12812</v>
      </c>
      <c r="N32" s="4" t="s">
        <v>2921</v>
      </c>
      <c r="O32" s="321">
        <v>12660</v>
      </c>
      <c r="P32" s="321" t="s">
        <v>2974</v>
      </c>
      <c r="Q32" s="4">
        <v>12012</v>
      </c>
      <c r="R32" s="4" t="s">
        <v>2929</v>
      </c>
    </row>
    <row r="33" spans="1:18" ht="15.75">
      <c r="A33" s="6"/>
      <c r="B33" s="37"/>
      <c r="C33" s="33"/>
      <c r="D33" s="362"/>
      <c r="E33" s="321">
        <v>17005</v>
      </c>
      <c r="F33" s="321" t="s">
        <v>2993</v>
      </c>
      <c r="G33" s="4">
        <v>17023</v>
      </c>
      <c r="H33" s="4" t="s">
        <v>3034</v>
      </c>
      <c r="I33" s="4">
        <v>17065</v>
      </c>
      <c r="J33" s="4" t="s">
        <v>3039</v>
      </c>
      <c r="K33" s="4">
        <v>12672</v>
      </c>
      <c r="L33" s="4" t="s">
        <v>3044</v>
      </c>
      <c r="M33" s="4">
        <v>12591</v>
      </c>
      <c r="N33" s="4" t="s">
        <v>2922</v>
      </c>
      <c r="O33" s="4">
        <v>12191</v>
      </c>
      <c r="P33" s="4" t="s">
        <v>2978</v>
      </c>
      <c r="Q33" s="4">
        <v>17002</v>
      </c>
      <c r="R33" s="4" t="s">
        <v>2927</v>
      </c>
    </row>
    <row r="34" spans="1:18" ht="15.75">
      <c r="A34" s="6"/>
      <c r="B34" s="37"/>
      <c r="C34" s="33"/>
      <c r="D34" s="362"/>
      <c r="E34" s="321">
        <v>17057</v>
      </c>
      <c r="F34" s="321" t="s">
        <v>3029</v>
      </c>
      <c r="G34" s="4">
        <v>12295</v>
      </c>
      <c r="H34" s="4" t="s">
        <v>3001</v>
      </c>
      <c r="I34" s="4">
        <v>12300</v>
      </c>
      <c r="J34" s="4" t="s">
        <v>3040</v>
      </c>
      <c r="K34" s="4">
        <v>17198</v>
      </c>
      <c r="L34" s="4" t="s">
        <v>2998</v>
      </c>
      <c r="M34" s="4">
        <v>12974</v>
      </c>
      <c r="N34" s="4" t="s">
        <v>2923</v>
      </c>
      <c r="O34" s="4">
        <v>12809</v>
      </c>
      <c r="P34" s="4" t="s">
        <v>2946</v>
      </c>
      <c r="Q34" s="4">
        <v>12665</v>
      </c>
      <c r="R34" s="4" t="s">
        <v>2931</v>
      </c>
    </row>
    <row r="35" spans="1:18" ht="15.75">
      <c r="A35" s="6"/>
      <c r="B35" s="37"/>
      <c r="C35" s="33"/>
      <c r="D35" s="362"/>
      <c r="E35" s="321">
        <v>17029</v>
      </c>
      <c r="F35" s="321" t="s">
        <v>2997</v>
      </c>
      <c r="G35" s="4">
        <v>12303</v>
      </c>
      <c r="H35" s="4" t="s">
        <v>3004</v>
      </c>
      <c r="I35" s="4">
        <v>17004</v>
      </c>
      <c r="J35" s="4" t="s">
        <v>3043</v>
      </c>
      <c r="K35" s="4">
        <v>17003</v>
      </c>
      <c r="L35" s="4" t="s">
        <v>2999</v>
      </c>
      <c r="M35" s="321">
        <v>17059</v>
      </c>
      <c r="N35" s="321" t="s">
        <v>2924</v>
      </c>
      <c r="O35" s="4" t="s">
        <v>2</v>
      </c>
      <c r="P35" s="4"/>
      <c r="Q35" s="4">
        <v>12415</v>
      </c>
      <c r="R35" s="4" t="s">
        <v>2932</v>
      </c>
    </row>
    <row r="36" spans="1:18" ht="15.75">
      <c r="A36" s="6"/>
      <c r="B36" s="37"/>
      <c r="C36" s="33"/>
      <c r="D36" s="362"/>
      <c r="E36" s="321">
        <v>17037</v>
      </c>
      <c r="F36" s="321" t="s">
        <v>3030</v>
      </c>
      <c r="G36" s="4">
        <v>17048</v>
      </c>
      <c r="H36" s="4" t="s">
        <v>3006</v>
      </c>
      <c r="I36" s="4">
        <v>17196</v>
      </c>
      <c r="J36" s="4" t="s">
        <v>3010</v>
      </c>
      <c r="K36" s="4">
        <v>12927</v>
      </c>
      <c r="L36" s="4" t="s">
        <v>3003</v>
      </c>
      <c r="M36" s="4">
        <v>12697</v>
      </c>
      <c r="N36" s="4" t="s">
        <v>2925</v>
      </c>
      <c r="O36" s="4" t="s">
        <v>2</v>
      </c>
      <c r="P36" s="4"/>
      <c r="Q36" s="4">
        <v>12406</v>
      </c>
      <c r="R36" s="4" t="s">
        <v>2933</v>
      </c>
    </row>
    <row r="37" spans="1:18" ht="15.75">
      <c r="A37" s="6"/>
      <c r="B37" s="37"/>
      <c r="C37" s="33"/>
      <c r="D37" s="362"/>
      <c r="E37" s="321">
        <v>17167</v>
      </c>
      <c r="F37" s="321" t="s">
        <v>3032</v>
      </c>
      <c r="G37" s="4">
        <v>17189</v>
      </c>
      <c r="H37" s="4" t="s">
        <v>3008</v>
      </c>
      <c r="I37" s="4">
        <v>12304</v>
      </c>
      <c r="J37" s="4" t="s">
        <v>3038</v>
      </c>
      <c r="K37" s="4">
        <v>17184</v>
      </c>
      <c r="L37" s="4" t="s">
        <v>3007</v>
      </c>
      <c r="M37" s="4">
        <v>12292</v>
      </c>
      <c r="N37" s="4" t="s">
        <v>2926</v>
      </c>
      <c r="O37" s="4" t="s">
        <v>2</v>
      </c>
      <c r="P37" s="4"/>
      <c r="Q37" s="4"/>
      <c r="R37" s="4"/>
    </row>
    <row r="38" spans="1:18" ht="15.75">
      <c r="A38" s="6"/>
      <c r="B38" s="37"/>
      <c r="C38" s="33"/>
      <c r="D38" s="362"/>
      <c r="E38" s="321">
        <v>12807</v>
      </c>
      <c r="F38" s="321" t="s">
        <v>3000</v>
      </c>
      <c r="G38" s="4">
        <v>17141</v>
      </c>
      <c r="H38" s="4" t="s">
        <v>3013</v>
      </c>
      <c r="I38" s="321">
        <v>17143</v>
      </c>
      <c r="J38" s="321" t="s">
        <v>3002</v>
      </c>
      <c r="K38" s="321">
        <v>17186</v>
      </c>
      <c r="L38" s="321" t="s">
        <v>3011</v>
      </c>
      <c r="M38" s="4">
        <v>12746</v>
      </c>
      <c r="N38" s="4" t="s">
        <v>2939</v>
      </c>
      <c r="O38" s="321" t="s">
        <v>2</v>
      </c>
      <c r="P38" s="321"/>
      <c r="Q38" s="4" t="s">
        <v>2</v>
      </c>
      <c r="R38" s="4"/>
    </row>
    <row r="39" spans="1:18" ht="15.75">
      <c r="A39" s="6"/>
      <c r="B39" s="37"/>
      <c r="C39" s="33"/>
      <c r="D39" s="362"/>
      <c r="E39" s="321">
        <v>12416</v>
      </c>
      <c r="F39" s="321" t="s">
        <v>3005</v>
      </c>
      <c r="G39" s="4">
        <v>17193</v>
      </c>
      <c r="H39" s="4" t="s">
        <v>3016</v>
      </c>
      <c r="I39" s="4">
        <v>17172</v>
      </c>
      <c r="J39" s="4" t="s">
        <v>3041</v>
      </c>
      <c r="K39" s="4">
        <v>12289</v>
      </c>
      <c r="L39" s="4" t="s">
        <v>2996</v>
      </c>
      <c r="M39" s="4">
        <v>12582</v>
      </c>
      <c r="N39" s="4" t="s">
        <v>2949</v>
      </c>
      <c r="O39" s="4" t="s">
        <v>2</v>
      </c>
      <c r="P39" s="4"/>
      <c r="Q39" s="4" t="s">
        <v>2</v>
      </c>
      <c r="R39" s="4"/>
    </row>
    <row r="40" spans="1:18" ht="15.75">
      <c r="A40" s="6"/>
      <c r="B40" s="37"/>
      <c r="C40" s="33"/>
      <c r="D40" s="362"/>
      <c r="E40" s="321">
        <v>12404</v>
      </c>
      <c r="F40" s="321" t="s">
        <v>3033</v>
      </c>
      <c r="G40" s="4"/>
      <c r="H40" s="4"/>
      <c r="I40" s="4">
        <v>17082</v>
      </c>
      <c r="J40" s="4" t="s">
        <v>3042</v>
      </c>
      <c r="K40" s="4">
        <v>12285</v>
      </c>
      <c r="L40" s="4" t="s">
        <v>3009</v>
      </c>
      <c r="M40" s="4">
        <v>12579</v>
      </c>
      <c r="N40" s="4" t="s">
        <v>2979</v>
      </c>
      <c r="O40" s="4" t="s">
        <v>2</v>
      </c>
      <c r="P40" s="4"/>
      <c r="Q40" s="4" t="s">
        <v>2</v>
      </c>
      <c r="R40" s="4"/>
    </row>
    <row r="41" spans="1:18" ht="15.75">
      <c r="A41" s="6"/>
      <c r="B41" s="37"/>
      <c r="C41" s="33"/>
      <c r="D41" s="362"/>
      <c r="E41" s="321">
        <v>17016</v>
      </c>
      <c r="F41" s="321" t="s">
        <v>3012</v>
      </c>
      <c r="G41" s="4"/>
      <c r="H41" s="4"/>
      <c r="I41" s="4">
        <v>17104</v>
      </c>
      <c r="J41" s="4" t="s">
        <v>3017</v>
      </c>
      <c r="K41" s="4">
        <v>17169</v>
      </c>
      <c r="L41" s="4" t="s">
        <v>3045</v>
      </c>
      <c r="M41" s="4">
        <v>12208</v>
      </c>
      <c r="N41" s="4" t="s">
        <v>2969</v>
      </c>
      <c r="O41" s="4" t="s">
        <v>2</v>
      </c>
      <c r="P41" s="4"/>
      <c r="Q41" s="4" t="s">
        <v>2</v>
      </c>
      <c r="R41" s="4"/>
    </row>
    <row r="42" spans="1:18" ht="15.75">
      <c r="A42" s="6"/>
      <c r="B42" s="37"/>
      <c r="C42" s="33"/>
      <c r="D42" s="362"/>
      <c r="E42" s="321">
        <v>12666</v>
      </c>
      <c r="F42" s="321" t="s">
        <v>3015</v>
      </c>
      <c r="G42" s="4"/>
      <c r="H42" s="4"/>
      <c r="I42" s="4">
        <v>17134</v>
      </c>
      <c r="J42" s="4" t="s">
        <v>3014</v>
      </c>
      <c r="K42" s="4">
        <v>17136</v>
      </c>
      <c r="L42" s="4" t="s">
        <v>3019</v>
      </c>
      <c r="M42" s="4">
        <v>12179</v>
      </c>
      <c r="N42" s="4" t="s">
        <v>2972</v>
      </c>
      <c r="O42" s="4" t="s">
        <v>2</v>
      </c>
      <c r="P42" s="4"/>
      <c r="Q42" s="4" t="s">
        <v>2</v>
      </c>
      <c r="R42" s="4"/>
    </row>
    <row r="43" spans="1:18" ht="15.75">
      <c r="A43" s="6"/>
      <c r="B43" s="37"/>
      <c r="C43" s="33"/>
      <c r="D43" s="362"/>
      <c r="E43" s="321">
        <v>12516</v>
      </c>
      <c r="F43" s="321" t="s">
        <v>2934</v>
      </c>
      <c r="G43" s="4"/>
      <c r="H43" s="4"/>
      <c r="I43" s="4">
        <v>12878</v>
      </c>
      <c r="J43" s="4" t="s">
        <v>3018</v>
      </c>
      <c r="K43" s="4">
        <v>17142</v>
      </c>
      <c r="L43" s="4" t="s">
        <v>3021</v>
      </c>
      <c r="M43" s="4">
        <v>12358</v>
      </c>
      <c r="N43" s="4" t="s">
        <v>2980</v>
      </c>
      <c r="O43" s="4" t="s">
        <v>2</v>
      </c>
      <c r="P43" s="4"/>
      <c r="Q43" s="4" t="s">
        <v>2</v>
      </c>
      <c r="R43" s="4"/>
    </row>
    <row r="44" spans="1:18" ht="15.75">
      <c r="A44" s="6"/>
      <c r="B44" s="37"/>
      <c r="C44" s="33"/>
      <c r="D44" s="362"/>
      <c r="E44" s="321"/>
      <c r="F44" s="321"/>
      <c r="G44" s="4"/>
      <c r="H44" s="4"/>
      <c r="I44" s="4"/>
      <c r="J44" s="4"/>
      <c r="K44" s="4">
        <v>17175</v>
      </c>
      <c r="L44" s="4" t="s">
        <v>3023</v>
      </c>
      <c r="M44" s="4" t="s">
        <v>2</v>
      </c>
      <c r="N44" s="4"/>
      <c r="O44" s="4" t="s">
        <v>2</v>
      </c>
      <c r="P44" s="4"/>
      <c r="Q44" s="4" t="s">
        <v>2</v>
      </c>
      <c r="R44" s="4"/>
    </row>
    <row r="45" spans="1:18" ht="15.75">
      <c r="A45" s="6"/>
      <c r="B45" s="37"/>
      <c r="C45" s="33"/>
      <c r="D45" s="362"/>
      <c r="E45" s="321" t="s">
        <v>2</v>
      </c>
      <c r="F45" s="321"/>
      <c r="G45" s="4" t="s">
        <v>2</v>
      </c>
      <c r="H45" s="4"/>
      <c r="I45" s="4" t="s">
        <v>2</v>
      </c>
      <c r="J45" s="4"/>
      <c r="K45" s="4">
        <v>12316</v>
      </c>
      <c r="L45" s="4" t="s">
        <v>2953</v>
      </c>
      <c r="M45" s="4" t="s">
        <v>2</v>
      </c>
      <c r="N45" s="4"/>
      <c r="O45" s="4" t="s">
        <v>2</v>
      </c>
      <c r="P45" s="4"/>
      <c r="Q45" s="4" t="s">
        <v>2</v>
      </c>
      <c r="R45" s="4"/>
    </row>
    <row r="46" spans="1:18" ht="15.75">
      <c r="A46" s="6"/>
      <c r="B46" s="37"/>
      <c r="C46" s="33"/>
      <c r="D46" s="362"/>
      <c r="E46" s="321" t="s">
        <v>2</v>
      </c>
      <c r="F46" s="321"/>
      <c r="G46" s="4" t="s">
        <v>2</v>
      </c>
      <c r="H46" s="4"/>
      <c r="I46" s="4" t="s">
        <v>2</v>
      </c>
      <c r="J46" s="4"/>
      <c r="K46" s="4"/>
      <c r="L46" s="4"/>
      <c r="M46" s="4" t="s">
        <v>2</v>
      </c>
      <c r="N46" s="4"/>
      <c r="O46" s="4" t="s">
        <v>2</v>
      </c>
      <c r="P46" s="4"/>
      <c r="Q46" s="4" t="s">
        <v>2</v>
      </c>
      <c r="R46" s="4"/>
    </row>
    <row r="47" spans="1:18" ht="15.75">
      <c r="A47" s="6"/>
      <c r="B47" s="37"/>
      <c r="C47" s="33"/>
      <c r="D47" s="363"/>
      <c r="E47" s="322" t="s">
        <v>2</v>
      </c>
      <c r="F47" s="322"/>
      <c r="G47" s="319" t="s">
        <v>2</v>
      </c>
      <c r="H47" s="319"/>
      <c r="I47" s="319" t="s">
        <v>2</v>
      </c>
      <c r="J47" s="319"/>
      <c r="K47" s="319"/>
      <c r="L47" s="319"/>
      <c r="M47" s="319" t="s">
        <v>2</v>
      </c>
      <c r="N47" s="319"/>
      <c r="O47" s="319" t="s">
        <v>2</v>
      </c>
      <c r="P47" s="319"/>
      <c r="Q47" s="319" t="s">
        <v>2</v>
      </c>
      <c r="R47" s="319"/>
    </row>
    <row r="48" spans="1:18" ht="15.75">
      <c r="A48" s="6"/>
      <c r="B48" s="37"/>
      <c r="C48" s="33"/>
    </row>
    <row r="49" spans="1:3" ht="15.75">
      <c r="A49" s="6"/>
      <c r="B49" s="37"/>
      <c r="C49" s="33"/>
    </row>
    <row r="50" spans="1:3" ht="15.75">
      <c r="A50" s="6"/>
      <c r="B50" s="37"/>
      <c r="C50" s="33"/>
    </row>
    <row r="51" spans="1:3" ht="15.75">
      <c r="A51" s="6"/>
      <c r="B51" s="37"/>
      <c r="C51" s="33"/>
    </row>
    <row r="52" spans="1:3" ht="15.75">
      <c r="A52" s="6"/>
      <c r="B52" s="37"/>
      <c r="C52" s="33"/>
    </row>
    <row r="53" spans="1:3" ht="15.75">
      <c r="A53" s="6"/>
      <c r="B53" s="37"/>
      <c r="C53" s="33"/>
    </row>
    <row r="54" spans="1:3" ht="15.75">
      <c r="A54" s="6"/>
      <c r="B54" s="37"/>
      <c r="C54" s="33"/>
    </row>
    <row r="55" spans="1:3" ht="15.75">
      <c r="A55" s="6"/>
      <c r="B55" s="37"/>
      <c r="C55" s="33"/>
    </row>
    <row r="56" spans="1:3" ht="15.75">
      <c r="A56" s="6"/>
      <c r="B56" s="37"/>
      <c r="C56" s="33"/>
    </row>
    <row r="57" spans="1:3" ht="15.75">
      <c r="A57" s="6"/>
      <c r="B57" s="37"/>
      <c r="C57" s="33"/>
    </row>
    <row r="58" spans="1:3" ht="15.75">
      <c r="A58" s="6"/>
      <c r="B58" s="37"/>
      <c r="C58" s="33"/>
    </row>
    <row r="59" spans="1:3" ht="15.75">
      <c r="A59" s="6"/>
      <c r="B59" s="37"/>
      <c r="C59" s="33"/>
    </row>
    <row r="60" spans="1:3" ht="15.75">
      <c r="A60" s="6"/>
      <c r="B60" s="37"/>
      <c r="C60" s="33"/>
    </row>
    <row r="61" spans="1:3" ht="15.75">
      <c r="A61" s="6"/>
      <c r="B61" s="37"/>
      <c r="C61" s="33"/>
    </row>
    <row r="62" spans="1:3" ht="15.75">
      <c r="A62" s="6"/>
      <c r="B62" s="37"/>
      <c r="C62" s="33"/>
    </row>
    <row r="63" spans="1:3" ht="15.75">
      <c r="A63" s="6"/>
      <c r="B63" s="37"/>
      <c r="C63" s="33"/>
    </row>
    <row r="64" spans="1:3" ht="15.75">
      <c r="A64" s="6"/>
      <c r="B64" s="37"/>
      <c r="C64" s="33"/>
    </row>
    <row r="65" spans="1:3" ht="15.75">
      <c r="A65" s="6"/>
      <c r="B65" s="37"/>
      <c r="C65" s="33"/>
    </row>
    <row r="66" spans="1:3" ht="15.75">
      <c r="A66" s="6"/>
      <c r="B66" s="37"/>
      <c r="C66" s="33"/>
    </row>
    <row r="67" spans="1:3" ht="15.75">
      <c r="A67" s="6"/>
      <c r="B67" s="37"/>
      <c r="C67" s="33"/>
    </row>
    <row r="68" spans="1:3" ht="15.75">
      <c r="A68" s="6"/>
      <c r="B68" s="37"/>
      <c r="C68" s="33"/>
    </row>
    <row r="69" spans="1:3" ht="15.75">
      <c r="A69" s="6"/>
      <c r="B69" s="37"/>
      <c r="C69" s="33"/>
    </row>
    <row r="70" spans="1:3" ht="15.75">
      <c r="A70" s="6"/>
      <c r="B70" s="37"/>
      <c r="C70" s="33"/>
    </row>
    <row r="71" spans="1:3" ht="15.75">
      <c r="A71" s="6"/>
      <c r="B71" s="37"/>
      <c r="C71" s="33"/>
    </row>
    <row r="72" spans="1:3" ht="15.75">
      <c r="A72" s="6"/>
      <c r="B72" s="37"/>
      <c r="C72" s="33"/>
    </row>
    <row r="73" spans="1:3" ht="15.75">
      <c r="A73" s="6"/>
      <c r="B73" s="37"/>
      <c r="C73" s="33"/>
    </row>
    <row r="74" spans="1:3" ht="15.75">
      <c r="A74" s="6"/>
      <c r="B74" s="37"/>
      <c r="C74" s="33"/>
    </row>
    <row r="75" spans="1:3" ht="15.75">
      <c r="A75" s="6"/>
      <c r="B75" s="37"/>
      <c r="C75" s="33"/>
    </row>
    <row r="76" spans="1:3" ht="15.75">
      <c r="A76" s="6"/>
      <c r="B76" s="37"/>
      <c r="C76" s="33"/>
    </row>
    <row r="77" spans="1:3" ht="15.75">
      <c r="A77" s="6"/>
      <c r="B77" s="37"/>
      <c r="C77" s="33"/>
    </row>
    <row r="78" spans="1:3" ht="15.75">
      <c r="A78" s="6"/>
      <c r="B78" s="37"/>
      <c r="C78" s="33"/>
    </row>
    <row r="79" spans="1:3" ht="15.75">
      <c r="A79" s="6"/>
      <c r="B79" s="37"/>
      <c r="C79" s="33"/>
    </row>
    <row r="80" spans="1:3" ht="15.75">
      <c r="A80" s="6"/>
      <c r="B80" s="37"/>
      <c r="C80" s="33"/>
    </row>
    <row r="81" spans="1:3" ht="15.75">
      <c r="A81" s="6"/>
      <c r="B81" s="37"/>
      <c r="C81" s="33"/>
    </row>
    <row r="82" spans="1:3" ht="15.75">
      <c r="A82" s="6"/>
      <c r="B82" s="37"/>
      <c r="C82" s="33"/>
    </row>
    <row r="83" spans="1:3" ht="15.75">
      <c r="A83" s="6"/>
      <c r="B83" s="37"/>
      <c r="C83" s="33"/>
    </row>
    <row r="84" spans="1:3" ht="15.75">
      <c r="A84" s="6"/>
      <c r="B84" s="37"/>
      <c r="C84" s="33"/>
    </row>
    <row r="85" spans="1:3" ht="15.75">
      <c r="A85" s="6"/>
      <c r="B85" s="37"/>
      <c r="C85" s="33"/>
    </row>
    <row r="86" spans="1:3" ht="15.75">
      <c r="A86" s="6"/>
      <c r="B86" s="37"/>
      <c r="C86" s="33"/>
    </row>
    <row r="87" spans="1:3" ht="15.75">
      <c r="A87" s="6"/>
      <c r="B87" s="37"/>
      <c r="C87" s="33"/>
    </row>
    <row r="88" spans="1:3" ht="15.75">
      <c r="A88" s="6"/>
      <c r="B88" s="37"/>
      <c r="C88" s="33"/>
    </row>
    <row r="89" spans="1:3" ht="15.75">
      <c r="A89" s="6"/>
      <c r="B89" s="37"/>
      <c r="C89" s="33"/>
    </row>
    <row r="90" spans="1:3" ht="15.75">
      <c r="A90" s="6"/>
      <c r="B90" s="37"/>
      <c r="C90" s="33"/>
    </row>
    <row r="91" spans="1:3" ht="15.75">
      <c r="A91" s="6"/>
      <c r="B91" s="37"/>
      <c r="C91" s="33"/>
    </row>
    <row r="92" spans="1:3" ht="15.75">
      <c r="A92" s="6"/>
      <c r="B92" s="37"/>
      <c r="C92" s="33"/>
    </row>
    <row r="93" spans="1:3" ht="15.75">
      <c r="A93" s="6"/>
      <c r="B93" s="37"/>
      <c r="C93" s="33"/>
    </row>
    <row r="94" spans="1:3" ht="15.75">
      <c r="A94" s="6"/>
      <c r="B94" s="37"/>
      <c r="C94" s="33"/>
    </row>
    <row r="95" spans="1:3" ht="15.75">
      <c r="A95" s="6"/>
      <c r="B95" s="37"/>
      <c r="C95" s="33"/>
    </row>
    <row r="96" spans="1:3" ht="15.75">
      <c r="A96" s="6"/>
      <c r="B96" s="37"/>
      <c r="C96" s="33"/>
    </row>
    <row r="97" spans="1:3" ht="15.75">
      <c r="A97" s="6"/>
      <c r="B97" s="37"/>
      <c r="C97" s="33"/>
    </row>
    <row r="98" spans="1:3" ht="15.75">
      <c r="A98" s="6"/>
      <c r="B98" s="37"/>
      <c r="C98" s="33"/>
    </row>
    <row r="99" spans="1:3" ht="15.75">
      <c r="A99" s="6"/>
      <c r="B99" s="37"/>
      <c r="C99" s="33"/>
    </row>
    <row r="100" spans="1:3" ht="15.75">
      <c r="A100" s="6"/>
      <c r="B100" s="37"/>
      <c r="C100" s="33"/>
    </row>
    <row r="101" spans="1:3" ht="15.75">
      <c r="A101" s="6"/>
      <c r="B101" s="37"/>
      <c r="C101" s="33"/>
    </row>
    <row r="102" spans="1:3" ht="15.75">
      <c r="A102" s="6"/>
      <c r="B102" s="37"/>
      <c r="C102" s="33"/>
    </row>
    <row r="103" spans="1:3" ht="15.75">
      <c r="A103" s="6"/>
      <c r="B103" s="37"/>
      <c r="C103" s="33"/>
    </row>
    <row r="104" spans="1:3" ht="15.75">
      <c r="A104" s="6"/>
      <c r="B104" s="37"/>
      <c r="C104" s="33"/>
    </row>
    <row r="105" spans="1:3" ht="15.75">
      <c r="A105" s="6"/>
      <c r="B105" s="37"/>
      <c r="C105" s="33"/>
    </row>
    <row r="106" spans="1:3" ht="15.75">
      <c r="A106" s="6"/>
      <c r="B106" s="37"/>
      <c r="C106" s="33"/>
    </row>
    <row r="107" spans="1:3" ht="15.75">
      <c r="A107" s="6"/>
      <c r="B107" s="37"/>
      <c r="C107" s="33"/>
    </row>
    <row r="108" spans="1:3" ht="15.75">
      <c r="A108" s="6"/>
      <c r="B108" s="37"/>
      <c r="C108" s="33"/>
    </row>
    <row r="109" spans="1:3" ht="15.75">
      <c r="A109" s="6"/>
      <c r="B109" s="37"/>
      <c r="C109" s="33"/>
    </row>
    <row r="110" spans="1:3" ht="15.75">
      <c r="A110" s="6"/>
      <c r="B110" s="37"/>
      <c r="C110" s="33"/>
    </row>
    <row r="111" spans="1:3" ht="15.75">
      <c r="A111" s="6"/>
      <c r="B111" s="37"/>
      <c r="C111" s="33"/>
    </row>
    <row r="112" spans="1:3" ht="15.75">
      <c r="A112" s="6"/>
      <c r="B112" s="37"/>
      <c r="C112" s="33"/>
    </row>
    <row r="113" spans="1:3" ht="15.75">
      <c r="A113" s="6"/>
      <c r="B113" s="37"/>
      <c r="C113" s="33"/>
    </row>
    <row r="114" spans="1:3" ht="15.75">
      <c r="A114" s="6"/>
      <c r="B114" s="37"/>
      <c r="C114" s="33"/>
    </row>
    <row r="115" spans="1:3" ht="15.75">
      <c r="A115" s="6"/>
      <c r="B115" s="37"/>
      <c r="C115" s="33"/>
    </row>
    <row r="116" spans="1:3" ht="15.75">
      <c r="A116" s="6"/>
      <c r="B116" s="37"/>
      <c r="C116" s="33"/>
    </row>
    <row r="117" spans="1:3" ht="15.75">
      <c r="A117" s="6"/>
      <c r="B117" s="37"/>
      <c r="C117" s="33"/>
    </row>
    <row r="118" spans="1:3" ht="15.75">
      <c r="A118" s="6"/>
      <c r="B118" s="37"/>
      <c r="C118" s="33"/>
    </row>
    <row r="119" spans="1:3" ht="15.75">
      <c r="A119" s="6"/>
      <c r="B119" s="37"/>
      <c r="C119" s="33"/>
    </row>
    <row r="120" spans="1:3" ht="15.75">
      <c r="A120" s="6"/>
      <c r="B120" s="37"/>
      <c r="C120" s="33"/>
    </row>
    <row r="121" spans="1:3" ht="15.75">
      <c r="A121" s="6"/>
      <c r="B121" s="37"/>
      <c r="C121" s="33"/>
    </row>
    <row r="122" spans="1:3" ht="15.75">
      <c r="A122" s="6"/>
      <c r="B122" s="37"/>
      <c r="C122" s="33"/>
    </row>
    <row r="123" spans="1:3" ht="15.75">
      <c r="A123" s="6"/>
      <c r="B123" s="37"/>
      <c r="C123" s="33"/>
    </row>
    <row r="124" spans="1:3" ht="15.75">
      <c r="A124" s="6"/>
      <c r="B124" s="37"/>
      <c r="C124" s="33"/>
    </row>
    <row r="125" spans="1:3" ht="15.75">
      <c r="A125" s="6"/>
      <c r="B125" s="37"/>
      <c r="C125" s="33"/>
    </row>
    <row r="126" spans="1:3" ht="15.75">
      <c r="A126" s="6"/>
      <c r="B126" s="37"/>
      <c r="C126" s="33"/>
    </row>
    <row r="127" spans="1:3" ht="15.75">
      <c r="A127" s="6"/>
      <c r="B127" s="37"/>
      <c r="C127" s="33"/>
    </row>
    <row r="128" spans="1:3" ht="15.75">
      <c r="A128" s="6"/>
      <c r="B128" s="37"/>
      <c r="C128" s="33"/>
    </row>
    <row r="129" spans="1:3" ht="15.75">
      <c r="A129" s="6"/>
      <c r="B129" s="37"/>
      <c r="C129" s="33"/>
    </row>
    <row r="130" spans="1:3" ht="15.75">
      <c r="A130" s="6"/>
      <c r="B130" s="37"/>
      <c r="C130" s="33"/>
    </row>
    <row r="131" spans="1:3" ht="15.75">
      <c r="A131" s="6"/>
      <c r="B131" s="37"/>
      <c r="C131" s="33"/>
    </row>
    <row r="132" spans="1:3" ht="15.75">
      <c r="A132" s="6"/>
      <c r="B132" s="37"/>
      <c r="C132" s="33"/>
    </row>
    <row r="133" spans="1:3" ht="15.75">
      <c r="A133" s="6"/>
      <c r="B133" s="37"/>
      <c r="C133" s="33"/>
    </row>
    <row r="134" spans="1:3" ht="15.75">
      <c r="A134" s="6"/>
      <c r="B134" s="37"/>
      <c r="C134" s="33"/>
    </row>
    <row r="135" spans="1:3" ht="15.75">
      <c r="A135" s="6"/>
      <c r="B135" s="37"/>
      <c r="C135" s="33"/>
    </row>
    <row r="136" spans="1:3" ht="15.75">
      <c r="A136" s="6"/>
      <c r="B136" s="37"/>
      <c r="C136" s="33"/>
    </row>
    <row r="137" spans="1:3" ht="15.75">
      <c r="A137" s="6"/>
      <c r="B137" s="37"/>
      <c r="C137" s="33"/>
    </row>
    <row r="138" spans="1:3" ht="15.75">
      <c r="A138" s="6"/>
      <c r="B138" s="37"/>
      <c r="C138" s="33"/>
    </row>
    <row r="139" spans="1:3" ht="15.75">
      <c r="A139" s="6"/>
      <c r="B139" s="37"/>
      <c r="C139" s="33"/>
    </row>
    <row r="140" spans="1:3" ht="15.75">
      <c r="A140" s="6"/>
      <c r="B140" s="37"/>
      <c r="C140" s="33"/>
    </row>
    <row r="141" spans="1:3" ht="15.75">
      <c r="A141" s="6"/>
      <c r="B141" s="37"/>
      <c r="C141" s="33"/>
    </row>
    <row r="142" spans="1:3" ht="15.75">
      <c r="A142" s="6"/>
      <c r="B142" s="37"/>
      <c r="C142" s="33"/>
    </row>
    <row r="143" spans="1:3" ht="15.75">
      <c r="A143" s="6"/>
      <c r="B143" s="37"/>
      <c r="C143" s="33"/>
    </row>
    <row r="144" spans="1:3" ht="15.75">
      <c r="A144" s="6"/>
      <c r="B144" s="37"/>
      <c r="C144" s="33"/>
    </row>
    <row r="145" spans="1:3" ht="15.75">
      <c r="A145" s="6"/>
      <c r="B145" s="37"/>
      <c r="C145" s="33"/>
    </row>
    <row r="146" spans="1:3" ht="15.75">
      <c r="A146" s="6"/>
      <c r="B146" s="37"/>
      <c r="C146" s="33"/>
    </row>
    <row r="147" spans="1:3" ht="15.75">
      <c r="A147" s="6"/>
      <c r="B147" s="37"/>
      <c r="C147" s="33"/>
    </row>
    <row r="148" spans="1:3" ht="15.75">
      <c r="A148" s="6"/>
      <c r="B148" s="37"/>
      <c r="C148" s="33"/>
    </row>
    <row r="149" spans="1:3" ht="15.75">
      <c r="A149" s="6"/>
      <c r="B149" s="37"/>
      <c r="C149" s="33"/>
    </row>
    <row r="150" spans="1:3" ht="15.75">
      <c r="A150" s="6"/>
      <c r="B150" s="37"/>
      <c r="C150" s="33"/>
    </row>
    <row r="151" spans="1:3" ht="15.75">
      <c r="A151" s="6"/>
      <c r="B151" s="37"/>
      <c r="C151" s="33"/>
    </row>
    <row r="152" spans="1:3" ht="15.75">
      <c r="A152" s="6"/>
      <c r="B152" s="37"/>
      <c r="C152" s="33"/>
    </row>
    <row r="153" spans="1:3" ht="15.75">
      <c r="A153" s="6"/>
      <c r="B153" s="37"/>
      <c r="C153" s="33"/>
    </row>
    <row r="154" spans="1:3" ht="15.75">
      <c r="A154" s="6"/>
      <c r="B154" s="37"/>
      <c r="C154" s="33"/>
    </row>
    <row r="155" spans="1:3" ht="15.75">
      <c r="A155" s="6"/>
      <c r="B155" s="37"/>
      <c r="C155" s="33"/>
    </row>
    <row r="156" spans="1:3" ht="15.75">
      <c r="A156" s="6"/>
      <c r="B156" s="37"/>
      <c r="C156" s="33"/>
    </row>
    <row r="157" spans="1:3" ht="15.75">
      <c r="A157" s="6"/>
      <c r="B157" s="37"/>
      <c r="C157" s="33"/>
    </row>
    <row r="158" spans="1:3" ht="15.75">
      <c r="A158" s="6"/>
      <c r="B158" s="37"/>
      <c r="C158" s="33"/>
    </row>
    <row r="159" spans="1:3" ht="15.75">
      <c r="A159" s="6"/>
      <c r="B159" s="37"/>
      <c r="C159" s="33"/>
    </row>
    <row r="160" spans="1:3" ht="15.75">
      <c r="A160" s="6"/>
      <c r="B160" s="37"/>
      <c r="C160" s="33"/>
    </row>
    <row r="161" spans="1:3" ht="15.75">
      <c r="A161" s="6"/>
      <c r="B161" s="37"/>
      <c r="C161" s="33"/>
    </row>
    <row r="162" spans="1:3" ht="15.75">
      <c r="A162" s="6"/>
      <c r="B162" s="37"/>
      <c r="C162" s="33"/>
    </row>
    <row r="163" spans="1:3" ht="15.75">
      <c r="A163" s="6"/>
      <c r="B163" s="37"/>
      <c r="C163" s="33"/>
    </row>
    <row r="164" spans="1:3" ht="15.75">
      <c r="A164" s="6"/>
      <c r="B164" s="37"/>
      <c r="C164" s="33"/>
    </row>
    <row r="165" spans="1:3" ht="15.75">
      <c r="A165" s="6"/>
      <c r="B165" s="37"/>
      <c r="C165" s="33"/>
    </row>
    <row r="166" spans="1:3" ht="15.75">
      <c r="A166" s="6"/>
      <c r="B166" s="37"/>
      <c r="C166" s="33"/>
    </row>
    <row r="167" spans="1:3" ht="15.75">
      <c r="A167" s="6"/>
      <c r="B167" s="37"/>
      <c r="C167" s="33"/>
    </row>
    <row r="168" spans="1:3" ht="15.75">
      <c r="A168" s="6"/>
      <c r="B168" s="37"/>
      <c r="C168" s="33"/>
    </row>
    <row r="169" spans="1:3" ht="15.75">
      <c r="A169" s="6"/>
      <c r="B169" s="37"/>
      <c r="C169" s="33"/>
    </row>
    <row r="170" spans="1:3" ht="15.75">
      <c r="A170" s="6"/>
      <c r="B170" s="37"/>
      <c r="C170" s="33"/>
    </row>
    <row r="171" spans="1:3" ht="15.75">
      <c r="A171" s="6"/>
      <c r="B171" s="37"/>
      <c r="C171" s="33"/>
    </row>
    <row r="172" spans="1:3" ht="15.75">
      <c r="A172" s="6"/>
      <c r="B172" s="37"/>
      <c r="C172" s="33"/>
    </row>
    <row r="173" spans="1:3" ht="15.75">
      <c r="A173" s="6"/>
      <c r="B173" s="37"/>
      <c r="C173" s="33"/>
    </row>
    <row r="174" spans="1:3" ht="15.75">
      <c r="A174" s="6"/>
      <c r="B174" s="37"/>
      <c r="C174" s="33"/>
    </row>
    <row r="175" spans="1:3" ht="15.75">
      <c r="A175" s="6"/>
      <c r="B175" s="37"/>
      <c r="C175" s="33"/>
    </row>
    <row r="176" spans="1:3" ht="15.75">
      <c r="A176" s="6"/>
      <c r="B176" s="37"/>
      <c r="C176" s="33"/>
    </row>
    <row r="177" spans="1:3" ht="15.75">
      <c r="A177" s="6"/>
      <c r="B177" s="37"/>
      <c r="C177" s="33"/>
    </row>
    <row r="178" spans="1:3" ht="15.75">
      <c r="A178" s="6"/>
      <c r="B178" s="37"/>
      <c r="C178" s="33"/>
    </row>
    <row r="179" spans="1:3" ht="15.75">
      <c r="A179" s="6"/>
      <c r="B179" s="37"/>
      <c r="C179" s="33"/>
    </row>
    <row r="180" spans="1:3" ht="15.75">
      <c r="A180" s="6"/>
      <c r="B180" s="37"/>
      <c r="C180" s="33"/>
    </row>
    <row r="181" spans="1:3" ht="15.75">
      <c r="A181" s="6"/>
      <c r="B181" s="37"/>
      <c r="C181" s="33"/>
    </row>
    <row r="182" spans="1:3" ht="15.75">
      <c r="A182" s="6"/>
      <c r="B182" s="37"/>
      <c r="C182" s="33"/>
    </row>
    <row r="183" spans="1:3" ht="15.75">
      <c r="A183" s="6"/>
      <c r="B183" s="37"/>
      <c r="C183" s="33"/>
    </row>
    <row r="184" spans="1:3" ht="15.75">
      <c r="A184" s="6"/>
      <c r="B184" s="37"/>
      <c r="C184" s="33"/>
    </row>
    <row r="185" spans="1:3" ht="15.75">
      <c r="A185" s="6"/>
      <c r="B185" s="37"/>
      <c r="C185" s="33"/>
    </row>
    <row r="186" spans="1:3" ht="15.75">
      <c r="A186" s="6"/>
      <c r="B186" s="37"/>
      <c r="C186" s="33"/>
    </row>
    <row r="187" spans="1:3" ht="15.75">
      <c r="A187" s="6"/>
      <c r="B187" s="37"/>
      <c r="C187" s="33"/>
    </row>
    <row r="188" spans="1:3" ht="15.75">
      <c r="A188" s="6"/>
      <c r="B188" s="37"/>
      <c r="C188" s="33"/>
    </row>
    <row r="189" spans="1:3" ht="15.75">
      <c r="A189" s="6"/>
      <c r="B189" s="37"/>
      <c r="C189" s="33"/>
    </row>
    <row r="190" spans="1:3" ht="15.75">
      <c r="A190" s="6"/>
      <c r="B190" s="37"/>
      <c r="C190" s="33"/>
    </row>
    <row r="191" spans="1:3" ht="15.75">
      <c r="A191" s="6"/>
      <c r="B191" s="37"/>
      <c r="C191" s="33"/>
    </row>
    <row r="192" spans="1:3" ht="15.75">
      <c r="A192" s="6"/>
      <c r="B192" s="37"/>
      <c r="C192" s="33"/>
    </row>
    <row r="193" spans="1:3" ht="15.75">
      <c r="A193" s="6"/>
      <c r="B193" s="37"/>
      <c r="C193" s="33"/>
    </row>
    <row r="194" spans="1:3" ht="15.75">
      <c r="A194" s="6"/>
      <c r="B194" s="37"/>
      <c r="C194" s="33"/>
    </row>
    <row r="195" spans="1:3" ht="15.75">
      <c r="A195" s="6"/>
      <c r="B195" s="37"/>
      <c r="C195" s="33"/>
    </row>
    <row r="196" spans="1:3" ht="15.75">
      <c r="A196" s="6"/>
      <c r="B196" s="37"/>
      <c r="C196" s="33"/>
    </row>
    <row r="197" spans="1:3" ht="15.75">
      <c r="A197" s="6"/>
      <c r="B197" s="37"/>
      <c r="C197" s="33"/>
    </row>
    <row r="198" spans="1:3" ht="15.75">
      <c r="A198" s="6"/>
      <c r="B198" s="37"/>
      <c r="C198" s="33"/>
    </row>
    <row r="199" spans="1:3" ht="15.75">
      <c r="A199" s="6"/>
      <c r="B199" s="37"/>
      <c r="C199" s="33"/>
    </row>
    <row r="200" spans="1:3" ht="15.75">
      <c r="A200" s="6"/>
      <c r="B200" s="37"/>
      <c r="C200" s="33"/>
    </row>
    <row r="201" spans="1:3" ht="15.75">
      <c r="A201" s="6"/>
      <c r="B201" s="37"/>
      <c r="C201" s="33"/>
    </row>
    <row r="202" spans="1:3" ht="15.75">
      <c r="A202" s="6"/>
      <c r="B202" s="37"/>
      <c r="C202" s="33"/>
    </row>
    <row r="203" spans="1:3" ht="15.75">
      <c r="A203" s="6"/>
      <c r="B203" s="37"/>
      <c r="C203" s="33"/>
    </row>
    <row r="204" spans="1:3" ht="15.75">
      <c r="A204" s="6"/>
      <c r="B204" s="37"/>
      <c r="C204" s="33"/>
    </row>
    <row r="205" spans="1:3" ht="15.75">
      <c r="A205" s="6"/>
      <c r="B205" s="37"/>
      <c r="C205" s="33"/>
    </row>
    <row r="206" spans="1:3" ht="15.75">
      <c r="A206" s="6"/>
      <c r="B206" s="37"/>
      <c r="C206" s="33"/>
    </row>
    <row r="207" spans="1:3" ht="15.75">
      <c r="A207" s="6"/>
      <c r="B207" s="37"/>
      <c r="C207" s="33"/>
    </row>
    <row r="208" spans="1:3" ht="15.75">
      <c r="A208" s="6"/>
      <c r="B208" s="37"/>
      <c r="C208" s="33"/>
    </row>
    <row r="209" spans="1:3" ht="15.75">
      <c r="A209" s="6"/>
      <c r="B209" s="37"/>
      <c r="C209" s="33"/>
    </row>
    <row r="210" spans="1:3" ht="15.75">
      <c r="A210" s="6"/>
      <c r="B210" s="37"/>
      <c r="C210" s="33"/>
    </row>
    <row r="211" spans="1:3" ht="15.75">
      <c r="A211" s="6"/>
      <c r="B211" s="37"/>
      <c r="C211" s="33"/>
    </row>
    <row r="212" spans="1:3" ht="15.75">
      <c r="A212" s="6"/>
      <c r="B212" s="37"/>
      <c r="C212" s="33"/>
    </row>
    <row r="213" spans="1:3" ht="15.75">
      <c r="A213" s="6"/>
      <c r="B213" s="37"/>
      <c r="C213" s="33"/>
    </row>
    <row r="214" spans="1:3" ht="15.75">
      <c r="A214" s="6"/>
      <c r="B214" s="37"/>
      <c r="C214" s="33"/>
    </row>
    <row r="215" spans="1:3" ht="15.75">
      <c r="A215" s="6"/>
      <c r="B215" s="37"/>
      <c r="C215" s="33"/>
    </row>
    <row r="216" spans="1:3" ht="15.75">
      <c r="A216" s="6"/>
      <c r="B216" s="37"/>
      <c r="C216" s="33"/>
    </row>
    <row r="217" spans="1:3" ht="15.75">
      <c r="A217" s="6"/>
      <c r="B217" s="37"/>
      <c r="C217" s="33"/>
    </row>
    <row r="218" spans="1:3" ht="15.75">
      <c r="A218" s="6"/>
      <c r="B218" s="37"/>
      <c r="C218" s="33"/>
    </row>
    <row r="219" spans="1:3" ht="15.75">
      <c r="A219" s="6"/>
      <c r="B219" s="37"/>
      <c r="C219" s="33"/>
    </row>
    <row r="220" spans="1:3" ht="15.75">
      <c r="A220" s="6"/>
      <c r="B220" s="37"/>
      <c r="C220" s="33"/>
    </row>
    <row r="221" spans="1:3" ht="15.75">
      <c r="A221" s="6"/>
      <c r="B221" s="37"/>
      <c r="C221" s="33"/>
    </row>
    <row r="222" spans="1:3" ht="15.75">
      <c r="A222" s="6"/>
      <c r="B222" s="37"/>
      <c r="C222" s="33"/>
    </row>
    <row r="223" spans="1:3" ht="15.75">
      <c r="A223" s="6"/>
      <c r="B223" s="37"/>
      <c r="C223" s="33"/>
    </row>
    <row r="224" spans="1:3" ht="15.75">
      <c r="A224" s="6"/>
      <c r="B224" s="37"/>
      <c r="C224" s="33"/>
    </row>
    <row r="225" spans="1:3" ht="15.75">
      <c r="A225" s="6"/>
      <c r="B225" s="37"/>
      <c r="C225" s="33"/>
    </row>
    <row r="226" spans="1:3" ht="15.75">
      <c r="A226" s="6"/>
      <c r="B226" s="37"/>
      <c r="C226" s="33"/>
    </row>
    <row r="227" spans="1:3" ht="15.75">
      <c r="A227" s="6"/>
      <c r="B227" s="37"/>
      <c r="C227" s="33"/>
    </row>
    <row r="228" spans="1:3" ht="15.75">
      <c r="A228" s="6"/>
      <c r="B228" s="37"/>
      <c r="C228" s="33"/>
    </row>
    <row r="229" spans="1:3" ht="15.75">
      <c r="A229" s="6"/>
      <c r="B229" s="37"/>
      <c r="C229" s="33"/>
    </row>
    <row r="230" spans="1:3" ht="15.75">
      <c r="A230" s="6"/>
      <c r="B230" s="37"/>
      <c r="C230" s="33"/>
    </row>
    <row r="231" spans="1:3" ht="15.75">
      <c r="A231" s="6"/>
      <c r="B231" s="37"/>
      <c r="C231" s="33"/>
    </row>
    <row r="232" spans="1:3" ht="15.75">
      <c r="A232" s="6"/>
      <c r="B232" s="37"/>
      <c r="C232" s="33"/>
    </row>
    <row r="233" spans="1:3" ht="15.75">
      <c r="A233" s="6"/>
      <c r="B233" s="37"/>
      <c r="C233" s="33"/>
    </row>
    <row r="234" spans="1:3" ht="15.75">
      <c r="A234" s="6"/>
      <c r="B234" s="37"/>
      <c r="C234" s="33"/>
    </row>
    <row r="235" spans="1:3" ht="15.75">
      <c r="A235" s="6"/>
      <c r="B235" s="37"/>
      <c r="C235" s="33"/>
    </row>
    <row r="236" spans="1:3" ht="15.75">
      <c r="A236" s="6"/>
      <c r="B236" s="37"/>
      <c r="C236" s="33"/>
    </row>
    <row r="237" spans="1:3" ht="15.75">
      <c r="A237" s="6"/>
      <c r="B237" s="37"/>
      <c r="C237" s="33"/>
    </row>
    <row r="238" spans="1:3" ht="15.75">
      <c r="A238" s="6"/>
      <c r="B238" s="37"/>
      <c r="C238" s="33"/>
    </row>
    <row r="239" spans="1:3" ht="15.75">
      <c r="A239" s="6"/>
      <c r="B239" s="37"/>
      <c r="C239" s="33"/>
    </row>
    <row r="240" spans="1:3" ht="15.75">
      <c r="A240" s="6"/>
      <c r="B240" s="37"/>
      <c r="C240" s="33"/>
    </row>
    <row r="241" spans="1:3" ht="15.75">
      <c r="A241" s="6"/>
      <c r="B241" s="37"/>
      <c r="C241" s="33"/>
    </row>
    <row r="242" spans="1:3" ht="15.75">
      <c r="A242" s="6"/>
      <c r="B242" s="37"/>
      <c r="C242" s="33"/>
    </row>
    <row r="243" spans="1:3" ht="15.75">
      <c r="A243" s="6"/>
      <c r="B243" s="37"/>
      <c r="C243" s="33"/>
    </row>
    <row r="244" spans="1:3" ht="15.75">
      <c r="A244" s="6"/>
      <c r="B244" s="37"/>
      <c r="C244" s="33"/>
    </row>
    <row r="245" spans="1:3" ht="15.75">
      <c r="A245" s="6"/>
      <c r="B245" s="37"/>
      <c r="C245" s="33"/>
    </row>
    <row r="246" spans="1:3" ht="15.75">
      <c r="A246" s="6"/>
      <c r="B246" s="37"/>
      <c r="C246" s="33"/>
    </row>
    <row r="247" spans="1:3" ht="15.75">
      <c r="A247" s="6"/>
      <c r="B247" s="37"/>
      <c r="C247" s="33"/>
    </row>
    <row r="248" spans="1:3" ht="15.75">
      <c r="A248" s="6"/>
      <c r="B248" s="37"/>
      <c r="C248" s="33"/>
    </row>
    <row r="249" spans="1:3" ht="15.75">
      <c r="A249" s="6"/>
      <c r="B249" s="37"/>
      <c r="C249" s="33"/>
    </row>
    <row r="250" spans="1:3" ht="15.75">
      <c r="A250" s="6"/>
      <c r="B250" s="37"/>
      <c r="C250" s="33"/>
    </row>
    <row r="251" spans="1:3" ht="15.75">
      <c r="A251" s="6"/>
      <c r="B251" s="37"/>
      <c r="C251" s="33"/>
    </row>
    <row r="252" spans="1:3" ht="15.75">
      <c r="A252" s="6"/>
      <c r="B252" s="37"/>
      <c r="C252" s="33"/>
    </row>
    <row r="253" spans="1:3" ht="15.75">
      <c r="A253" s="6"/>
      <c r="B253" s="37"/>
      <c r="C253" s="33"/>
    </row>
    <row r="254" spans="1:3" ht="15.75">
      <c r="A254" s="6"/>
      <c r="B254" s="37"/>
      <c r="C254" s="33"/>
    </row>
    <row r="255" spans="1:3" ht="15.75">
      <c r="A255" s="6"/>
      <c r="B255" s="37"/>
      <c r="C255" s="33"/>
    </row>
    <row r="256" spans="1:3" ht="15.75">
      <c r="A256" s="6"/>
      <c r="B256" s="37"/>
      <c r="C256" s="33"/>
    </row>
    <row r="257" spans="1:3" ht="15.75">
      <c r="A257" s="6"/>
      <c r="B257" s="37"/>
      <c r="C257" s="33"/>
    </row>
    <row r="258" spans="1:3" ht="15.75">
      <c r="A258" s="6"/>
      <c r="B258" s="37"/>
      <c r="C258" s="33"/>
    </row>
    <row r="259" spans="1:3" ht="15.75">
      <c r="A259" s="6"/>
      <c r="B259" s="37"/>
      <c r="C259" s="33"/>
    </row>
    <row r="260" spans="1:3" ht="15.75">
      <c r="A260" s="6"/>
      <c r="B260" s="37"/>
      <c r="C260" s="33"/>
    </row>
    <row r="261" spans="1:3" ht="15.75">
      <c r="A261" s="6"/>
      <c r="B261" s="37"/>
      <c r="C261" s="33"/>
    </row>
    <row r="262" spans="1:3" ht="15.75">
      <c r="A262" s="6"/>
      <c r="B262" s="37"/>
      <c r="C262" s="33"/>
    </row>
    <row r="263" spans="1:3" ht="15.75">
      <c r="A263" s="6"/>
      <c r="B263" s="37"/>
      <c r="C263" s="33"/>
    </row>
    <row r="264" spans="1:3" ht="15.75">
      <c r="A264" s="6"/>
      <c r="B264" s="37"/>
      <c r="C264" s="33"/>
    </row>
    <row r="265" spans="1:3" ht="15.75">
      <c r="A265" s="6"/>
      <c r="B265" s="37"/>
      <c r="C265" s="33"/>
    </row>
    <row r="266" spans="1:3" ht="15.75">
      <c r="A266" s="6"/>
      <c r="B266" s="37"/>
      <c r="C266" s="33"/>
    </row>
    <row r="267" spans="1:3" ht="15.75">
      <c r="A267" s="6"/>
      <c r="B267" s="37"/>
      <c r="C267" s="33"/>
    </row>
    <row r="268" spans="1:3" ht="15.75">
      <c r="A268" s="6"/>
      <c r="B268" s="37"/>
      <c r="C268" s="33"/>
    </row>
    <row r="269" spans="1:3" ht="15.75">
      <c r="A269" s="6"/>
      <c r="B269" s="37"/>
      <c r="C269" s="33"/>
    </row>
    <row r="270" spans="1:3" ht="15.75">
      <c r="A270" s="6"/>
      <c r="B270" s="37"/>
      <c r="C270" s="33"/>
    </row>
    <row r="271" spans="1:3" ht="15.75">
      <c r="A271" s="6"/>
      <c r="B271" s="37"/>
      <c r="C271" s="33"/>
    </row>
    <row r="272" spans="1:3" ht="15.75">
      <c r="A272" s="6"/>
      <c r="B272" s="37"/>
      <c r="C272" s="33"/>
    </row>
    <row r="273" spans="1:3" ht="15.75">
      <c r="A273" s="6"/>
      <c r="B273" s="37"/>
      <c r="C273" s="33"/>
    </row>
    <row r="274" spans="1:3" ht="15.75">
      <c r="A274" s="6"/>
      <c r="B274" s="37"/>
      <c r="C274" s="33"/>
    </row>
    <row r="275" spans="1:3" ht="15.75">
      <c r="A275" s="6"/>
      <c r="B275" s="37"/>
      <c r="C275" s="33"/>
    </row>
    <row r="276" spans="1:3" ht="15.75">
      <c r="A276" s="6"/>
      <c r="B276" s="37"/>
      <c r="C276" s="33"/>
    </row>
    <row r="277" spans="1:3" ht="15.75">
      <c r="A277" s="6"/>
      <c r="B277" s="37"/>
      <c r="C277" s="33"/>
    </row>
    <row r="278" spans="1:3" ht="15.75">
      <c r="A278" s="6"/>
      <c r="B278" s="37"/>
      <c r="C278" s="33"/>
    </row>
    <row r="279" spans="1:3" ht="15.75">
      <c r="A279" s="6"/>
      <c r="B279" s="37"/>
      <c r="C279" s="33"/>
    </row>
    <row r="280" spans="1:3" ht="15.75">
      <c r="A280" s="6"/>
      <c r="B280" s="37"/>
      <c r="C280" s="33"/>
    </row>
    <row r="281" spans="1:3" ht="15.75">
      <c r="A281" s="6"/>
      <c r="B281" s="37"/>
      <c r="C281" s="33"/>
    </row>
    <row r="282" spans="1:3" ht="15.75">
      <c r="A282" s="6"/>
      <c r="B282" s="37"/>
      <c r="C282" s="33"/>
    </row>
    <row r="283" spans="1:3" ht="15.75">
      <c r="A283" s="6"/>
      <c r="B283" s="37"/>
      <c r="C283" s="33"/>
    </row>
    <row r="284" spans="1:3" ht="15.75">
      <c r="A284" s="6"/>
      <c r="B284" s="37"/>
      <c r="C284" s="33"/>
    </row>
    <row r="285" spans="1:3" ht="15.75">
      <c r="A285" s="6"/>
      <c r="B285" s="37"/>
      <c r="C285" s="33"/>
    </row>
    <row r="286" spans="1:3" ht="15.75">
      <c r="A286" s="6"/>
      <c r="B286" s="37"/>
      <c r="C286" s="33"/>
    </row>
    <row r="287" spans="1:3" ht="15.75">
      <c r="A287" s="6"/>
      <c r="B287" s="37"/>
      <c r="C287" s="33"/>
    </row>
    <row r="288" spans="1:3" ht="15.75">
      <c r="A288" s="6"/>
      <c r="B288" s="37"/>
      <c r="C288" s="33"/>
    </row>
    <row r="289" spans="1:3" ht="15.75">
      <c r="A289" s="6"/>
      <c r="B289" s="37"/>
      <c r="C289" s="33"/>
    </row>
    <row r="290" spans="1:3" ht="15.75">
      <c r="A290" s="6"/>
      <c r="B290" s="37"/>
      <c r="C290" s="33"/>
    </row>
    <row r="291" spans="1:3" ht="15.75">
      <c r="A291" s="6"/>
      <c r="B291" s="37"/>
      <c r="C291" s="33"/>
    </row>
    <row r="292" spans="1:3" ht="15.75">
      <c r="A292" s="6"/>
      <c r="B292" s="37"/>
      <c r="C292" s="33"/>
    </row>
    <row r="293" spans="1:3" ht="15.75">
      <c r="A293" s="6"/>
      <c r="B293" s="37"/>
      <c r="C293" s="33"/>
    </row>
    <row r="294" spans="1:3" ht="15.75">
      <c r="A294" s="6"/>
      <c r="B294" s="37"/>
      <c r="C294" s="33"/>
    </row>
    <row r="295" spans="1:3" ht="15.75">
      <c r="A295" s="6"/>
      <c r="B295" s="37"/>
      <c r="C295" s="33"/>
    </row>
    <row r="296" spans="1:3" ht="15.75">
      <c r="A296" s="6"/>
      <c r="B296" s="37"/>
      <c r="C296" s="33"/>
    </row>
    <row r="297" spans="1:3" ht="15.75">
      <c r="A297" s="6"/>
      <c r="B297" s="37"/>
      <c r="C297" s="33"/>
    </row>
    <row r="298" spans="1:3" ht="15.75">
      <c r="A298" s="6"/>
      <c r="B298" s="37"/>
      <c r="C298" s="33"/>
    </row>
    <row r="299" spans="1:3" ht="15.75">
      <c r="A299" s="6"/>
      <c r="B299" s="37"/>
      <c r="C299" s="33"/>
    </row>
    <row r="300" spans="1:3" ht="15.75">
      <c r="A300" s="6"/>
      <c r="B300" s="37"/>
      <c r="C300" s="33"/>
    </row>
    <row r="301" spans="1:3" ht="15.75">
      <c r="A301" s="6"/>
      <c r="B301" s="37"/>
      <c r="C301" s="33"/>
    </row>
    <row r="302" spans="1:3" ht="15.75">
      <c r="A302" s="6"/>
      <c r="B302" s="37"/>
      <c r="C302" s="33"/>
    </row>
    <row r="303" spans="1:3" ht="15.75">
      <c r="A303" s="6"/>
      <c r="B303" s="37"/>
      <c r="C303" s="33"/>
    </row>
    <row r="304" spans="1:3" ht="15.75">
      <c r="A304" s="6"/>
      <c r="B304" s="37"/>
      <c r="C304" s="33"/>
    </row>
    <row r="305" spans="1:3" ht="15.75">
      <c r="A305" s="6"/>
      <c r="B305" s="37"/>
      <c r="C305" s="33"/>
    </row>
    <row r="306" spans="1:3" ht="15.75">
      <c r="A306" s="6"/>
      <c r="B306" s="37"/>
      <c r="C306" s="33"/>
    </row>
    <row r="307" spans="1:3" ht="15.75">
      <c r="A307" s="6"/>
      <c r="B307" s="37"/>
      <c r="C307" s="33"/>
    </row>
    <row r="308" spans="1:3" ht="15.75">
      <c r="A308" s="6"/>
      <c r="B308" s="37"/>
      <c r="C308" s="33"/>
    </row>
    <row r="309" spans="1:3" ht="15.75">
      <c r="A309" s="6"/>
      <c r="B309" s="37"/>
      <c r="C309" s="33"/>
    </row>
    <row r="310" spans="1:3" ht="15.75">
      <c r="A310" s="6"/>
      <c r="B310" s="37"/>
      <c r="C310" s="33"/>
    </row>
    <row r="311" spans="1:3" ht="15.75">
      <c r="A311" s="6"/>
      <c r="B311" s="37"/>
      <c r="C311" s="33"/>
    </row>
    <row r="312" spans="1:3" ht="15.75">
      <c r="A312" s="6"/>
      <c r="B312" s="37"/>
      <c r="C312" s="33"/>
    </row>
    <row r="313" spans="1:3" ht="15.75">
      <c r="A313" s="6"/>
      <c r="B313" s="37"/>
      <c r="C313" s="33"/>
    </row>
    <row r="314" spans="1:3" ht="15.75">
      <c r="A314" s="6"/>
      <c r="B314" s="37"/>
      <c r="C314" s="33"/>
    </row>
    <row r="315" spans="1:3" ht="15.75">
      <c r="A315" s="6"/>
      <c r="B315" s="37"/>
      <c r="C315" s="33"/>
    </row>
    <row r="316" spans="1:3" ht="15.75">
      <c r="A316" s="6"/>
      <c r="B316" s="37"/>
      <c r="C316" s="33"/>
    </row>
    <row r="317" spans="1:3" ht="15.75">
      <c r="A317" s="6"/>
      <c r="B317" s="37"/>
      <c r="C317" s="33"/>
    </row>
    <row r="318" spans="1:3" ht="15.75">
      <c r="A318" s="6"/>
      <c r="B318" s="37"/>
      <c r="C318" s="33"/>
    </row>
    <row r="319" spans="1:3" ht="15.75">
      <c r="A319" s="6"/>
      <c r="B319" s="37"/>
      <c r="C319" s="33"/>
    </row>
    <row r="320" spans="1:3" ht="15.75">
      <c r="A320" s="6"/>
      <c r="B320" s="37"/>
      <c r="C320" s="33"/>
    </row>
    <row r="321" spans="1:3" ht="15.75">
      <c r="A321" s="6"/>
      <c r="B321" s="37"/>
      <c r="C321" s="33"/>
    </row>
    <row r="322" spans="1:3" ht="15.75">
      <c r="A322" s="6"/>
      <c r="B322" s="37"/>
      <c r="C322" s="33"/>
    </row>
    <row r="323" spans="1:3" ht="15.75">
      <c r="A323" s="6"/>
      <c r="B323" s="37"/>
      <c r="C323" s="33"/>
    </row>
    <row r="324" spans="1:3" ht="15.75">
      <c r="A324" s="6"/>
      <c r="B324" s="37"/>
      <c r="C324" s="33"/>
    </row>
    <row r="325" spans="1:3" ht="15.75">
      <c r="A325" s="6"/>
      <c r="B325" s="37"/>
      <c r="C325" s="33"/>
    </row>
    <row r="326" spans="1:3" ht="15.75">
      <c r="A326" s="6"/>
      <c r="B326" s="37"/>
      <c r="C326" s="33"/>
    </row>
    <row r="327" spans="1:3" ht="15.75">
      <c r="A327" s="6"/>
      <c r="B327" s="37"/>
      <c r="C327" s="33"/>
    </row>
    <row r="328" spans="1:3" ht="15.75">
      <c r="A328" s="6"/>
      <c r="B328" s="37"/>
      <c r="C328" s="33"/>
    </row>
    <row r="329" spans="1:3" ht="15.75">
      <c r="A329" s="6"/>
      <c r="B329" s="37"/>
      <c r="C329" s="33"/>
    </row>
    <row r="330" spans="1:3" ht="15.75">
      <c r="A330" s="6"/>
      <c r="B330" s="37"/>
      <c r="C330" s="33"/>
    </row>
    <row r="331" spans="1:3" ht="15.75">
      <c r="A331" s="6"/>
      <c r="B331" s="37"/>
      <c r="C331" s="33"/>
    </row>
    <row r="332" spans="1:3" ht="15.75">
      <c r="A332" s="6"/>
      <c r="B332" s="37"/>
      <c r="C332" s="33"/>
    </row>
    <row r="333" spans="1:3" ht="15.75">
      <c r="A333" s="6"/>
      <c r="B333" s="37"/>
      <c r="C333" s="33"/>
    </row>
    <row r="334" spans="1:3" ht="15.75">
      <c r="A334" s="6"/>
      <c r="B334" s="37"/>
      <c r="C334" s="33"/>
    </row>
    <row r="335" spans="1:3" ht="15.75">
      <c r="A335" s="6"/>
      <c r="B335" s="37"/>
      <c r="C335" s="33"/>
    </row>
    <row r="336" spans="1:3" ht="15.75">
      <c r="A336" s="6"/>
      <c r="B336" s="37"/>
      <c r="C336" s="33"/>
    </row>
    <row r="337" spans="1:3" ht="15.75">
      <c r="A337" s="6"/>
      <c r="B337" s="37"/>
      <c r="C337" s="33"/>
    </row>
    <row r="338" spans="1:3" ht="15.75">
      <c r="A338" s="6"/>
      <c r="B338" s="37"/>
      <c r="C338" s="33"/>
    </row>
    <row r="339" spans="1:3" ht="15.75">
      <c r="A339" s="6"/>
      <c r="B339" s="37"/>
      <c r="C339" s="33"/>
    </row>
    <row r="340" spans="1:3" ht="15.75">
      <c r="A340" s="6"/>
      <c r="B340" s="37"/>
      <c r="C340" s="33"/>
    </row>
    <row r="341" spans="1:3" ht="15.75">
      <c r="A341" s="6"/>
      <c r="B341" s="37"/>
      <c r="C341" s="33"/>
    </row>
    <row r="342" spans="1:3" ht="15.75">
      <c r="A342" s="6"/>
      <c r="B342" s="37"/>
      <c r="C342" s="33"/>
    </row>
    <row r="343" spans="1:3" ht="15.75">
      <c r="A343" s="6"/>
      <c r="B343" s="37"/>
      <c r="C343" s="33"/>
    </row>
    <row r="344" spans="1:3" ht="15.75">
      <c r="A344" s="6"/>
      <c r="B344" s="37"/>
      <c r="C344" s="33"/>
    </row>
    <row r="345" spans="1:3" ht="15.75">
      <c r="A345" s="6"/>
      <c r="B345" s="37"/>
      <c r="C345" s="33"/>
    </row>
    <row r="346" spans="1:3" ht="15.75">
      <c r="A346" s="6"/>
      <c r="B346" s="37"/>
      <c r="C346" s="33"/>
    </row>
    <row r="347" spans="1:3" ht="15.75">
      <c r="A347" s="6"/>
      <c r="B347" s="37"/>
      <c r="C347" s="33"/>
    </row>
    <row r="348" spans="1:3" ht="15.75">
      <c r="A348" s="6"/>
      <c r="B348" s="37"/>
      <c r="C348" s="33"/>
    </row>
    <row r="349" spans="1:3" ht="15.75">
      <c r="A349" s="6"/>
      <c r="B349" s="37"/>
      <c r="C349" s="33"/>
    </row>
    <row r="350" spans="1:3" ht="15.75">
      <c r="A350" s="6"/>
      <c r="B350" s="37"/>
      <c r="C350" s="33"/>
    </row>
    <row r="351" spans="1:3" ht="15.75">
      <c r="A351" s="6"/>
      <c r="B351" s="37"/>
      <c r="C351" s="33"/>
    </row>
    <row r="352" spans="1:3" ht="15.75">
      <c r="A352" s="6"/>
      <c r="B352" s="37"/>
      <c r="C352" s="33"/>
    </row>
    <row r="353" spans="1:3" ht="15.75">
      <c r="A353" s="6"/>
      <c r="B353" s="37"/>
      <c r="C353" s="33"/>
    </row>
    <row r="354" spans="1:3" ht="15.75">
      <c r="A354" s="6"/>
      <c r="B354" s="37"/>
      <c r="C354" s="33"/>
    </row>
    <row r="355" spans="1:3" ht="15.75">
      <c r="A355" s="6"/>
      <c r="B355" s="37"/>
      <c r="C355" s="33"/>
    </row>
    <row r="356" spans="1:3" ht="15.75">
      <c r="A356" s="6"/>
      <c r="B356" s="37"/>
      <c r="C356" s="33"/>
    </row>
    <row r="357" spans="1:3" ht="15.75">
      <c r="A357" s="6"/>
      <c r="B357" s="37"/>
      <c r="C357" s="33"/>
    </row>
    <row r="358" spans="1:3" ht="15.75">
      <c r="A358" s="6"/>
      <c r="B358" s="37"/>
      <c r="C358" s="33"/>
    </row>
    <row r="359" spans="1:3" ht="15.75">
      <c r="A359" s="6"/>
      <c r="B359" s="37"/>
      <c r="C359" s="33"/>
    </row>
    <row r="360" spans="1:3" ht="15.75">
      <c r="A360" s="6"/>
      <c r="B360" s="37"/>
      <c r="C360" s="33"/>
    </row>
    <row r="361" spans="1:3" ht="15.75">
      <c r="A361" s="6"/>
      <c r="B361" s="37"/>
      <c r="C361" s="33"/>
    </row>
    <row r="362" spans="1:3" ht="15.75">
      <c r="A362" s="6"/>
      <c r="B362" s="37"/>
      <c r="C362" s="33"/>
    </row>
    <row r="363" spans="1:3" ht="15.75">
      <c r="A363" s="6"/>
      <c r="B363" s="37"/>
      <c r="C363" s="33"/>
    </row>
    <row r="364" spans="1:3" ht="15.75">
      <c r="A364" s="6"/>
      <c r="B364" s="37"/>
      <c r="C364" s="33"/>
    </row>
    <row r="365" spans="1:3" ht="15.75">
      <c r="A365" s="6"/>
      <c r="B365" s="37"/>
      <c r="C365" s="33"/>
    </row>
    <row r="366" spans="1:3" ht="15.75">
      <c r="A366" s="6"/>
      <c r="B366" s="37"/>
      <c r="C366" s="33"/>
    </row>
    <row r="367" spans="1:3" ht="15.75">
      <c r="A367" s="6"/>
      <c r="B367" s="37"/>
      <c r="C367" s="33"/>
    </row>
    <row r="368" spans="1:3" ht="15.75">
      <c r="A368" s="6"/>
      <c r="B368" s="37"/>
      <c r="C368" s="33"/>
    </row>
    <row r="369" spans="1:3" ht="15.75">
      <c r="A369" s="6"/>
      <c r="B369" s="37"/>
      <c r="C369" s="33"/>
    </row>
    <row r="370" spans="1:3" ht="15.75">
      <c r="A370" s="6"/>
      <c r="B370" s="37"/>
      <c r="C370" s="33"/>
    </row>
    <row r="371" spans="1:3" ht="15.75">
      <c r="A371" s="6"/>
      <c r="B371" s="37"/>
      <c r="C371" s="33"/>
    </row>
    <row r="372" spans="1:3" ht="15.75">
      <c r="A372" s="6"/>
      <c r="B372" s="37"/>
      <c r="C372" s="33"/>
    </row>
    <row r="373" spans="1:3" ht="15.75">
      <c r="A373" s="6"/>
      <c r="B373" s="37"/>
      <c r="C373" s="33"/>
    </row>
    <row r="374" spans="1:3" ht="15.75">
      <c r="A374" s="6"/>
      <c r="B374" s="37"/>
      <c r="C374" s="33"/>
    </row>
    <row r="375" spans="1:3" ht="15.75">
      <c r="A375" s="6"/>
      <c r="B375" s="37"/>
      <c r="C375" s="33"/>
    </row>
    <row r="376" spans="1:3" ht="15.75">
      <c r="A376" s="6"/>
      <c r="B376" s="37"/>
      <c r="C376" s="33"/>
    </row>
    <row r="377" spans="1:3" ht="15.75">
      <c r="A377" s="6"/>
      <c r="B377" s="37"/>
      <c r="C377" s="33"/>
    </row>
    <row r="378" spans="1:3" ht="15.75">
      <c r="A378" s="6"/>
      <c r="B378" s="37"/>
      <c r="C378" s="33"/>
    </row>
    <row r="379" spans="1:3" ht="15.75">
      <c r="A379" s="6"/>
      <c r="B379" s="37"/>
      <c r="C379" s="33"/>
    </row>
    <row r="380" spans="1:3" ht="15.75">
      <c r="A380" s="6"/>
      <c r="B380" s="37"/>
      <c r="C380" s="33"/>
    </row>
    <row r="381" spans="1:3" ht="15.75">
      <c r="A381" s="6"/>
      <c r="B381" s="37"/>
      <c r="C381" s="33"/>
    </row>
    <row r="382" spans="1:3" ht="15.75">
      <c r="A382" s="6"/>
      <c r="B382" s="37"/>
      <c r="C382" s="33"/>
    </row>
    <row r="383" spans="1:3" ht="15.75">
      <c r="A383" s="6"/>
      <c r="B383" s="37"/>
      <c r="C383" s="33"/>
    </row>
    <row r="384" spans="1:3" ht="15.75">
      <c r="A384" s="6"/>
      <c r="B384" s="37"/>
      <c r="C384" s="33"/>
    </row>
    <row r="385" spans="1:3" ht="15.75">
      <c r="A385" s="6"/>
      <c r="B385" s="37"/>
      <c r="C385" s="33"/>
    </row>
    <row r="386" spans="1:3" ht="15.75">
      <c r="A386" s="6"/>
      <c r="B386" s="37"/>
      <c r="C386" s="33"/>
    </row>
    <row r="387" spans="1:3" ht="15.75">
      <c r="A387" s="6"/>
      <c r="B387" s="37"/>
      <c r="C387" s="33"/>
    </row>
    <row r="388" spans="1:3" ht="15.75">
      <c r="A388" s="6"/>
      <c r="B388" s="37"/>
      <c r="C388" s="33"/>
    </row>
    <row r="389" spans="1:3" ht="15.75">
      <c r="A389" s="6"/>
      <c r="B389" s="37"/>
      <c r="C389" s="33"/>
    </row>
    <row r="390" spans="1:3" ht="15.75">
      <c r="A390" s="6"/>
      <c r="B390" s="37"/>
      <c r="C390" s="33"/>
    </row>
    <row r="391" spans="1:3" ht="15.75">
      <c r="A391" s="6"/>
      <c r="B391" s="37"/>
      <c r="C391" s="33"/>
    </row>
    <row r="392" spans="1:3" ht="15.75">
      <c r="A392" s="6"/>
      <c r="B392" s="37"/>
      <c r="C392" s="33"/>
    </row>
    <row r="393" spans="1:3" ht="15.75">
      <c r="A393" s="6"/>
      <c r="B393" s="37"/>
      <c r="C393" s="33"/>
    </row>
    <row r="394" spans="1:3" ht="15.75">
      <c r="A394" s="6"/>
      <c r="B394" s="37"/>
      <c r="C394" s="33"/>
    </row>
    <row r="395" spans="1:3" ht="15.75">
      <c r="A395" s="6"/>
      <c r="B395" s="37"/>
      <c r="C395" s="33"/>
    </row>
    <row r="396" spans="1:3" ht="15.75">
      <c r="A396" s="6"/>
      <c r="B396" s="37"/>
      <c r="C396" s="33"/>
    </row>
    <row r="397" spans="1:3" ht="15.75">
      <c r="A397" s="6"/>
      <c r="B397" s="37"/>
      <c r="C397" s="33"/>
    </row>
    <row r="398" spans="1:3" ht="15.75">
      <c r="A398" s="6"/>
      <c r="B398" s="37"/>
      <c r="C398" s="33"/>
    </row>
    <row r="399" spans="1:3" ht="15.75">
      <c r="A399" s="6"/>
      <c r="B399" s="37"/>
      <c r="C399" s="33"/>
    </row>
    <row r="400" spans="1:3" ht="15.75">
      <c r="A400" s="6"/>
      <c r="B400" s="37"/>
      <c r="C400" s="33"/>
    </row>
    <row r="401" spans="1:3" ht="15.75">
      <c r="A401" s="6"/>
      <c r="B401" s="37"/>
      <c r="C401" s="33"/>
    </row>
    <row r="402" spans="1:3" ht="15.75">
      <c r="A402" s="6"/>
      <c r="B402" s="37"/>
      <c r="C402" s="33"/>
    </row>
    <row r="403" spans="1:3" ht="15.75">
      <c r="A403" s="6"/>
      <c r="B403" s="37"/>
      <c r="C403" s="33"/>
    </row>
    <row r="404" spans="1:3" ht="15.75">
      <c r="A404" s="6"/>
      <c r="B404" s="37"/>
      <c r="C404" s="33"/>
    </row>
    <row r="405" spans="1:3" ht="15.75">
      <c r="A405" s="6"/>
      <c r="B405" s="37"/>
      <c r="C405" s="33"/>
    </row>
    <row r="406" spans="1:3" ht="15.75">
      <c r="A406" s="6"/>
      <c r="B406" s="37"/>
      <c r="C406" s="33"/>
    </row>
    <row r="407" spans="1:3" ht="15.75">
      <c r="A407" s="6"/>
      <c r="B407" s="37"/>
      <c r="C407" s="33"/>
    </row>
    <row r="408" spans="1:3" ht="15.75">
      <c r="A408" s="6"/>
      <c r="B408" s="37"/>
      <c r="C408" s="33"/>
    </row>
    <row r="409" spans="1:3" ht="15.75">
      <c r="A409" s="6"/>
      <c r="B409" s="37"/>
      <c r="C409" s="33"/>
    </row>
    <row r="410" spans="1:3" ht="15.75">
      <c r="A410" s="6"/>
      <c r="B410" s="37"/>
      <c r="C410" s="33"/>
    </row>
    <row r="411" spans="1:3" ht="15.75">
      <c r="A411" s="6"/>
      <c r="B411" s="37"/>
      <c r="C411" s="33"/>
    </row>
    <row r="412" spans="1:3" ht="15.75">
      <c r="A412" s="6"/>
      <c r="B412" s="37"/>
      <c r="C412" s="33"/>
    </row>
    <row r="413" spans="1:3" ht="15.75">
      <c r="A413" s="6"/>
      <c r="B413" s="37"/>
      <c r="C413" s="33"/>
    </row>
    <row r="414" spans="1:3" ht="15.75">
      <c r="A414" s="6"/>
      <c r="B414" s="37"/>
      <c r="C414" s="33"/>
    </row>
    <row r="415" spans="1:3" ht="15.75">
      <c r="A415" s="6"/>
      <c r="B415" s="37"/>
      <c r="C415" s="33"/>
    </row>
    <row r="416" spans="1:3" ht="15.75">
      <c r="A416" s="6"/>
      <c r="B416" s="37"/>
      <c r="C416" s="33"/>
    </row>
    <row r="417" spans="1:3" ht="15.75">
      <c r="A417" s="6"/>
      <c r="B417" s="37"/>
      <c r="C417" s="33"/>
    </row>
    <row r="418" spans="1:3" ht="15.75">
      <c r="A418" s="6"/>
      <c r="B418" s="37"/>
      <c r="C418" s="33"/>
    </row>
    <row r="419" spans="1:3" ht="15.75">
      <c r="A419" s="6"/>
      <c r="B419" s="37"/>
      <c r="C419" s="33"/>
    </row>
    <row r="420" spans="1:3" ht="15.75">
      <c r="A420" s="6"/>
      <c r="B420" s="37"/>
      <c r="C420" s="33"/>
    </row>
    <row r="421" spans="1:3" ht="15.75">
      <c r="A421" s="6"/>
      <c r="B421" s="37"/>
      <c r="C421" s="33"/>
    </row>
    <row r="422" spans="1:3" ht="15.75">
      <c r="A422" s="6"/>
      <c r="B422" s="37"/>
      <c r="C422" s="33"/>
    </row>
    <row r="423" spans="1:3" ht="15.75">
      <c r="A423" s="6"/>
      <c r="B423" s="37"/>
      <c r="C423" s="33"/>
    </row>
    <row r="424" spans="1:3" ht="15.75">
      <c r="A424" s="6"/>
      <c r="B424" s="37"/>
      <c r="C424" s="33"/>
    </row>
    <row r="425" spans="1:3" ht="15.75">
      <c r="A425" s="6"/>
      <c r="B425" s="37"/>
      <c r="C425" s="33"/>
    </row>
    <row r="426" spans="1:3" ht="15.75">
      <c r="A426" s="6"/>
      <c r="B426" s="37"/>
      <c r="C426" s="33"/>
    </row>
    <row r="427" spans="1:3" ht="15.75">
      <c r="A427" s="6"/>
      <c r="B427" s="37"/>
      <c r="C427" s="33"/>
    </row>
    <row r="428" spans="1:3" ht="15.75">
      <c r="A428" s="6"/>
      <c r="B428" s="37"/>
      <c r="C428" s="33"/>
    </row>
    <row r="429" spans="1:3" ht="15.75">
      <c r="A429" s="6"/>
      <c r="B429" s="37"/>
      <c r="C429" s="33"/>
    </row>
    <row r="430" spans="1:3" ht="15.75">
      <c r="A430" s="6"/>
      <c r="B430" s="37"/>
      <c r="C430" s="33"/>
    </row>
    <row r="431" spans="1:3" ht="15.75">
      <c r="A431" s="6"/>
      <c r="B431" s="37"/>
      <c r="C431" s="33"/>
    </row>
    <row r="432" spans="1:3" ht="15.75">
      <c r="A432" s="6"/>
      <c r="B432" s="37"/>
      <c r="C432" s="33"/>
    </row>
    <row r="433" spans="1:3" ht="15.75">
      <c r="A433" s="6"/>
      <c r="B433" s="37"/>
      <c r="C433" s="33"/>
    </row>
    <row r="434" spans="1:3" ht="15.75">
      <c r="A434" s="6"/>
      <c r="B434" s="37"/>
      <c r="C434" s="33"/>
    </row>
    <row r="435" spans="1:3" ht="15.75">
      <c r="A435" s="6"/>
      <c r="B435" s="37"/>
      <c r="C435" s="33"/>
    </row>
    <row r="436" spans="1:3" ht="15.75">
      <c r="A436" s="6"/>
      <c r="B436" s="37"/>
      <c r="C436" s="33"/>
    </row>
    <row r="437" spans="1:3" ht="15.75">
      <c r="A437" s="6"/>
      <c r="B437" s="37"/>
      <c r="C437" s="33"/>
    </row>
    <row r="438" spans="1:3" ht="15.75">
      <c r="A438" s="6"/>
      <c r="B438" s="37"/>
      <c r="C438" s="33"/>
    </row>
    <row r="439" spans="1:3" ht="15.75">
      <c r="A439" s="6"/>
      <c r="B439" s="37"/>
      <c r="C439" s="33"/>
    </row>
    <row r="440" spans="1:3" ht="15.75">
      <c r="A440" s="6"/>
      <c r="B440" s="37"/>
      <c r="C440" s="33"/>
    </row>
    <row r="441" spans="1:3" ht="15.75">
      <c r="A441" s="6"/>
      <c r="B441" s="37"/>
      <c r="C441" s="33"/>
    </row>
    <row r="442" spans="1:3" ht="15.75">
      <c r="A442" s="6"/>
      <c r="B442" s="37"/>
      <c r="C442" s="33"/>
    </row>
    <row r="443" spans="1:3" ht="15.75">
      <c r="A443" s="6"/>
      <c r="B443" s="37"/>
      <c r="C443" s="33"/>
    </row>
    <row r="444" spans="1:3" ht="15.75">
      <c r="A444" s="6"/>
      <c r="B444" s="37"/>
      <c r="C444" s="33"/>
    </row>
    <row r="445" spans="1:3" ht="15.75">
      <c r="A445" s="6"/>
      <c r="B445" s="37"/>
      <c r="C445" s="33"/>
    </row>
    <row r="446" spans="1:3" ht="15.75">
      <c r="A446" s="6"/>
      <c r="B446" s="37"/>
      <c r="C446" s="33"/>
    </row>
    <row r="447" spans="1:3" ht="15.75">
      <c r="A447" s="6"/>
      <c r="B447" s="37"/>
      <c r="C447" s="33"/>
    </row>
    <row r="448" spans="1:3" ht="15.75">
      <c r="A448" s="6"/>
      <c r="B448" s="37"/>
      <c r="C448" s="33"/>
    </row>
    <row r="449" spans="1:3" ht="15.75">
      <c r="A449" s="6"/>
      <c r="B449" s="37"/>
      <c r="C449" s="33"/>
    </row>
    <row r="450" spans="1:3" ht="15.75">
      <c r="A450" s="6"/>
      <c r="B450" s="37"/>
      <c r="C450" s="33"/>
    </row>
    <row r="451" spans="1:3" ht="15.75">
      <c r="A451" s="6"/>
      <c r="B451" s="37"/>
      <c r="C451" s="33"/>
    </row>
    <row r="452" spans="1:3" ht="15.75">
      <c r="A452" s="6"/>
      <c r="B452" s="37"/>
      <c r="C452" s="33"/>
    </row>
    <row r="453" spans="1:3" ht="15.75">
      <c r="A453" s="6"/>
      <c r="B453" s="37"/>
      <c r="C453" s="33"/>
    </row>
    <row r="454" spans="1:3" ht="15.75">
      <c r="A454" s="6"/>
      <c r="B454" s="37"/>
      <c r="C454" s="33"/>
    </row>
    <row r="455" spans="1:3" ht="15.75">
      <c r="A455" s="6"/>
      <c r="B455" s="37"/>
      <c r="C455" s="33"/>
    </row>
    <row r="456" spans="1:3" ht="15.75">
      <c r="A456" s="6"/>
      <c r="B456" s="37"/>
      <c r="C456" s="33"/>
    </row>
    <row r="457" spans="1:3" ht="15.75">
      <c r="A457" s="6"/>
      <c r="B457" s="37"/>
      <c r="C457" s="33"/>
    </row>
    <row r="458" spans="1:3" ht="15.75">
      <c r="A458" s="6"/>
      <c r="B458" s="37"/>
      <c r="C458" s="33"/>
    </row>
    <row r="459" spans="1:3" ht="15.75">
      <c r="A459" s="6"/>
      <c r="B459" s="37"/>
      <c r="C459" s="33"/>
    </row>
    <row r="460" spans="1:3" ht="15.75">
      <c r="A460" s="6"/>
      <c r="B460" s="37"/>
      <c r="C460" s="33"/>
    </row>
    <row r="461" spans="1:3" ht="15.75">
      <c r="A461" s="6"/>
      <c r="B461" s="37"/>
      <c r="C461" s="33"/>
    </row>
    <row r="462" spans="1:3" ht="15.75">
      <c r="A462" s="6"/>
      <c r="B462" s="37"/>
      <c r="C462" s="33"/>
    </row>
    <row r="463" spans="1:3" ht="15.75">
      <c r="A463" s="6"/>
      <c r="B463" s="37"/>
      <c r="C463" s="33"/>
    </row>
    <row r="464" spans="1:3" ht="15.75">
      <c r="A464" s="6"/>
      <c r="B464" s="37"/>
      <c r="C464" s="33"/>
    </row>
    <row r="465" spans="1:3" ht="15.75">
      <c r="A465" s="6"/>
      <c r="B465" s="37"/>
      <c r="C465" s="33"/>
    </row>
    <row r="466" spans="1:3" ht="15.75">
      <c r="A466" s="6"/>
      <c r="B466" s="37"/>
      <c r="C466" s="33"/>
    </row>
    <row r="467" spans="1:3" ht="15.75">
      <c r="A467" s="6"/>
      <c r="B467" s="37"/>
      <c r="C467" s="33"/>
    </row>
    <row r="468" spans="1:3" ht="15.75">
      <c r="A468" s="6"/>
      <c r="B468" s="37"/>
      <c r="C468" s="33"/>
    </row>
    <row r="469" spans="1:3" ht="15.75">
      <c r="A469" s="6"/>
      <c r="B469" s="37"/>
      <c r="C469" s="33"/>
    </row>
    <row r="470" spans="1:3" ht="15.75">
      <c r="A470" s="6"/>
      <c r="B470" s="37"/>
      <c r="C470" s="33"/>
    </row>
    <row r="471" spans="1:3" ht="15.75">
      <c r="A471" s="6"/>
      <c r="B471" s="37"/>
      <c r="C471" s="33"/>
    </row>
    <row r="472" spans="1:3" ht="15.75">
      <c r="A472" s="6"/>
      <c r="B472" s="37"/>
      <c r="C472" s="33"/>
    </row>
    <row r="473" spans="1:3" ht="15.75">
      <c r="A473" s="6"/>
      <c r="B473" s="37"/>
      <c r="C473" s="33"/>
    </row>
    <row r="474" spans="1:3" ht="15.75">
      <c r="A474" s="6"/>
      <c r="B474" s="37"/>
      <c r="C474" s="33"/>
    </row>
    <row r="475" spans="1:3" ht="15.75">
      <c r="A475" s="6"/>
      <c r="B475" s="37"/>
      <c r="C475" s="33"/>
    </row>
    <row r="476" spans="1:3" ht="15.75">
      <c r="A476" s="6"/>
      <c r="B476" s="37"/>
      <c r="C476" s="33"/>
    </row>
    <row r="477" spans="1:3" ht="15.75">
      <c r="A477" s="6"/>
      <c r="B477" s="37"/>
      <c r="C477" s="33"/>
    </row>
    <row r="478" spans="1:3" ht="15.75">
      <c r="A478" s="6"/>
      <c r="B478" s="37"/>
      <c r="C478" s="33"/>
    </row>
    <row r="479" spans="1:3" ht="15.75">
      <c r="A479" s="6"/>
      <c r="B479" s="37"/>
      <c r="C479" s="33"/>
    </row>
    <row r="480" spans="1:3" ht="15.75">
      <c r="A480" s="6"/>
      <c r="B480" s="37"/>
      <c r="C480" s="33"/>
    </row>
    <row r="481" spans="1:3" ht="15.75">
      <c r="A481" s="6"/>
      <c r="B481" s="37"/>
      <c r="C481" s="33"/>
    </row>
    <row r="482" spans="1:3" ht="15.75">
      <c r="A482" s="6"/>
      <c r="B482" s="37"/>
      <c r="C482" s="33"/>
    </row>
    <row r="483" spans="1:3" ht="15.75">
      <c r="A483" s="6"/>
      <c r="B483" s="37"/>
      <c r="C483" s="33"/>
    </row>
    <row r="484" spans="1:3" ht="15.75">
      <c r="A484" s="6"/>
      <c r="B484" s="37"/>
      <c r="C484" s="33"/>
    </row>
    <row r="485" spans="1:3" ht="15.75">
      <c r="A485" s="6"/>
      <c r="B485" s="37"/>
      <c r="C485" s="33"/>
    </row>
    <row r="486" spans="1:3" ht="15.75">
      <c r="A486" s="6"/>
      <c r="B486" s="37"/>
      <c r="C486" s="33"/>
    </row>
    <row r="487" spans="1:3" ht="15.75">
      <c r="A487" s="6"/>
      <c r="B487" s="37"/>
      <c r="C487" s="33"/>
    </row>
    <row r="488" spans="1:3" ht="15.75">
      <c r="A488" s="6"/>
      <c r="B488" s="37"/>
      <c r="C488" s="33"/>
    </row>
    <row r="489" spans="1:3" ht="15.75">
      <c r="A489" s="6"/>
      <c r="B489" s="37"/>
      <c r="C489" s="33"/>
    </row>
    <row r="490" spans="1:3" ht="15.75">
      <c r="A490" s="6"/>
      <c r="B490" s="37"/>
      <c r="C490" s="33"/>
    </row>
    <row r="491" spans="1:3" ht="15.75">
      <c r="A491" s="6"/>
      <c r="B491" s="37"/>
      <c r="C491" s="33"/>
    </row>
    <row r="492" spans="1:3" ht="15.75">
      <c r="A492" s="6"/>
      <c r="B492" s="37"/>
      <c r="C492" s="33"/>
    </row>
    <row r="493" spans="1:3" ht="15.75">
      <c r="A493" s="6"/>
      <c r="B493" s="37"/>
      <c r="C493" s="33"/>
    </row>
    <row r="494" spans="1:3" ht="15.75">
      <c r="A494" s="6"/>
      <c r="B494" s="37"/>
      <c r="C494" s="33"/>
    </row>
    <row r="495" spans="1:3" ht="15.75">
      <c r="A495" s="6"/>
      <c r="B495" s="37"/>
      <c r="C495" s="33"/>
    </row>
    <row r="496" spans="1:3" ht="15.75">
      <c r="A496" s="6"/>
      <c r="B496" s="37"/>
      <c r="C496" s="33"/>
    </row>
    <row r="497" spans="1:3" ht="15.75">
      <c r="A497" s="6"/>
      <c r="B497" s="37"/>
      <c r="C497" s="33"/>
    </row>
    <row r="498" spans="1:3" ht="15.75">
      <c r="A498" s="6"/>
      <c r="B498" s="37"/>
      <c r="C498" s="33"/>
    </row>
    <row r="499" spans="1:3" ht="15.75">
      <c r="A499" s="6"/>
      <c r="B499" s="37"/>
      <c r="C499" s="33"/>
    </row>
    <row r="500" spans="1:3" ht="15.75">
      <c r="A500" s="6"/>
      <c r="B500" s="37"/>
      <c r="C500" s="33"/>
    </row>
    <row r="501" spans="1:3" ht="15.75">
      <c r="A501" s="6"/>
      <c r="B501" s="37"/>
      <c r="C501" s="33"/>
    </row>
    <row r="502" spans="1:3" ht="15.75">
      <c r="A502" s="6"/>
      <c r="B502" s="37"/>
      <c r="C502" s="33"/>
    </row>
    <row r="503" spans="1:3" ht="15.75">
      <c r="A503" s="6"/>
      <c r="B503" s="37"/>
      <c r="C503" s="33"/>
    </row>
    <row r="504" spans="1:3" ht="15.75">
      <c r="A504" s="6"/>
      <c r="B504" s="37"/>
      <c r="C504" s="33"/>
    </row>
    <row r="505" spans="1:3" ht="15.75">
      <c r="A505" s="6"/>
      <c r="B505" s="37"/>
      <c r="C505" s="33"/>
    </row>
    <row r="506" spans="1:3" ht="15.75">
      <c r="A506" s="6"/>
      <c r="B506" s="37"/>
      <c r="C506" s="33"/>
    </row>
    <row r="507" spans="1:3" ht="15.75">
      <c r="A507" s="6"/>
      <c r="B507" s="37"/>
      <c r="C507" s="33"/>
    </row>
    <row r="508" spans="1:3" ht="15.75">
      <c r="A508" s="6"/>
      <c r="B508" s="37"/>
      <c r="C508" s="33"/>
    </row>
    <row r="509" spans="1:3" ht="15.75">
      <c r="A509" s="6"/>
      <c r="B509" s="37"/>
      <c r="C509" s="33"/>
    </row>
    <row r="510" spans="1:3" ht="15.75">
      <c r="A510" s="6"/>
      <c r="B510" s="37"/>
      <c r="C510" s="33"/>
    </row>
    <row r="511" spans="1:3" ht="15.75">
      <c r="A511" s="6"/>
      <c r="B511" s="37"/>
      <c r="C511" s="33"/>
    </row>
    <row r="512" spans="1:3" ht="15.75">
      <c r="A512" s="6"/>
      <c r="B512" s="37"/>
      <c r="C512" s="33"/>
    </row>
    <row r="513" spans="1:3" ht="15.75">
      <c r="A513" s="6"/>
      <c r="B513" s="37"/>
      <c r="C513" s="33"/>
    </row>
    <row r="514" spans="1:3" ht="15.75">
      <c r="A514" s="6"/>
      <c r="B514" s="37"/>
      <c r="C514" s="33"/>
    </row>
    <row r="515" spans="1:3" ht="15.75">
      <c r="A515" s="6"/>
      <c r="B515" s="37"/>
      <c r="C515" s="33"/>
    </row>
    <row r="516" spans="1:3" ht="15.75">
      <c r="A516" s="6"/>
      <c r="B516" s="37"/>
      <c r="C516" s="33"/>
    </row>
    <row r="517" spans="1:3" ht="15.75">
      <c r="A517" s="6"/>
      <c r="B517" s="37"/>
      <c r="C517" s="33"/>
    </row>
    <row r="518" spans="1:3" ht="15.75">
      <c r="A518" s="6"/>
      <c r="B518" s="37"/>
      <c r="C518" s="33"/>
    </row>
    <row r="519" spans="1:3" ht="15.75">
      <c r="A519" s="6"/>
      <c r="B519" s="37"/>
      <c r="C519" s="33"/>
    </row>
    <row r="520" spans="1:3" ht="15.75">
      <c r="A520" s="6"/>
      <c r="B520" s="37"/>
      <c r="C520" s="33"/>
    </row>
    <row r="521" spans="1:3" ht="15.75">
      <c r="A521" s="6"/>
      <c r="B521" s="37"/>
      <c r="C521" s="33"/>
    </row>
    <row r="522" spans="1:3" ht="15.75">
      <c r="A522" s="6"/>
      <c r="B522" s="37"/>
      <c r="C522" s="33"/>
    </row>
    <row r="523" spans="1:3" ht="15.75">
      <c r="A523" s="6"/>
      <c r="B523" s="37"/>
      <c r="C523" s="33"/>
    </row>
    <row r="524" spans="1:3" ht="15.75">
      <c r="A524" s="6"/>
      <c r="B524" s="37"/>
      <c r="C524" s="33"/>
    </row>
    <row r="525" spans="1:3" ht="15.75">
      <c r="A525" s="6"/>
      <c r="B525" s="37"/>
      <c r="C525" s="33"/>
    </row>
    <row r="526" spans="1:3" ht="15.75">
      <c r="A526" s="6"/>
      <c r="B526" s="37"/>
      <c r="C526" s="33"/>
    </row>
    <row r="527" spans="1:3" ht="15.75">
      <c r="A527" s="6"/>
      <c r="B527" s="37"/>
      <c r="C527" s="33"/>
    </row>
    <row r="528" spans="1:3" ht="15.75">
      <c r="A528" s="6"/>
      <c r="B528" s="37"/>
      <c r="C528" s="33"/>
    </row>
    <row r="529" spans="1:3" ht="15.75">
      <c r="A529" s="6"/>
      <c r="B529" s="37"/>
      <c r="C529" s="33"/>
    </row>
    <row r="530" spans="1:3" ht="15.75">
      <c r="A530" s="6"/>
      <c r="B530" s="37"/>
      <c r="C530" s="33"/>
    </row>
    <row r="531" spans="1:3" ht="15.75">
      <c r="A531" s="6"/>
      <c r="B531" s="37"/>
      <c r="C531" s="33"/>
    </row>
    <row r="532" spans="1:3" ht="15.75">
      <c r="A532" s="6"/>
      <c r="B532" s="37"/>
      <c r="C532" s="33"/>
    </row>
    <row r="533" spans="1:3" ht="15.75">
      <c r="A533" s="6"/>
      <c r="B533" s="37"/>
      <c r="C533" s="33"/>
    </row>
    <row r="534" spans="1:3" ht="15.75">
      <c r="A534" s="6"/>
      <c r="B534" s="37"/>
      <c r="C534" s="33"/>
    </row>
    <row r="535" spans="1:3" ht="15.75">
      <c r="A535" s="6"/>
      <c r="B535" s="37"/>
      <c r="C535" s="33"/>
    </row>
    <row r="536" spans="1:3" ht="15.75">
      <c r="A536" s="6"/>
      <c r="B536" s="37"/>
      <c r="C536" s="33"/>
    </row>
    <row r="537" spans="1:3" ht="15.75">
      <c r="A537" s="6"/>
      <c r="B537" s="37"/>
      <c r="C537" s="33"/>
    </row>
    <row r="538" spans="1:3" ht="15.75">
      <c r="A538" s="6"/>
      <c r="B538" s="37"/>
      <c r="C538" s="33"/>
    </row>
    <row r="539" spans="1:3" ht="15.75">
      <c r="A539" s="6"/>
      <c r="B539" s="37"/>
      <c r="C539" s="33"/>
    </row>
    <row r="540" spans="1:3" ht="15.75">
      <c r="A540" s="6"/>
      <c r="B540" s="37"/>
      <c r="C540" s="33"/>
    </row>
    <row r="541" spans="1:3" ht="15.75">
      <c r="A541" s="6"/>
      <c r="B541" s="37"/>
      <c r="C541" s="33"/>
    </row>
    <row r="542" spans="1:3" ht="15.75">
      <c r="A542" s="6"/>
      <c r="B542" s="37"/>
      <c r="C542" s="33"/>
    </row>
    <row r="543" spans="1:3" ht="15.75">
      <c r="A543" s="6"/>
      <c r="B543" s="37"/>
      <c r="C543" s="33"/>
    </row>
    <row r="544" spans="1:3" ht="15.75">
      <c r="A544" s="6"/>
      <c r="B544" s="37"/>
      <c r="C544" s="33"/>
    </row>
    <row r="545" spans="1:3" ht="15.75">
      <c r="A545" s="6"/>
      <c r="B545" s="37"/>
      <c r="C545" s="33"/>
    </row>
    <row r="546" spans="1:3" ht="15.75">
      <c r="A546" s="6"/>
      <c r="B546" s="37"/>
      <c r="C546" s="33"/>
    </row>
    <row r="547" spans="1:3" ht="15.75">
      <c r="A547" s="6"/>
      <c r="B547" s="37"/>
      <c r="C547" s="33"/>
    </row>
    <row r="548" spans="1:3" ht="15.75">
      <c r="A548" s="6"/>
      <c r="B548" s="37"/>
      <c r="C548" s="33"/>
    </row>
    <row r="549" spans="1:3" ht="15.75">
      <c r="A549" s="6"/>
      <c r="B549" s="37"/>
      <c r="C549" s="33"/>
    </row>
    <row r="550" spans="1:3" ht="15.75">
      <c r="A550" s="6"/>
      <c r="B550" s="37"/>
      <c r="C550" s="33"/>
    </row>
    <row r="551" spans="1:3" ht="15.75">
      <c r="A551" s="6"/>
      <c r="B551" s="37"/>
      <c r="C551" s="33"/>
    </row>
    <row r="552" spans="1:3" ht="15.75">
      <c r="A552" s="6"/>
      <c r="B552" s="37"/>
      <c r="C552" s="33"/>
    </row>
    <row r="553" spans="1:3" ht="15.75">
      <c r="A553" s="6"/>
      <c r="B553" s="37"/>
      <c r="C553" s="33"/>
    </row>
    <row r="554" spans="1:3" ht="15.75">
      <c r="A554" s="6"/>
      <c r="B554" s="37"/>
      <c r="C554" s="33"/>
    </row>
    <row r="555" spans="1:3" ht="15.75">
      <c r="A555" s="6"/>
      <c r="B555" s="37"/>
      <c r="C555" s="33"/>
    </row>
    <row r="556" spans="1:3" ht="15.75">
      <c r="A556" s="6"/>
      <c r="B556" s="37"/>
      <c r="C556" s="33"/>
    </row>
    <row r="557" spans="1:3" ht="15.75">
      <c r="A557" s="6"/>
      <c r="B557" s="37"/>
      <c r="C557" s="33"/>
    </row>
    <row r="558" spans="1:3" ht="15.75">
      <c r="A558" s="6"/>
      <c r="B558" s="37"/>
      <c r="C558" s="33"/>
    </row>
    <row r="559" spans="1:3" ht="15.75">
      <c r="A559" s="6"/>
      <c r="B559" s="37"/>
      <c r="C559" s="33"/>
    </row>
    <row r="560" spans="1:3" ht="15.75">
      <c r="A560" s="6"/>
      <c r="B560" s="37"/>
      <c r="C560" s="33"/>
    </row>
    <row r="561" spans="1:3" ht="15.75">
      <c r="A561" s="6"/>
      <c r="B561" s="37"/>
      <c r="C561" s="33"/>
    </row>
    <row r="562" spans="1:3" ht="15.75">
      <c r="A562" s="6"/>
      <c r="B562" s="37"/>
      <c r="C562" s="33"/>
    </row>
    <row r="563" spans="1:3" ht="15.75">
      <c r="A563" s="6"/>
      <c r="B563" s="37"/>
      <c r="C563" s="33"/>
    </row>
    <row r="564" spans="1:3" ht="15.75">
      <c r="A564" s="6"/>
      <c r="B564" s="37"/>
      <c r="C564" s="33"/>
    </row>
    <row r="565" spans="1:3" ht="15.75">
      <c r="A565" s="6"/>
      <c r="B565" s="37"/>
      <c r="C565" s="33"/>
    </row>
    <row r="566" spans="1:3" ht="15.75">
      <c r="A566" s="6"/>
      <c r="B566" s="37"/>
      <c r="C566" s="33"/>
    </row>
    <row r="567" spans="1:3" ht="15.75">
      <c r="A567" s="6"/>
      <c r="B567" s="37"/>
      <c r="C567" s="33"/>
    </row>
    <row r="568" spans="1:3" ht="15.75">
      <c r="A568" s="6"/>
      <c r="B568" s="37"/>
      <c r="C568" s="33"/>
    </row>
    <row r="569" spans="1:3" ht="15.75">
      <c r="A569" s="6"/>
      <c r="B569" s="37"/>
      <c r="C569" s="33"/>
    </row>
    <row r="570" spans="1:3" ht="15.75">
      <c r="A570" s="6"/>
      <c r="B570" s="37"/>
      <c r="C570" s="33"/>
    </row>
    <row r="571" spans="1:3" ht="15.75">
      <c r="A571" s="6"/>
      <c r="B571" s="37"/>
      <c r="C571" s="33"/>
    </row>
    <row r="572" spans="1:3" ht="15.75">
      <c r="A572" s="6"/>
      <c r="B572" s="37"/>
      <c r="C572" s="33"/>
    </row>
    <row r="573" spans="1:3" ht="15.75">
      <c r="A573" s="6"/>
      <c r="B573" s="37"/>
      <c r="C573" s="33"/>
    </row>
    <row r="574" spans="1:3" ht="15.75">
      <c r="A574" s="6"/>
      <c r="B574" s="37"/>
      <c r="C574" s="33"/>
    </row>
    <row r="575" spans="1:3" ht="15.75">
      <c r="A575" s="6"/>
      <c r="B575" s="37"/>
      <c r="C575" s="33"/>
    </row>
    <row r="576" spans="1:3" ht="15.75">
      <c r="A576" s="6"/>
      <c r="B576" s="37"/>
      <c r="C576" s="33"/>
    </row>
    <row r="577" spans="1:3" ht="15.75">
      <c r="A577" s="6"/>
      <c r="B577" s="37"/>
      <c r="C577" s="33"/>
    </row>
    <row r="578" spans="1:3" ht="15.75">
      <c r="A578" s="6"/>
      <c r="B578" s="37"/>
      <c r="C578" s="33"/>
    </row>
    <row r="579" spans="1:3" ht="15.75">
      <c r="A579" s="6"/>
      <c r="B579" s="37"/>
      <c r="C579" s="33"/>
    </row>
    <row r="580" spans="1:3" ht="15.75">
      <c r="A580" s="6"/>
      <c r="B580" s="37"/>
      <c r="C580" s="33"/>
    </row>
    <row r="581" spans="1:3" ht="15.75">
      <c r="A581" s="6"/>
      <c r="B581" s="37"/>
      <c r="C581" s="33"/>
    </row>
    <row r="582" spans="1:3" ht="15.75">
      <c r="A582" s="6"/>
      <c r="B582" s="37"/>
      <c r="C582" s="33"/>
    </row>
    <row r="583" spans="1:3" ht="15.75">
      <c r="A583" s="6"/>
      <c r="B583" s="37"/>
      <c r="C583" s="33"/>
    </row>
    <row r="584" spans="1:3" ht="15.75">
      <c r="A584" s="6"/>
      <c r="B584" s="37"/>
      <c r="C584" s="33"/>
    </row>
    <row r="585" spans="1:3" ht="15.75">
      <c r="A585" s="6"/>
      <c r="B585" s="37"/>
      <c r="C585" s="33"/>
    </row>
    <row r="586" spans="1:3" ht="15.75">
      <c r="A586" s="6"/>
      <c r="B586" s="37"/>
      <c r="C586" s="33"/>
    </row>
    <row r="587" spans="1:3" ht="15.75">
      <c r="A587" s="6"/>
      <c r="B587" s="37"/>
      <c r="C587" s="33"/>
    </row>
    <row r="588" spans="1:3" ht="15.75">
      <c r="A588" s="6"/>
      <c r="B588" s="37"/>
      <c r="C588" s="33"/>
    </row>
    <row r="589" spans="1:3" ht="15.75">
      <c r="A589" s="6"/>
      <c r="B589" s="37"/>
      <c r="C589" s="33"/>
    </row>
    <row r="590" spans="1:3" ht="15.75">
      <c r="A590" s="6"/>
      <c r="B590" s="37"/>
      <c r="C590" s="33"/>
    </row>
    <row r="591" spans="1:3" ht="15.75">
      <c r="A591" s="6"/>
      <c r="B591" s="37"/>
      <c r="C591" s="33"/>
    </row>
    <row r="592" spans="1:3" ht="15.75">
      <c r="A592" s="6"/>
      <c r="B592" s="37"/>
      <c r="C592" s="33"/>
    </row>
    <row r="593" spans="1:3" ht="15.75">
      <c r="A593" s="6"/>
      <c r="B593" s="37"/>
      <c r="C593" s="33"/>
    </row>
    <row r="594" spans="1:3" ht="15.75">
      <c r="A594" s="6"/>
      <c r="B594" s="37"/>
      <c r="C594" s="33"/>
    </row>
    <row r="595" spans="1:3" ht="15.75">
      <c r="A595" s="6"/>
      <c r="B595" s="37"/>
      <c r="C595" s="33"/>
    </row>
    <row r="596" spans="1:3" ht="15.75">
      <c r="A596" s="6"/>
      <c r="B596" s="37"/>
      <c r="C596" s="33"/>
    </row>
    <row r="597" spans="1:3" ht="15.75">
      <c r="A597" s="6"/>
      <c r="B597" s="37"/>
      <c r="C597" s="33"/>
    </row>
    <row r="598" spans="1:3" ht="15.75">
      <c r="A598" s="6"/>
      <c r="B598" s="37"/>
      <c r="C598" s="33"/>
    </row>
    <row r="599" spans="1:3" ht="15.75">
      <c r="A599" s="6"/>
      <c r="B599" s="37"/>
      <c r="C599" s="33"/>
    </row>
    <row r="600" spans="1:3" ht="15.75">
      <c r="A600" s="6"/>
      <c r="B600" s="37"/>
      <c r="C600" s="33"/>
    </row>
    <row r="601" spans="1:3" ht="15.75">
      <c r="A601" s="6"/>
      <c r="B601" s="37"/>
      <c r="C601" s="33"/>
    </row>
    <row r="602" spans="1:3" ht="15.75">
      <c r="A602" s="6"/>
      <c r="B602" s="37"/>
      <c r="C602" s="33"/>
    </row>
    <row r="603" spans="1:3" ht="15.75">
      <c r="A603" s="6"/>
      <c r="B603" s="37"/>
      <c r="C603" s="33"/>
    </row>
    <row r="604" spans="1:3" ht="15.75">
      <c r="A604" s="6"/>
      <c r="B604" s="37"/>
      <c r="C604" s="33"/>
    </row>
    <row r="605" spans="1:3" ht="15.75">
      <c r="A605" s="6"/>
      <c r="B605" s="37"/>
      <c r="C605" s="33"/>
    </row>
    <row r="606" spans="1:3" ht="15.75">
      <c r="A606" s="6"/>
      <c r="B606" s="37"/>
      <c r="C606" s="33"/>
    </row>
    <row r="607" spans="1:3" ht="15.75">
      <c r="A607" s="6"/>
      <c r="B607" s="37"/>
      <c r="C607" s="33"/>
    </row>
    <row r="608" spans="1:3" ht="15.75">
      <c r="A608" s="6"/>
      <c r="B608" s="37"/>
      <c r="C608" s="33"/>
    </row>
    <row r="609" spans="1:3" ht="15.75">
      <c r="A609" s="6"/>
      <c r="B609" s="37"/>
      <c r="C609" s="33"/>
    </row>
    <row r="610" spans="1:3" ht="15.75">
      <c r="A610" s="6"/>
      <c r="B610" s="37"/>
      <c r="C610" s="33"/>
    </row>
    <row r="611" spans="1:3" ht="15.75">
      <c r="A611" s="6"/>
      <c r="B611" s="37"/>
      <c r="C611" s="33"/>
    </row>
    <row r="612" spans="1:3" ht="15.75">
      <c r="A612" s="6"/>
      <c r="B612" s="37"/>
      <c r="C612" s="33"/>
    </row>
    <row r="613" spans="1:3" ht="15.75">
      <c r="A613" s="6"/>
      <c r="B613" s="37"/>
      <c r="C613" s="33"/>
    </row>
    <row r="614" spans="1:3" ht="15.75">
      <c r="A614" s="6"/>
      <c r="B614" s="37"/>
      <c r="C614" s="33"/>
    </row>
    <row r="615" spans="1:3" ht="15.75">
      <c r="A615" s="6"/>
      <c r="B615" s="37"/>
      <c r="C615" s="33"/>
    </row>
    <row r="616" spans="1:3" ht="15.75">
      <c r="A616" s="6"/>
      <c r="B616" s="37"/>
      <c r="C616" s="33"/>
    </row>
    <row r="617" spans="1:3" ht="15.75">
      <c r="A617" s="6"/>
      <c r="B617" s="37"/>
      <c r="C617" s="33"/>
    </row>
    <row r="618" spans="1:3" ht="15.75">
      <c r="A618" s="6"/>
      <c r="B618" s="37"/>
      <c r="C618" s="33"/>
    </row>
    <row r="619" spans="1:3" ht="15.75">
      <c r="A619" s="6"/>
      <c r="B619" s="37"/>
      <c r="C619" s="33"/>
    </row>
    <row r="620" spans="1:3" ht="15.75">
      <c r="A620" s="6"/>
      <c r="B620" s="37"/>
      <c r="C620" s="33"/>
    </row>
    <row r="621" spans="1:3" ht="15.75">
      <c r="A621" s="6"/>
      <c r="B621" s="37"/>
      <c r="C621" s="33"/>
    </row>
    <row r="622" spans="1:3" ht="15.75">
      <c r="A622" s="6"/>
      <c r="B622" s="37"/>
      <c r="C622" s="33"/>
    </row>
    <row r="623" spans="1:3" ht="15.75">
      <c r="A623" s="6"/>
      <c r="B623" s="37"/>
      <c r="C623" s="33"/>
    </row>
    <row r="624" spans="1:3" ht="15.75">
      <c r="A624" s="6"/>
      <c r="B624" s="37"/>
      <c r="C624" s="33"/>
    </row>
    <row r="625" spans="1:3" ht="15.75">
      <c r="A625" s="6"/>
      <c r="B625" s="37"/>
      <c r="C625" s="33"/>
    </row>
    <row r="626" spans="1:3" ht="15.75">
      <c r="A626" s="6"/>
      <c r="B626" s="37"/>
      <c r="C626" s="33"/>
    </row>
    <row r="627" spans="1:3" ht="15.75">
      <c r="A627" s="6"/>
      <c r="B627" s="37"/>
      <c r="C627" s="33"/>
    </row>
    <row r="628" spans="1:3" ht="15.75">
      <c r="A628" s="6"/>
      <c r="B628" s="37"/>
      <c r="C628" s="33"/>
    </row>
    <row r="629" spans="1:3" ht="15.75">
      <c r="A629" s="6"/>
      <c r="B629" s="37"/>
      <c r="C629" s="33"/>
    </row>
    <row r="630" spans="1:3" ht="15.75">
      <c r="A630" s="6"/>
      <c r="B630" s="37"/>
      <c r="C630" s="33"/>
    </row>
    <row r="631" spans="1:3" ht="15.75">
      <c r="A631" s="6"/>
      <c r="B631" s="37"/>
      <c r="C631" s="33"/>
    </row>
    <row r="632" spans="1:3" ht="15.75">
      <c r="A632" s="6"/>
      <c r="B632" s="37"/>
      <c r="C632" s="33"/>
    </row>
    <row r="633" spans="1:3" ht="15.75">
      <c r="A633" s="6"/>
      <c r="B633" s="37"/>
      <c r="C633" s="33"/>
    </row>
    <row r="634" spans="1:3" ht="15.75">
      <c r="A634" s="6"/>
      <c r="B634" s="37"/>
      <c r="C634" s="33"/>
    </row>
    <row r="635" spans="1:3" ht="15.75">
      <c r="A635" s="6"/>
      <c r="B635" s="37"/>
      <c r="C635" s="33"/>
    </row>
    <row r="636" spans="1:3" ht="15.75">
      <c r="A636" s="6"/>
      <c r="B636" s="37"/>
      <c r="C636" s="33"/>
    </row>
    <row r="637" spans="1:3" ht="15.75">
      <c r="A637" s="6"/>
      <c r="B637" s="37"/>
      <c r="C637" s="33"/>
    </row>
    <row r="638" spans="1:3" ht="15.75">
      <c r="A638" s="6"/>
      <c r="B638" s="37"/>
      <c r="C638" s="33"/>
    </row>
    <row r="639" spans="1:3" ht="15.75">
      <c r="A639" s="6"/>
      <c r="B639" s="37"/>
      <c r="C639" s="33"/>
    </row>
    <row r="640" spans="1:3" ht="15.75">
      <c r="A640" s="6"/>
      <c r="B640" s="37"/>
      <c r="C640" s="33"/>
    </row>
    <row r="641" spans="1:3" ht="15.75">
      <c r="A641" s="6"/>
      <c r="B641" s="37"/>
      <c r="C641" s="33"/>
    </row>
    <row r="642" spans="1:3" ht="15.75">
      <c r="A642" s="6"/>
      <c r="B642" s="37"/>
      <c r="C642" s="33"/>
    </row>
    <row r="643" spans="1:3" ht="15.75">
      <c r="A643" s="6"/>
      <c r="B643" s="37"/>
      <c r="C643" s="33"/>
    </row>
    <row r="644" spans="1:3" ht="15.75">
      <c r="A644" s="6"/>
      <c r="B644" s="37"/>
      <c r="C644" s="33"/>
    </row>
    <row r="645" spans="1:3" ht="15.75">
      <c r="A645" s="6"/>
      <c r="B645" s="37"/>
      <c r="C645" s="33"/>
    </row>
    <row r="646" spans="1:3" ht="15.75">
      <c r="A646" s="6"/>
      <c r="B646" s="37"/>
      <c r="C646" s="33"/>
    </row>
    <row r="647" spans="1:3" ht="15.75">
      <c r="A647" s="6"/>
      <c r="B647" s="37"/>
      <c r="C647" s="33"/>
    </row>
    <row r="648" spans="1:3" ht="15.75">
      <c r="A648" s="6"/>
      <c r="B648" s="37"/>
      <c r="C648" s="33"/>
    </row>
    <row r="649" spans="1:3" ht="15.75">
      <c r="A649" s="6"/>
      <c r="B649" s="37"/>
      <c r="C649" s="33"/>
    </row>
    <row r="650" spans="1:3" ht="15.75">
      <c r="A650" s="6"/>
      <c r="B650" s="37"/>
      <c r="C650" s="33"/>
    </row>
    <row r="651" spans="1:3" ht="15.75">
      <c r="A651" s="6"/>
      <c r="B651" s="37"/>
      <c r="C651" s="33"/>
    </row>
    <row r="652" spans="1:3" ht="15.75">
      <c r="A652" s="6"/>
      <c r="B652" s="37"/>
      <c r="C652" s="33"/>
    </row>
    <row r="653" spans="1:3" ht="15.75">
      <c r="A653" s="6"/>
      <c r="B653" s="37"/>
      <c r="C653" s="33"/>
    </row>
    <row r="654" spans="1:3" ht="15.75">
      <c r="A654" s="6"/>
      <c r="B654" s="37"/>
      <c r="C654" s="33"/>
    </row>
    <row r="655" spans="1:3" ht="15.75">
      <c r="A655" s="6"/>
      <c r="B655" s="37"/>
      <c r="C655" s="33"/>
    </row>
    <row r="656" spans="1:3" ht="15.75">
      <c r="A656" s="6"/>
      <c r="B656" s="37"/>
      <c r="C656" s="33"/>
    </row>
    <row r="657" spans="1:3" ht="15.75">
      <c r="A657" s="6"/>
      <c r="B657" s="37"/>
      <c r="C657" s="33"/>
    </row>
    <row r="658" spans="1:3" ht="15.75">
      <c r="A658" s="6"/>
      <c r="B658" s="37"/>
      <c r="C658" s="33"/>
    </row>
    <row r="659" spans="1:3" ht="15.75">
      <c r="A659" s="6"/>
      <c r="B659" s="37"/>
      <c r="C659" s="33"/>
    </row>
    <row r="660" spans="1:3" ht="15.75">
      <c r="A660" s="6"/>
      <c r="B660" s="37"/>
      <c r="C660" s="33"/>
    </row>
    <row r="661" spans="1:3" ht="15.75">
      <c r="A661" s="6"/>
      <c r="B661" s="37"/>
      <c r="C661" s="33"/>
    </row>
    <row r="662" spans="1:3" ht="15.75">
      <c r="A662" s="6"/>
      <c r="B662" s="37"/>
      <c r="C662" s="33"/>
    </row>
    <row r="663" spans="1:3" ht="15.75">
      <c r="A663" s="6"/>
      <c r="B663" s="37"/>
      <c r="C663" s="33"/>
    </row>
    <row r="664" spans="1:3" ht="15.75">
      <c r="A664" s="6"/>
      <c r="B664" s="37"/>
      <c r="C664" s="33"/>
    </row>
    <row r="665" spans="1:3" ht="15.75">
      <c r="A665" s="6"/>
      <c r="B665" s="37"/>
      <c r="C665" s="33"/>
    </row>
    <row r="666" spans="1:3" ht="15.75">
      <c r="A666" s="6"/>
      <c r="B666" s="37"/>
      <c r="C666" s="33"/>
    </row>
    <row r="667" spans="1:3" ht="15.75">
      <c r="A667" s="6"/>
      <c r="B667" s="37"/>
      <c r="C667" s="33"/>
    </row>
    <row r="668" spans="1:3" ht="15.75">
      <c r="A668" s="6"/>
      <c r="B668" s="37"/>
      <c r="C668" s="33"/>
    </row>
    <row r="669" spans="1:3" ht="15.75">
      <c r="A669" s="6"/>
      <c r="B669" s="37"/>
      <c r="C669" s="33"/>
    </row>
    <row r="670" spans="1:3" ht="15.75">
      <c r="A670" s="6"/>
      <c r="B670" s="37"/>
      <c r="C670" s="33"/>
    </row>
    <row r="671" spans="1:3" ht="15.75">
      <c r="A671" s="6"/>
      <c r="B671" s="37"/>
      <c r="C671" s="33"/>
    </row>
    <row r="672" spans="1:3" ht="15.75">
      <c r="A672" s="6"/>
      <c r="B672" s="37"/>
      <c r="C672" s="33"/>
    </row>
    <row r="673" spans="1:3" ht="15.75">
      <c r="A673" s="6"/>
      <c r="B673" s="37"/>
      <c r="C673" s="33"/>
    </row>
    <row r="674" spans="1:3" ht="15.75">
      <c r="A674" s="6"/>
      <c r="B674" s="37"/>
      <c r="C674" s="33"/>
    </row>
    <row r="675" spans="1:3" ht="15.75">
      <c r="A675" s="6"/>
      <c r="B675" s="37"/>
      <c r="C675" s="33"/>
    </row>
    <row r="676" spans="1:3" ht="15.75">
      <c r="A676" s="6"/>
      <c r="B676" s="37"/>
      <c r="C676" s="33"/>
    </row>
    <row r="677" spans="1:3" ht="15.75">
      <c r="A677" s="6"/>
      <c r="B677" s="37"/>
      <c r="C677" s="33"/>
    </row>
    <row r="678" spans="1:3" ht="15.75">
      <c r="A678" s="6"/>
      <c r="B678" s="37"/>
      <c r="C678" s="33"/>
    </row>
    <row r="679" spans="1:3" ht="15.75">
      <c r="A679" s="6"/>
      <c r="B679" s="37"/>
      <c r="C679" s="33"/>
    </row>
    <row r="680" spans="1:3" ht="15.75">
      <c r="A680" s="6"/>
      <c r="B680" s="37"/>
      <c r="C680" s="33"/>
    </row>
    <row r="681" spans="1:3" ht="15.75">
      <c r="A681" s="6"/>
      <c r="B681" s="37"/>
      <c r="C681" s="33"/>
    </row>
    <row r="682" spans="1:3" ht="15.75">
      <c r="A682" s="6"/>
      <c r="B682" s="37"/>
      <c r="C682" s="33"/>
    </row>
    <row r="683" spans="1:3" ht="15.75">
      <c r="A683" s="6"/>
      <c r="B683" s="37"/>
      <c r="C683" s="33"/>
    </row>
    <row r="684" spans="1:3" ht="15.75">
      <c r="A684" s="6"/>
      <c r="B684" s="37"/>
      <c r="C684" s="33"/>
    </row>
    <row r="685" spans="1:3" ht="15.75">
      <c r="A685" s="6"/>
      <c r="B685" s="37"/>
      <c r="C685" s="33"/>
    </row>
    <row r="686" spans="1:3" ht="15.75">
      <c r="A686" s="6"/>
      <c r="B686" s="37"/>
      <c r="C686" s="33"/>
    </row>
    <row r="687" spans="1:3" ht="15.75">
      <c r="A687" s="6"/>
      <c r="B687" s="37"/>
      <c r="C687" s="33"/>
    </row>
    <row r="688" spans="1:3" ht="15.75">
      <c r="A688" s="6"/>
      <c r="B688" s="37"/>
      <c r="C688" s="33"/>
    </row>
    <row r="689" spans="1:3" ht="15.75">
      <c r="A689" s="6"/>
      <c r="B689" s="37"/>
      <c r="C689" s="33"/>
    </row>
    <row r="690" spans="1:3" ht="15.75">
      <c r="A690" s="6"/>
      <c r="B690" s="37"/>
      <c r="C690" s="33"/>
    </row>
    <row r="691" spans="1:3" ht="15.75">
      <c r="A691" s="6"/>
      <c r="B691" s="37"/>
      <c r="C691" s="33"/>
    </row>
    <row r="692" spans="1:3" ht="15.75">
      <c r="A692" s="6"/>
      <c r="B692" s="37"/>
      <c r="C692" s="33"/>
    </row>
    <row r="693" spans="1:3" ht="15.75">
      <c r="A693" s="6"/>
      <c r="B693" s="37"/>
      <c r="C693" s="33"/>
    </row>
    <row r="694" spans="1:3" ht="15.75">
      <c r="A694" s="6"/>
      <c r="B694" s="37"/>
      <c r="C694" s="33"/>
    </row>
    <row r="695" spans="1:3" ht="15.75">
      <c r="A695" s="6"/>
      <c r="B695" s="37"/>
      <c r="C695" s="33"/>
    </row>
    <row r="696" spans="1:3" ht="15.75">
      <c r="A696" s="6"/>
      <c r="B696" s="37"/>
      <c r="C696" s="33"/>
    </row>
    <row r="697" spans="1:3" ht="15.75">
      <c r="A697" s="6"/>
      <c r="B697" s="37"/>
      <c r="C697" s="33"/>
    </row>
    <row r="698" spans="1:3" ht="15.75">
      <c r="A698" s="6"/>
      <c r="B698" s="37"/>
      <c r="C698" s="33"/>
    </row>
    <row r="699" spans="1:3" ht="15.75">
      <c r="A699" s="6"/>
      <c r="B699" s="37"/>
      <c r="C699" s="33"/>
    </row>
    <row r="700" spans="1:3" ht="15.75">
      <c r="A700" s="6"/>
      <c r="B700" s="37"/>
      <c r="C700" s="33"/>
    </row>
    <row r="701" spans="1:3" ht="15.75">
      <c r="A701" s="6"/>
      <c r="B701" s="37"/>
      <c r="C701" s="33"/>
    </row>
    <row r="702" spans="1:3" ht="15.75">
      <c r="A702" s="6"/>
      <c r="B702" s="37"/>
      <c r="C702" s="33"/>
    </row>
    <row r="703" spans="1:3" ht="15.75">
      <c r="A703" s="6"/>
      <c r="B703" s="37"/>
      <c r="C703" s="33"/>
    </row>
    <row r="704" spans="1:3" ht="15.75">
      <c r="A704" s="6"/>
      <c r="B704" s="37"/>
      <c r="C704" s="33"/>
    </row>
    <row r="705" spans="1:3" ht="15.75">
      <c r="A705" s="6"/>
      <c r="B705" s="37"/>
      <c r="C705" s="33"/>
    </row>
    <row r="706" spans="1:3" ht="15.75">
      <c r="A706" s="6"/>
      <c r="B706" s="37"/>
      <c r="C706" s="33"/>
    </row>
    <row r="707" spans="1:3" ht="15.75">
      <c r="A707" s="6"/>
      <c r="B707" s="37"/>
      <c r="C707" s="33"/>
    </row>
    <row r="708" spans="1:3" ht="15.75">
      <c r="A708" s="6"/>
      <c r="B708" s="37"/>
      <c r="C708" s="33"/>
    </row>
    <row r="709" spans="1:3" ht="15.75">
      <c r="A709" s="6"/>
      <c r="B709" s="37"/>
      <c r="C709" s="33"/>
    </row>
    <row r="710" spans="1:3" ht="15.75">
      <c r="A710" s="6"/>
      <c r="B710" s="37"/>
      <c r="C710" s="33"/>
    </row>
    <row r="711" spans="1:3" ht="15.75">
      <c r="A711" s="6"/>
      <c r="B711" s="37"/>
      <c r="C711" s="33"/>
    </row>
    <row r="712" spans="1:3" ht="15.75">
      <c r="A712" s="6"/>
      <c r="B712" s="37"/>
      <c r="C712" s="33"/>
    </row>
    <row r="713" spans="1:3" ht="15.75">
      <c r="A713" s="6"/>
      <c r="B713" s="37"/>
      <c r="C713" s="33"/>
    </row>
    <row r="714" spans="1:3" ht="15.75">
      <c r="A714" s="6"/>
      <c r="B714" s="37"/>
      <c r="C714" s="33"/>
    </row>
    <row r="715" spans="1:3" ht="15.75">
      <c r="A715" s="6"/>
      <c r="B715" s="37"/>
      <c r="C715" s="33"/>
    </row>
    <row r="716" spans="1:3" ht="15.75">
      <c r="A716" s="6"/>
      <c r="B716" s="37"/>
      <c r="C716" s="33"/>
    </row>
    <row r="717" spans="1:3" ht="15.75">
      <c r="A717" s="6"/>
      <c r="B717" s="37"/>
      <c r="C717" s="33"/>
    </row>
    <row r="718" spans="1:3" ht="15.75">
      <c r="A718" s="6"/>
      <c r="B718" s="37"/>
      <c r="C718" s="33"/>
    </row>
    <row r="719" spans="1:3" ht="15.75">
      <c r="A719" s="6"/>
      <c r="B719" s="37"/>
      <c r="C719" s="33"/>
    </row>
    <row r="720" spans="1:3" ht="15.75">
      <c r="A720" s="6"/>
      <c r="B720" s="37"/>
      <c r="C720" s="33"/>
    </row>
    <row r="721" spans="1:3" ht="15.75">
      <c r="A721" s="6"/>
      <c r="B721" s="37"/>
      <c r="C721" s="33"/>
    </row>
    <row r="722" spans="1:3" ht="15.75">
      <c r="A722" s="6"/>
      <c r="B722" s="37"/>
      <c r="C722" s="33"/>
    </row>
    <row r="723" spans="1:3" ht="15.75">
      <c r="A723" s="6"/>
      <c r="B723" s="37"/>
      <c r="C723" s="33"/>
    </row>
    <row r="724" spans="1:3" ht="15.75">
      <c r="A724" s="6"/>
      <c r="B724" s="37"/>
      <c r="C724" s="33"/>
    </row>
    <row r="725" spans="1:3" ht="15.75">
      <c r="A725" s="6"/>
      <c r="B725" s="37"/>
      <c r="C725" s="33"/>
    </row>
    <row r="726" spans="1:3" ht="15.75">
      <c r="A726" s="6"/>
      <c r="B726" s="37"/>
      <c r="C726" s="33"/>
    </row>
    <row r="727" spans="1:3" ht="15.75">
      <c r="A727" s="6"/>
      <c r="B727" s="37"/>
      <c r="C727" s="33"/>
    </row>
    <row r="728" spans="1:3" ht="15.75">
      <c r="A728" s="6"/>
      <c r="B728" s="37"/>
      <c r="C728" s="33"/>
    </row>
    <row r="729" spans="1:3" ht="15.75">
      <c r="A729" s="6"/>
      <c r="B729" s="37"/>
      <c r="C729" s="33"/>
    </row>
    <row r="730" spans="1:3" ht="15.75">
      <c r="A730" s="6"/>
      <c r="B730" s="37"/>
      <c r="C730" s="33"/>
    </row>
    <row r="731" spans="1:3" ht="15.75">
      <c r="A731" s="6"/>
      <c r="B731" s="37"/>
      <c r="C731" s="33"/>
    </row>
    <row r="732" spans="1:3" ht="15.75">
      <c r="A732" s="6"/>
      <c r="B732" s="37"/>
      <c r="C732" s="33"/>
    </row>
    <row r="733" spans="1:3" ht="15.75">
      <c r="A733" s="6"/>
      <c r="B733" s="37"/>
      <c r="C733" s="33"/>
    </row>
    <row r="734" spans="1:3" ht="15.75">
      <c r="A734" s="6"/>
      <c r="B734" s="37"/>
      <c r="C734" s="33"/>
    </row>
    <row r="735" spans="1:3" ht="15.75">
      <c r="A735" s="6"/>
      <c r="B735" s="37"/>
      <c r="C735" s="33"/>
    </row>
    <row r="736" spans="1:3" ht="15.75">
      <c r="A736" s="6"/>
      <c r="B736" s="37"/>
      <c r="C736" s="33"/>
    </row>
    <row r="737" spans="1:3" ht="15.75">
      <c r="A737" s="6"/>
      <c r="B737" s="37"/>
      <c r="C737" s="33"/>
    </row>
    <row r="738" spans="1:3" ht="15.75">
      <c r="A738" s="6"/>
      <c r="B738" s="37"/>
      <c r="C738" s="33"/>
    </row>
    <row r="739" spans="1:3" ht="15.75">
      <c r="A739" s="6"/>
      <c r="B739" s="37"/>
      <c r="C739" s="33"/>
    </row>
    <row r="740" spans="1:3" ht="15.75">
      <c r="A740" s="6"/>
      <c r="B740" s="37"/>
      <c r="C740" s="33"/>
    </row>
    <row r="741" spans="1:3" ht="15.75">
      <c r="A741" s="6"/>
      <c r="B741" s="37"/>
      <c r="C741" s="33"/>
    </row>
    <row r="742" spans="1:3" ht="15.75">
      <c r="A742" s="6"/>
      <c r="B742" s="37"/>
      <c r="C742" s="33"/>
    </row>
    <row r="743" spans="1:3" ht="15.75">
      <c r="A743" s="6"/>
      <c r="B743" s="37"/>
      <c r="C743" s="33"/>
    </row>
    <row r="744" spans="1:3" ht="15.75">
      <c r="A744" s="6"/>
      <c r="B744" s="37"/>
      <c r="C744" s="33"/>
    </row>
    <row r="745" spans="1:3" ht="15.75">
      <c r="A745" s="6"/>
      <c r="B745" s="37"/>
      <c r="C745" s="33"/>
    </row>
    <row r="746" spans="1:3" ht="15.75">
      <c r="A746" s="6"/>
      <c r="B746" s="37"/>
      <c r="C746" s="33"/>
    </row>
    <row r="747" spans="1:3" ht="15.75">
      <c r="A747" s="6"/>
      <c r="B747" s="37"/>
      <c r="C747" s="33"/>
    </row>
    <row r="748" spans="1:3" ht="15.75">
      <c r="A748" s="6"/>
      <c r="B748" s="37"/>
      <c r="C748" s="33"/>
    </row>
    <row r="749" spans="1:3" ht="15.75">
      <c r="A749" s="6"/>
      <c r="B749" s="37"/>
      <c r="C749" s="33"/>
    </row>
    <row r="750" spans="1:3" ht="15.75">
      <c r="A750" s="6"/>
      <c r="B750" s="37"/>
      <c r="C750" s="33"/>
    </row>
    <row r="751" spans="1:3" ht="15.75">
      <c r="A751" s="6"/>
      <c r="B751" s="37"/>
      <c r="C751" s="33"/>
    </row>
    <row r="752" spans="1:3" ht="15.75">
      <c r="A752" s="6"/>
      <c r="B752" s="37"/>
      <c r="C752" s="33"/>
    </row>
    <row r="753" spans="1:3" ht="15.75">
      <c r="A753" s="6"/>
      <c r="B753" s="37"/>
      <c r="C753" s="33"/>
    </row>
    <row r="754" spans="1:3" ht="15.75">
      <c r="A754" s="6"/>
      <c r="B754" s="37"/>
      <c r="C754" s="33"/>
    </row>
    <row r="755" spans="1:3" ht="15.75">
      <c r="A755" s="6"/>
      <c r="B755" s="37"/>
      <c r="C755" s="33"/>
    </row>
    <row r="756" spans="1:3" ht="15.75">
      <c r="A756" s="6"/>
      <c r="B756" s="37"/>
      <c r="C756" s="33"/>
    </row>
    <row r="757" spans="1:3" ht="15.75">
      <c r="A757" s="6"/>
      <c r="B757" s="37"/>
      <c r="C757" s="33"/>
    </row>
    <row r="758" spans="1:3" ht="15.75">
      <c r="A758" s="6"/>
      <c r="B758" s="37"/>
      <c r="C758" s="33"/>
    </row>
    <row r="759" spans="1:3" ht="15.75">
      <c r="A759" s="6"/>
      <c r="B759" s="37"/>
      <c r="C759" s="33"/>
    </row>
    <row r="760" spans="1:3" ht="15.75">
      <c r="A760" s="6"/>
      <c r="B760" s="37"/>
      <c r="C760" s="33"/>
    </row>
    <row r="761" spans="1:3" ht="15.75">
      <c r="A761" s="6"/>
      <c r="B761" s="37"/>
      <c r="C761" s="33"/>
    </row>
    <row r="762" spans="1:3" ht="15.75">
      <c r="A762" s="6"/>
      <c r="B762" s="37"/>
      <c r="C762" s="33"/>
    </row>
    <row r="763" spans="1:3" ht="15.75">
      <c r="A763" s="6"/>
      <c r="B763" s="37"/>
      <c r="C763" s="33"/>
    </row>
    <row r="764" spans="1:3" ht="15.75">
      <c r="A764" s="6"/>
      <c r="B764" s="37"/>
      <c r="C764" s="33"/>
    </row>
    <row r="765" spans="1:3" ht="15.75">
      <c r="A765" s="6"/>
      <c r="B765" s="37"/>
      <c r="C765" s="33"/>
    </row>
    <row r="766" spans="1:3" ht="15.75">
      <c r="A766" s="6"/>
      <c r="B766" s="37"/>
      <c r="C766" s="33"/>
    </row>
    <row r="767" spans="1:3" ht="15.75">
      <c r="A767" s="6"/>
      <c r="B767" s="37"/>
      <c r="C767" s="33"/>
    </row>
    <row r="768" spans="1:3" ht="15.75">
      <c r="A768" s="6"/>
      <c r="B768" s="37"/>
      <c r="C768" s="33"/>
    </row>
    <row r="769" spans="1:3" ht="15.75">
      <c r="A769" s="6"/>
      <c r="B769" s="37"/>
      <c r="C769" s="33"/>
    </row>
    <row r="770" spans="1:3" ht="15.75">
      <c r="A770" s="6"/>
      <c r="B770" s="37"/>
      <c r="C770" s="33"/>
    </row>
    <row r="771" spans="1:3" ht="15.75">
      <c r="A771" s="6"/>
      <c r="B771" s="37"/>
      <c r="C771" s="33"/>
    </row>
    <row r="772" spans="1:3" ht="15.75">
      <c r="A772" s="6"/>
      <c r="B772" s="37"/>
      <c r="C772" s="33"/>
    </row>
    <row r="773" spans="1:3" ht="15.75">
      <c r="A773" s="6"/>
      <c r="B773" s="37"/>
      <c r="C773" s="33"/>
    </row>
    <row r="774" spans="1:3" ht="15.75">
      <c r="A774" s="6"/>
      <c r="B774" s="37"/>
      <c r="C774" s="33"/>
    </row>
    <row r="775" spans="1:3" ht="15.75">
      <c r="A775" s="6"/>
      <c r="B775" s="37"/>
      <c r="C775" s="33"/>
    </row>
    <row r="776" spans="1:3" ht="15.75">
      <c r="A776" s="6"/>
      <c r="B776" s="37"/>
      <c r="C776" s="33"/>
    </row>
    <row r="777" spans="1:3" ht="15.75">
      <c r="A777" s="6"/>
      <c r="B777" s="37"/>
      <c r="C777" s="33"/>
    </row>
    <row r="778" spans="1:3" ht="15.75">
      <c r="A778" s="6"/>
      <c r="B778" s="37"/>
      <c r="C778" s="33"/>
    </row>
    <row r="779" spans="1:3" ht="15.75">
      <c r="A779" s="6"/>
      <c r="B779" s="37"/>
      <c r="C779" s="33"/>
    </row>
    <row r="780" spans="1:3" ht="15.75">
      <c r="A780" s="6"/>
      <c r="B780" s="37"/>
      <c r="C780" s="33"/>
    </row>
    <row r="781" spans="1:3" ht="15.75">
      <c r="A781" s="6"/>
      <c r="B781" s="37"/>
      <c r="C781" s="33"/>
    </row>
    <row r="782" spans="1:3" ht="15.75">
      <c r="A782" s="6"/>
      <c r="B782" s="37"/>
      <c r="C782" s="33"/>
    </row>
    <row r="783" spans="1:3" ht="15.75">
      <c r="A783" s="6"/>
      <c r="B783" s="37"/>
      <c r="C783" s="33"/>
    </row>
    <row r="784" spans="1:3" ht="15.75">
      <c r="A784" s="6"/>
      <c r="B784" s="37"/>
      <c r="C784" s="33"/>
    </row>
    <row r="785" spans="1:3" ht="15.75">
      <c r="A785" s="6"/>
      <c r="B785" s="37"/>
      <c r="C785" s="33"/>
    </row>
    <row r="786" spans="1:3" ht="15.75">
      <c r="A786" s="6"/>
      <c r="B786" s="37"/>
      <c r="C786" s="33"/>
    </row>
    <row r="787" spans="1:3" ht="15.75">
      <c r="A787" s="6"/>
      <c r="B787" s="37"/>
      <c r="C787" s="33"/>
    </row>
    <row r="788" spans="1:3" ht="15.75">
      <c r="A788" s="6"/>
      <c r="B788" s="37"/>
      <c r="C788" s="33"/>
    </row>
    <row r="789" spans="1:3" ht="15.75">
      <c r="A789" s="6"/>
      <c r="B789" s="37"/>
      <c r="C789" s="33"/>
    </row>
    <row r="790" spans="1:3" ht="15.75">
      <c r="A790" s="6"/>
      <c r="B790" s="37"/>
      <c r="C790" s="33"/>
    </row>
    <row r="791" spans="1:3" ht="15.75">
      <c r="A791" s="6"/>
      <c r="B791" s="37"/>
      <c r="C791" s="33"/>
    </row>
    <row r="792" spans="1:3" ht="15.75">
      <c r="A792" s="6"/>
      <c r="B792" s="37"/>
      <c r="C792" s="33"/>
    </row>
    <row r="793" spans="1:3" ht="15.75">
      <c r="A793" s="6"/>
      <c r="B793" s="37"/>
      <c r="C793" s="33"/>
    </row>
    <row r="794" spans="1:3" ht="15.75">
      <c r="A794" s="6"/>
      <c r="B794" s="37"/>
      <c r="C794" s="33"/>
    </row>
    <row r="795" spans="1:3" ht="15.75">
      <c r="A795" s="6"/>
      <c r="B795" s="37"/>
      <c r="C795" s="33"/>
    </row>
    <row r="796" spans="1:3" ht="15.75">
      <c r="A796" s="6"/>
      <c r="B796" s="37"/>
      <c r="C796" s="33"/>
    </row>
    <row r="797" spans="1:3" ht="15.75">
      <c r="A797" s="6"/>
      <c r="B797" s="37"/>
      <c r="C797" s="33"/>
    </row>
    <row r="798" spans="1:3" ht="15.75">
      <c r="A798" s="6"/>
      <c r="B798" s="37"/>
      <c r="C798" s="33"/>
    </row>
    <row r="799" spans="1:3" ht="15.75">
      <c r="A799" s="6"/>
      <c r="B799" s="37"/>
      <c r="C799" s="33"/>
    </row>
    <row r="800" spans="1:3" ht="15.75">
      <c r="A800" s="6"/>
      <c r="B800" s="37"/>
      <c r="C800" s="33"/>
    </row>
    <row r="801" spans="1:3" ht="15.75">
      <c r="A801" s="6"/>
      <c r="B801" s="37"/>
      <c r="C801" s="33"/>
    </row>
    <row r="802" spans="1:3" ht="15.75">
      <c r="A802" s="6"/>
      <c r="B802" s="37"/>
      <c r="C802" s="33"/>
    </row>
    <row r="803" spans="1:3" ht="15.75">
      <c r="A803" s="6"/>
      <c r="B803" s="37"/>
      <c r="C803" s="33"/>
    </row>
    <row r="804" spans="1:3" ht="15.75">
      <c r="A804" s="6"/>
      <c r="B804" s="37"/>
      <c r="C804" s="33"/>
    </row>
    <row r="805" spans="1:3" ht="15.75">
      <c r="A805" s="6"/>
      <c r="B805" s="37"/>
      <c r="C805" s="33"/>
    </row>
    <row r="806" spans="1:3" ht="15.75">
      <c r="A806" s="6"/>
      <c r="B806" s="37"/>
      <c r="C806" s="33"/>
    </row>
    <row r="807" spans="1:3" ht="15.75">
      <c r="A807" s="6"/>
      <c r="B807" s="37"/>
      <c r="C807" s="33"/>
    </row>
    <row r="808" spans="1:3" ht="15.75">
      <c r="A808" s="6"/>
      <c r="B808" s="37"/>
      <c r="C808" s="33"/>
    </row>
    <row r="809" spans="1:3" ht="15.75">
      <c r="A809" s="6"/>
      <c r="B809" s="37"/>
      <c r="C809" s="33"/>
    </row>
    <row r="810" spans="1:3" ht="15.75">
      <c r="A810" s="6"/>
      <c r="B810" s="37"/>
      <c r="C810" s="33"/>
    </row>
    <row r="811" spans="1:3" ht="15.75">
      <c r="A811" s="6"/>
      <c r="B811" s="37"/>
      <c r="C811" s="33"/>
    </row>
    <row r="812" spans="1:3" ht="15.75">
      <c r="A812" s="6"/>
      <c r="B812" s="37"/>
      <c r="C812" s="33"/>
    </row>
    <row r="813" spans="1:3" ht="15.75">
      <c r="A813" s="6"/>
      <c r="B813" s="37"/>
      <c r="C813" s="33"/>
    </row>
    <row r="814" spans="1:3" ht="15.75">
      <c r="A814" s="6"/>
      <c r="B814" s="37"/>
      <c r="C814" s="33"/>
    </row>
    <row r="815" spans="1:3" ht="15.75">
      <c r="A815" s="6"/>
      <c r="B815" s="37"/>
      <c r="C815" s="33"/>
    </row>
    <row r="816" spans="1:3" ht="15.75">
      <c r="A816" s="6"/>
      <c r="B816" s="37"/>
      <c r="C816" s="33"/>
    </row>
    <row r="817" spans="1:3" ht="15.75">
      <c r="A817" s="6"/>
      <c r="B817" s="37"/>
      <c r="C817" s="33"/>
    </row>
    <row r="818" spans="1:3" ht="15.75">
      <c r="A818" s="6"/>
      <c r="B818" s="37"/>
      <c r="C818" s="33"/>
    </row>
    <row r="819" spans="1:3" ht="15.75">
      <c r="A819" s="6"/>
      <c r="B819" s="37"/>
      <c r="C819" s="33"/>
    </row>
    <row r="820" spans="1:3" ht="15.75">
      <c r="A820" s="6"/>
      <c r="B820" s="37"/>
      <c r="C820" s="33"/>
    </row>
    <row r="821" spans="1:3" ht="15.75">
      <c r="A821" s="6"/>
      <c r="B821" s="37"/>
      <c r="C821" s="33"/>
    </row>
    <row r="822" spans="1:3" ht="15.75">
      <c r="A822" s="6"/>
      <c r="B822" s="37"/>
      <c r="C822" s="33"/>
    </row>
    <row r="823" spans="1:3" ht="15.75">
      <c r="A823" s="6"/>
      <c r="B823" s="37"/>
      <c r="C823" s="33"/>
    </row>
    <row r="824" spans="1:3" ht="15.75">
      <c r="A824" s="6"/>
      <c r="B824" s="37"/>
      <c r="C824" s="33"/>
    </row>
    <row r="825" spans="1:3" ht="15.75">
      <c r="A825" s="6"/>
      <c r="B825" s="37"/>
      <c r="C825" s="33"/>
    </row>
    <row r="826" spans="1:3" ht="15.75">
      <c r="A826" s="6"/>
      <c r="B826" s="37"/>
      <c r="C826" s="33"/>
    </row>
    <row r="827" spans="1:3" ht="15.75">
      <c r="A827" s="6"/>
      <c r="B827" s="37"/>
      <c r="C827" s="33"/>
    </row>
    <row r="828" spans="1:3" ht="15.75">
      <c r="A828" s="6"/>
      <c r="B828" s="37"/>
      <c r="C828" s="33"/>
    </row>
    <row r="829" spans="1:3" ht="15.75">
      <c r="A829" s="6"/>
      <c r="B829" s="37"/>
      <c r="C829" s="33"/>
    </row>
    <row r="830" spans="1:3" ht="15.75">
      <c r="A830" s="6"/>
      <c r="B830" s="37"/>
      <c r="C830" s="33"/>
    </row>
    <row r="831" spans="1:3" ht="15.75">
      <c r="A831" s="6"/>
      <c r="B831" s="37"/>
      <c r="C831" s="33"/>
    </row>
    <row r="832" spans="1:3" ht="15.75">
      <c r="A832" s="6"/>
      <c r="B832" s="37"/>
      <c r="C832" s="33"/>
    </row>
    <row r="833" spans="1:3" ht="15.75">
      <c r="A833" s="6"/>
      <c r="B833" s="37"/>
      <c r="C833" s="33"/>
    </row>
    <row r="834" spans="1:3" ht="15.75">
      <c r="A834" s="6"/>
      <c r="B834" s="37"/>
      <c r="C834" s="33"/>
    </row>
    <row r="835" spans="1:3" ht="15.75">
      <c r="A835" s="6"/>
      <c r="B835" s="37"/>
      <c r="C835" s="33"/>
    </row>
    <row r="836" spans="1:3" ht="15.75">
      <c r="A836" s="6"/>
      <c r="B836" s="37"/>
      <c r="C836" s="33"/>
    </row>
    <row r="837" spans="1:3" ht="15.75">
      <c r="A837" s="6"/>
      <c r="B837" s="37"/>
      <c r="C837" s="33"/>
    </row>
    <row r="838" spans="1:3" ht="15.75">
      <c r="A838" s="6"/>
      <c r="B838" s="37"/>
      <c r="C838" s="33"/>
    </row>
    <row r="839" spans="1:3" ht="15.75">
      <c r="A839" s="6"/>
      <c r="B839" s="37"/>
      <c r="C839" s="33"/>
    </row>
    <row r="840" spans="1:3" ht="15.75">
      <c r="A840" s="6"/>
      <c r="B840" s="37"/>
      <c r="C840" s="33"/>
    </row>
    <row r="841" spans="1:3" ht="15.75">
      <c r="A841" s="6"/>
      <c r="B841" s="37"/>
      <c r="C841" s="33"/>
    </row>
    <row r="842" spans="1:3" ht="15.75">
      <c r="A842" s="6"/>
      <c r="B842" s="37"/>
      <c r="C842" s="33"/>
    </row>
    <row r="843" spans="1:3" ht="15.75">
      <c r="A843" s="6"/>
      <c r="B843" s="37"/>
      <c r="C843" s="33"/>
    </row>
    <row r="844" spans="1:3" ht="15.75">
      <c r="A844" s="6"/>
      <c r="B844" s="37"/>
      <c r="C844" s="33"/>
    </row>
    <row r="845" spans="1:3" ht="15.75">
      <c r="A845" s="6"/>
      <c r="B845" s="37"/>
      <c r="C845" s="33"/>
    </row>
    <row r="846" spans="1:3" ht="15.75">
      <c r="A846" s="6"/>
      <c r="B846" s="37"/>
      <c r="C846" s="33"/>
    </row>
    <row r="847" spans="1:3" ht="15.75">
      <c r="A847" s="6"/>
      <c r="B847" s="37"/>
      <c r="C847" s="33"/>
    </row>
    <row r="848" spans="1:3" ht="15.75">
      <c r="A848" s="6"/>
      <c r="B848" s="37"/>
      <c r="C848" s="33"/>
    </row>
    <row r="849" spans="1:3" ht="15.75">
      <c r="A849" s="6"/>
      <c r="B849" s="37"/>
      <c r="C849" s="33"/>
    </row>
    <row r="850" spans="1:3" ht="15.75">
      <c r="A850" s="6"/>
      <c r="B850" s="37"/>
      <c r="C850" s="33"/>
    </row>
    <row r="851" spans="1:3" ht="15.75">
      <c r="A851" s="6"/>
      <c r="B851" s="37"/>
      <c r="C851" s="33"/>
    </row>
    <row r="852" spans="1:3" ht="15.75">
      <c r="A852" s="6"/>
      <c r="B852" s="37"/>
      <c r="C852" s="33"/>
    </row>
    <row r="853" spans="1:3" ht="15.75">
      <c r="A853" s="6"/>
      <c r="B853" s="37"/>
      <c r="C853" s="33"/>
    </row>
    <row r="854" spans="1:3" ht="15.75">
      <c r="A854" s="6"/>
      <c r="B854" s="37"/>
      <c r="C854" s="33"/>
    </row>
    <row r="855" spans="1:3" ht="15.75">
      <c r="A855" s="6"/>
      <c r="B855" s="37"/>
      <c r="C855" s="33"/>
    </row>
    <row r="856" spans="1:3" ht="15.75">
      <c r="A856" s="6"/>
      <c r="B856" s="37"/>
      <c r="C856" s="33"/>
    </row>
    <row r="857" spans="1:3" ht="15.75">
      <c r="A857" s="6"/>
      <c r="B857" s="37"/>
      <c r="C857" s="33"/>
    </row>
    <row r="858" spans="1:3" ht="15.75">
      <c r="A858" s="6"/>
      <c r="B858" s="37"/>
      <c r="C858" s="33"/>
    </row>
    <row r="859" spans="1:3" ht="15.75">
      <c r="A859" s="6"/>
      <c r="B859" s="37"/>
      <c r="C859" s="33"/>
    </row>
    <row r="860" spans="1:3" ht="15.75">
      <c r="A860" s="6"/>
      <c r="B860" s="37"/>
      <c r="C860" s="33"/>
    </row>
    <row r="861" spans="1:3" ht="15.75">
      <c r="A861" s="6"/>
      <c r="B861" s="37"/>
      <c r="C861" s="33"/>
    </row>
    <row r="862" spans="1:3" ht="15.75">
      <c r="A862" s="6"/>
      <c r="B862" s="37"/>
      <c r="C862" s="33"/>
    </row>
    <row r="863" spans="1:3" ht="15.75">
      <c r="A863" s="6"/>
      <c r="B863" s="37"/>
      <c r="C863" s="33"/>
    </row>
    <row r="864" spans="1:3" ht="15.75">
      <c r="A864" s="6"/>
      <c r="B864" s="37"/>
      <c r="C864" s="33"/>
    </row>
    <row r="865" spans="1:3" ht="15.75">
      <c r="A865" s="6"/>
      <c r="B865" s="37"/>
      <c r="C865" s="33"/>
    </row>
    <row r="866" spans="1:3" ht="15.75">
      <c r="A866" s="6"/>
      <c r="B866" s="37"/>
      <c r="C866" s="33"/>
    </row>
    <row r="867" spans="1:3" ht="15.75">
      <c r="A867" s="6"/>
      <c r="B867" s="37"/>
      <c r="C867" s="33"/>
    </row>
    <row r="868" spans="1:3" ht="15.75">
      <c r="A868" s="6"/>
      <c r="B868" s="37"/>
      <c r="C868" s="33"/>
    </row>
    <row r="869" spans="1:3" ht="15.75">
      <c r="A869" s="6"/>
      <c r="B869" s="37"/>
      <c r="C869" s="33"/>
    </row>
    <row r="870" spans="1:3" ht="15.75">
      <c r="A870" s="6"/>
      <c r="B870" s="37"/>
      <c r="C870" s="33"/>
    </row>
    <row r="871" spans="1:3" ht="15.75">
      <c r="A871" s="6"/>
      <c r="B871" s="37"/>
      <c r="C871" s="33"/>
    </row>
    <row r="872" spans="1:3" ht="15.75">
      <c r="A872" s="6"/>
      <c r="B872" s="37"/>
      <c r="C872" s="33"/>
    </row>
    <row r="873" spans="1:3" ht="15.75">
      <c r="A873" s="6"/>
      <c r="B873" s="37"/>
      <c r="C873" s="33"/>
    </row>
    <row r="874" spans="1:3" ht="15.75">
      <c r="A874" s="6"/>
      <c r="B874" s="37"/>
      <c r="C874" s="33"/>
    </row>
    <row r="875" spans="1:3" ht="15.75">
      <c r="A875" s="6"/>
      <c r="B875" s="37"/>
      <c r="C875" s="33"/>
    </row>
    <row r="876" spans="1:3" ht="15.75">
      <c r="A876" s="6"/>
      <c r="B876" s="37"/>
      <c r="C876" s="33"/>
    </row>
    <row r="877" spans="1:3" ht="15.75">
      <c r="A877" s="6"/>
      <c r="B877" s="37"/>
      <c r="C877" s="33"/>
    </row>
    <row r="878" spans="1:3" ht="15.75">
      <c r="A878" s="6"/>
      <c r="B878" s="37"/>
      <c r="C878" s="33"/>
    </row>
    <row r="879" spans="1:3" ht="15.75">
      <c r="A879" s="6"/>
      <c r="B879" s="37"/>
      <c r="C879" s="33"/>
    </row>
    <row r="880" spans="1:3" ht="15.75">
      <c r="A880" s="6"/>
      <c r="B880" s="37"/>
      <c r="C880" s="33"/>
    </row>
    <row r="881" spans="1:3" ht="15.75">
      <c r="A881" s="6"/>
      <c r="B881" s="37"/>
      <c r="C881" s="33"/>
    </row>
    <row r="882" spans="1:3" ht="15.75">
      <c r="A882" s="6"/>
      <c r="B882" s="37"/>
      <c r="C882" s="33"/>
    </row>
    <row r="883" spans="1:3" ht="15.75">
      <c r="A883" s="6"/>
      <c r="B883" s="37"/>
      <c r="C883" s="33"/>
    </row>
    <row r="884" spans="1:3" ht="15.75">
      <c r="A884" s="6"/>
      <c r="B884" s="37"/>
      <c r="C884" s="33"/>
    </row>
    <row r="885" spans="1:3" ht="15.75">
      <c r="A885" s="6"/>
      <c r="B885" s="37"/>
      <c r="C885" s="33"/>
    </row>
    <row r="886" spans="1:3" ht="15.75">
      <c r="A886" s="6"/>
      <c r="B886" s="37"/>
      <c r="C886" s="33"/>
    </row>
    <row r="887" spans="1:3" ht="15.75">
      <c r="A887" s="6"/>
      <c r="B887" s="37"/>
      <c r="C887" s="33"/>
    </row>
    <row r="888" spans="1:3" ht="15.75">
      <c r="A888" s="6"/>
      <c r="B888" s="37"/>
      <c r="C888" s="33"/>
    </row>
    <row r="889" spans="1:3" ht="15.75">
      <c r="A889" s="6"/>
      <c r="B889" s="37"/>
      <c r="C889" s="33"/>
    </row>
    <row r="890" spans="1:3" ht="15.75">
      <c r="A890" s="6"/>
      <c r="B890" s="37"/>
      <c r="C890" s="33"/>
    </row>
    <row r="891" spans="1:3" ht="15.75">
      <c r="A891" s="6"/>
      <c r="B891" s="37"/>
      <c r="C891" s="33"/>
    </row>
    <row r="892" spans="1:3" ht="15.75">
      <c r="A892" s="6"/>
      <c r="B892" s="37"/>
      <c r="C892" s="33"/>
    </row>
    <row r="893" spans="1:3" ht="15.75">
      <c r="A893" s="6"/>
      <c r="B893" s="37"/>
      <c r="C893" s="33"/>
    </row>
    <row r="894" spans="1:3" ht="15.75">
      <c r="A894" s="6"/>
      <c r="B894" s="37"/>
      <c r="C894" s="33"/>
    </row>
    <row r="895" spans="1:3" ht="15.75">
      <c r="A895" s="6"/>
      <c r="B895" s="37"/>
      <c r="C895" s="33"/>
    </row>
    <row r="896" spans="1:3" ht="15.75">
      <c r="A896" s="6"/>
      <c r="B896" s="37"/>
      <c r="C896" s="33"/>
    </row>
    <row r="897" spans="1:3" ht="15.75">
      <c r="A897" s="6"/>
      <c r="B897" s="37"/>
      <c r="C897" s="33"/>
    </row>
    <row r="898" spans="1:3" ht="15.75">
      <c r="A898" s="6"/>
      <c r="B898" s="37"/>
      <c r="C898" s="33"/>
    </row>
    <row r="899" spans="1:3" ht="15.75">
      <c r="A899" s="6"/>
      <c r="B899" s="37"/>
      <c r="C899" s="33"/>
    </row>
    <row r="900" spans="1:3" ht="15.75">
      <c r="A900" s="6"/>
      <c r="B900" s="37"/>
      <c r="C900" s="33"/>
    </row>
    <row r="901" spans="1:3" ht="15.75">
      <c r="A901" s="6"/>
      <c r="B901" s="37"/>
      <c r="C901" s="33"/>
    </row>
    <row r="902" spans="1:3" ht="15.75">
      <c r="A902" s="6"/>
      <c r="B902" s="37"/>
      <c r="C902" s="33"/>
    </row>
    <row r="903" spans="1:3" ht="15.75">
      <c r="A903" s="6"/>
      <c r="B903" s="37"/>
      <c r="C903" s="33"/>
    </row>
    <row r="904" spans="1:3" ht="15.75">
      <c r="A904" s="6"/>
      <c r="B904" s="37"/>
      <c r="C904" s="33"/>
    </row>
    <row r="905" spans="1:3" ht="15.75">
      <c r="A905" s="6"/>
      <c r="B905" s="37"/>
      <c r="C905" s="33"/>
    </row>
    <row r="906" spans="1:3" ht="15.75">
      <c r="A906" s="6"/>
      <c r="B906" s="37"/>
      <c r="C906" s="33"/>
    </row>
    <row r="907" spans="1:3" ht="15.75">
      <c r="A907" s="6"/>
      <c r="B907" s="37"/>
      <c r="C907" s="33"/>
    </row>
    <row r="908" spans="1:3" ht="15.75">
      <c r="A908" s="6"/>
      <c r="B908" s="37"/>
      <c r="C908" s="33"/>
    </row>
    <row r="909" spans="1:3" ht="15.75">
      <c r="A909" s="6"/>
      <c r="B909" s="37"/>
      <c r="C909" s="33"/>
    </row>
    <row r="910" spans="1:3" ht="15.75">
      <c r="A910" s="6"/>
      <c r="B910" s="37"/>
      <c r="C910" s="33"/>
    </row>
    <row r="911" spans="1:3" ht="15.75">
      <c r="A911" s="6"/>
      <c r="B911" s="37"/>
      <c r="C911" s="33"/>
    </row>
    <row r="912" spans="1:3" ht="15.75">
      <c r="A912" s="6"/>
      <c r="B912" s="37"/>
      <c r="C912" s="33"/>
    </row>
    <row r="913" spans="1:3" ht="15.75">
      <c r="A913" s="6"/>
      <c r="B913" s="37"/>
      <c r="C913" s="33"/>
    </row>
    <row r="914" spans="1:3" ht="15.75">
      <c r="A914" s="6"/>
      <c r="B914" s="37"/>
      <c r="C914" s="33"/>
    </row>
    <row r="915" spans="1:3" ht="15.75">
      <c r="A915" s="6"/>
      <c r="B915" s="37"/>
      <c r="C915" s="33"/>
    </row>
    <row r="916" spans="1:3" ht="15.75">
      <c r="A916" s="6"/>
      <c r="B916" s="37"/>
      <c r="C916" s="33"/>
    </row>
    <row r="917" spans="1:3" ht="15.75">
      <c r="A917" s="6"/>
      <c r="B917" s="37"/>
      <c r="C917" s="33"/>
    </row>
    <row r="918" spans="1:3" ht="15.75">
      <c r="A918" s="6"/>
      <c r="B918" s="37"/>
      <c r="C918" s="33"/>
    </row>
    <row r="919" spans="1:3" ht="15.75">
      <c r="A919" s="6"/>
      <c r="B919" s="37"/>
      <c r="C919" s="33"/>
    </row>
    <row r="920" spans="1:3" ht="15.75">
      <c r="A920" s="6"/>
      <c r="B920" s="37"/>
      <c r="C920" s="33"/>
    </row>
    <row r="921" spans="1:3" ht="15.75">
      <c r="A921" s="6"/>
      <c r="B921" s="37"/>
      <c r="C921" s="33"/>
    </row>
    <row r="922" spans="1:3" ht="15.75">
      <c r="A922" s="6"/>
      <c r="B922" s="37"/>
      <c r="C922" s="33"/>
    </row>
    <row r="923" spans="1:3" ht="15.75">
      <c r="A923" s="6"/>
      <c r="B923" s="37"/>
      <c r="C923" s="33"/>
    </row>
    <row r="924" spans="1:3" ht="15.75">
      <c r="A924" s="6"/>
      <c r="B924" s="37"/>
      <c r="C924" s="33"/>
    </row>
    <row r="925" spans="1:3" ht="15.75">
      <c r="A925" s="6"/>
      <c r="B925" s="37"/>
      <c r="C925" s="33"/>
    </row>
    <row r="926" spans="1:3" ht="15.75">
      <c r="A926" s="6"/>
      <c r="B926" s="37"/>
      <c r="C926" s="33"/>
    </row>
    <row r="927" spans="1:3" ht="15.75">
      <c r="A927" s="6"/>
      <c r="B927" s="37"/>
      <c r="C927" s="33"/>
    </row>
    <row r="928" spans="1:3" ht="15.75">
      <c r="A928" s="6"/>
      <c r="B928" s="37"/>
      <c r="C928" s="33"/>
    </row>
    <row r="929" spans="1:3" ht="15.75">
      <c r="A929" s="6"/>
      <c r="B929" s="37"/>
      <c r="C929" s="33"/>
    </row>
    <row r="930" spans="1:3" ht="15.75">
      <c r="A930" s="6"/>
      <c r="B930" s="37"/>
      <c r="C930" s="33"/>
    </row>
    <row r="931" spans="1:3" ht="15.75">
      <c r="A931" s="6"/>
      <c r="B931" s="37"/>
      <c r="C931" s="33"/>
    </row>
    <row r="932" spans="1:3" ht="15.75">
      <c r="A932" s="6"/>
      <c r="B932" s="37"/>
      <c r="C932" s="33"/>
    </row>
    <row r="933" spans="1:3" ht="15.75">
      <c r="A933" s="6"/>
      <c r="B933" s="37"/>
      <c r="C933" s="33"/>
    </row>
    <row r="934" spans="1:3" ht="15.75">
      <c r="A934" s="6"/>
      <c r="B934" s="37"/>
      <c r="C934" s="33"/>
    </row>
    <row r="935" spans="1:3" ht="15.75">
      <c r="A935" s="6"/>
      <c r="B935" s="37"/>
      <c r="C935" s="33"/>
    </row>
    <row r="936" spans="1:3" ht="15.75">
      <c r="A936" s="6"/>
      <c r="B936" s="37"/>
      <c r="C936" s="33"/>
    </row>
    <row r="937" spans="1:3" ht="15.75">
      <c r="A937" s="6"/>
      <c r="B937" s="37"/>
      <c r="C937" s="33"/>
    </row>
    <row r="938" spans="1:3" ht="15.75">
      <c r="A938" s="6"/>
      <c r="B938" s="37"/>
      <c r="C938" s="33"/>
    </row>
    <row r="939" spans="1:3" ht="15.75">
      <c r="A939" s="6"/>
      <c r="B939" s="37"/>
      <c r="C939" s="33"/>
    </row>
    <row r="940" spans="1:3" ht="15.75">
      <c r="A940" s="6"/>
      <c r="B940" s="37"/>
      <c r="C940" s="33"/>
    </row>
    <row r="941" spans="1:3" ht="15.75">
      <c r="A941" s="6"/>
      <c r="B941" s="37"/>
      <c r="C941" s="33"/>
    </row>
    <row r="942" spans="1:3" ht="15.75">
      <c r="A942" s="6"/>
      <c r="B942" s="37"/>
      <c r="C942" s="33"/>
    </row>
    <row r="943" spans="1:3" ht="15.75">
      <c r="A943" s="6"/>
      <c r="B943" s="37"/>
      <c r="C943" s="33"/>
    </row>
    <row r="944" spans="1:3" ht="15.75">
      <c r="A944" s="6"/>
      <c r="B944" s="37"/>
      <c r="C944" s="33"/>
    </row>
    <row r="945" spans="1:3" ht="15.75">
      <c r="A945" s="6"/>
      <c r="B945" s="37"/>
      <c r="C945" s="33"/>
    </row>
    <row r="946" spans="1:3" ht="15.75">
      <c r="A946" s="6"/>
      <c r="B946" s="37"/>
      <c r="C946" s="33"/>
    </row>
    <row r="947" spans="1:3" ht="15.75">
      <c r="A947" s="6"/>
      <c r="B947" s="37"/>
      <c r="C947" s="33"/>
    </row>
    <row r="948" spans="1:3" ht="15.75">
      <c r="A948" s="6"/>
      <c r="B948" s="37"/>
      <c r="C948" s="33"/>
    </row>
    <row r="949" spans="1:3" ht="15.75">
      <c r="A949" s="6"/>
      <c r="B949" s="37"/>
      <c r="C949" s="33"/>
    </row>
    <row r="950" spans="1:3" ht="15.75">
      <c r="A950" s="6"/>
      <c r="B950" s="37"/>
      <c r="C950" s="33"/>
    </row>
    <row r="951" spans="1:3" ht="15.75">
      <c r="A951" s="6"/>
      <c r="B951" s="37"/>
      <c r="C951" s="33"/>
    </row>
    <row r="952" spans="1:3" ht="15.75">
      <c r="A952" s="6"/>
      <c r="B952" s="37"/>
      <c r="C952" s="33"/>
    </row>
    <row r="953" spans="1:3" ht="15.75">
      <c r="A953" s="6"/>
      <c r="B953" s="37"/>
      <c r="C953" s="33"/>
    </row>
    <row r="954" spans="1:3" ht="15.75">
      <c r="A954" s="6"/>
      <c r="B954" s="37"/>
      <c r="C954" s="33"/>
    </row>
    <row r="955" spans="1:3" ht="15.75">
      <c r="A955" s="6"/>
      <c r="B955" s="37"/>
      <c r="C955" s="33"/>
    </row>
    <row r="956" spans="1:3" ht="15.75">
      <c r="A956" s="6"/>
      <c r="B956" s="37"/>
      <c r="C956" s="33"/>
    </row>
    <row r="957" spans="1:3" ht="15.75">
      <c r="A957" s="6"/>
      <c r="B957" s="37"/>
      <c r="C957" s="33"/>
    </row>
    <row r="958" spans="1:3" ht="15.75">
      <c r="A958" s="6"/>
      <c r="B958" s="37"/>
      <c r="C958" s="33"/>
    </row>
    <row r="959" spans="1:3" ht="15.75">
      <c r="A959" s="6"/>
      <c r="B959" s="37"/>
      <c r="C959" s="33"/>
    </row>
    <row r="960" spans="1:3" ht="15.75">
      <c r="A960" s="6"/>
      <c r="B960" s="37"/>
      <c r="C960" s="33"/>
    </row>
    <row r="961" spans="1:3" ht="15.75">
      <c r="A961" s="6"/>
      <c r="B961" s="37"/>
      <c r="C961" s="33"/>
    </row>
    <row r="962" spans="1:3" ht="15.75">
      <c r="A962" s="6"/>
      <c r="B962" s="37"/>
      <c r="C962" s="33"/>
    </row>
    <row r="963" spans="1:3" ht="15.75">
      <c r="A963" s="6"/>
      <c r="B963" s="37"/>
      <c r="C963" s="33"/>
    </row>
    <row r="964" spans="1:3" ht="15.75">
      <c r="A964" s="6"/>
      <c r="B964" s="37"/>
      <c r="C964" s="33"/>
    </row>
    <row r="965" spans="1:3" ht="15.75">
      <c r="A965" s="6"/>
      <c r="B965" s="37"/>
      <c r="C965" s="33"/>
    </row>
    <row r="966" spans="1:3" ht="15.75">
      <c r="A966" s="6"/>
      <c r="B966" s="37"/>
      <c r="C966" s="33"/>
    </row>
    <row r="967" spans="1:3" ht="15.75">
      <c r="A967" s="6"/>
      <c r="B967" s="37"/>
      <c r="C967" s="33"/>
    </row>
    <row r="968" spans="1:3" ht="15.75">
      <c r="A968" s="6"/>
      <c r="B968" s="37"/>
      <c r="C968" s="33"/>
    </row>
    <row r="969" spans="1:3" ht="15.75">
      <c r="A969" s="6"/>
      <c r="B969" s="37"/>
      <c r="C969" s="33"/>
    </row>
    <row r="970" spans="1:3" ht="15.75">
      <c r="A970" s="6"/>
      <c r="B970" s="37"/>
      <c r="C970" s="33"/>
    </row>
    <row r="971" spans="1:3" ht="15.75">
      <c r="A971" s="6"/>
      <c r="B971" s="37"/>
      <c r="C971" s="33"/>
    </row>
    <row r="972" spans="1:3" ht="15.75">
      <c r="A972" s="6"/>
      <c r="B972" s="37"/>
      <c r="C972" s="33"/>
    </row>
    <row r="973" spans="1:3" ht="15.75">
      <c r="A973" s="6"/>
      <c r="B973" s="37"/>
      <c r="C973" s="33"/>
    </row>
    <row r="974" spans="1:3" ht="15.75">
      <c r="A974" s="6"/>
      <c r="B974" s="37"/>
      <c r="C974" s="33"/>
    </row>
    <row r="975" spans="1:3" ht="15.75">
      <c r="A975" s="6"/>
      <c r="B975" s="37"/>
      <c r="C975" s="33"/>
    </row>
    <row r="976" spans="1:3" ht="15.75">
      <c r="A976" s="6"/>
      <c r="B976" s="37"/>
      <c r="C976" s="33"/>
    </row>
    <row r="977" spans="1:3" ht="15.75">
      <c r="A977" s="6"/>
      <c r="B977" s="37"/>
      <c r="C977" s="33"/>
    </row>
    <row r="978" spans="1:3" ht="15.75">
      <c r="A978" s="6"/>
      <c r="B978" s="37"/>
      <c r="C978" s="33"/>
    </row>
    <row r="979" spans="1:3" ht="15.75">
      <c r="A979" s="6"/>
      <c r="B979" s="37"/>
      <c r="C979" s="33"/>
    </row>
    <row r="980" spans="1:3" ht="15.75">
      <c r="A980" s="6"/>
      <c r="B980" s="37"/>
      <c r="C980" s="33"/>
    </row>
    <row r="981" spans="1:3" ht="15.75">
      <c r="A981" s="6"/>
      <c r="B981" s="37"/>
      <c r="C981" s="33"/>
    </row>
    <row r="982" spans="1:3" ht="15.75">
      <c r="A982" s="6"/>
      <c r="B982" s="37"/>
      <c r="C982" s="33"/>
    </row>
  </sheetData>
  <sortState ref="M25:N39">
    <sortCondition ref="N24"/>
  </sortState>
  <mergeCells count="19">
    <mergeCell ref="E6:F6"/>
    <mergeCell ref="D24:D47"/>
    <mergeCell ref="D7:D21"/>
    <mergeCell ref="S6:T6"/>
    <mergeCell ref="U6:V6"/>
    <mergeCell ref="W6:X6"/>
    <mergeCell ref="E23:F23"/>
    <mergeCell ref="G23:H23"/>
    <mergeCell ref="I23:J23"/>
    <mergeCell ref="K23:L23"/>
    <mergeCell ref="M23:N23"/>
    <mergeCell ref="O23:P23"/>
    <mergeCell ref="Q23:R23"/>
    <mergeCell ref="G6:H6"/>
    <mergeCell ref="I6:J6"/>
    <mergeCell ref="K6:L6"/>
    <mergeCell ref="M6:N6"/>
    <mergeCell ref="O6:P6"/>
    <mergeCell ref="Q6:R6"/>
  </mergeCells>
  <conditionalFormatting sqref="Q23">
    <cfRule type="expression" dxfId="2400" priority="5">
      <formula>$A23="X"</formula>
    </cfRule>
  </conditionalFormatting>
  <conditionalFormatting sqref="R24">
    <cfRule type="expression" dxfId="2399" priority="4">
      <formula>$A24="X"</formula>
    </cfRule>
  </conditionalFormatting>
  <conditionalFormatting sqref="R7">
    <cfRule type="expression" dxfId="2398" priority="3">
      <formula>$A7="X"</formula>
    </cfRule>
  </conditionalFormatting>
  <conditionalFormatting sqref="W6">
    <cfRule type="expression" dxfId="2397" priority="2">
      <formula>$A6="X"</formula>
    </cfRule>
  </conditionalFormatting>
  <conditionalFormatting sqref="X7">
    <cfRule type="expression" dxfId="2396" priority="1">
      <formula>$A7="X"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H979"/>
  <sheetViews>
    <sheetView showGridLines="0" zoomScale="80" zoomScaleNormal="80" workbookViewId="0">
      <selection activeCell="D36" sqref="D36"/>
    </sheetView>
  </sheetViews>
  <sheetFormatPr defaultRowHeight="15"/>
  <cols>
    <col min="1" max="1" width="1.42578125" style="7" customWidth="1"/>
    <col min="2" max="2" width="1.42578125" style="40" customWidth="1"/>
    <col min="3" max="3" width="1.7109375" style="3" customWidth="1"/>
    <col min="4" max="4" width="52.7109375" customWidth="1"/>
    <col min="5" max="5" width="59.7109375" bestFit="1" customWidth="1"/>
    <col min="6" max="6" width="52.7109375" customWidth="1"/>
    <col min="8" max="8" width="11.42578125" customWidth="1"/>
    <col min="9" max="9" width="12.85546875" customWidth="1"/>
    <col min="10" max="10" width="10.7109375" bestFit="1" customWidth="1"/>
    <col min="11" max="11" width="28.140625" customWidth="1"/>
    <col min="13" max="13" width="11.42578125" customWidth="1"/>
    <col min="14" max="14" width="12.85546875" customWidth="1"/>
    <col min="15" max="15" width="10.7109375" bestFit="1" customWidth="1"/>
    <col min="16" max="16" width="28.140625" customWidth="1"/>
  </cols>
  <sheetData>
    <row r="1" spans="1:8">
      <c r="A1" s="32"/>
      <c r="B1" s="39"/>
    </row>
    <row r="2" spans="1:8">
      <c r="A2" s="6"/>
      <c r="B2" s="39"/>
    </row>
    <row r="3" spans="1:8">
      <c r="A3" s="6"/>
      <c r="B3" s="39"/>
    </row>
    <row r="4" spans="1:8">
      <c r="A4" s="6"/>
      <c r="B4" s="39"/>
    </row>
    <row r="5" spans="1:8">
      <c r="A5" s="6"/>
      <c r="B5" s="39"/>
    </row>
    <row r="6" spans="1:8">
      <c r="A6" s="6"/>
      <c r="B6" s="39"/>
    </row>
    <row r="7" spans="1:8" ht="16.5" thickBot="1">
      <c r="A7" s="6"/>
      <c r="B7" s="37"/>
    </row>
    <row r="8" spans="1:8" ht="16.5" thickBot="1">
      <c r="A8" s="42"/>
      <c r="B8" s="41"/>
      <c r="C8" s="33"/>
      <c r="D8" s="317" t="s">
        <v>11</v>
      </c>
      <c r="E8" s="317" t="s">
        <v>12</v>
      </c>
      <c r="F8" s="317" t="s">
        <v>15</v>
      </c>
      <c r="H8" s="310"/>
    </row>
    <row r="9" spans="1:8" ht="15.75">
      <c r="A9" s="6"/>
      <c r="B9" s="37"/>
      <c r="C9" s="33"/>
      <c r="D9" s="56" t="s">
        <v>394</v>
      </c>
      <c r="E9" s="56" t="s">
        <v>1250</v>
      </c>
      <c r="F9" s="56" t="s">
        <v>2865</v>
      </c>
    </row>
    <row r="10" spans="1:8" ht="15.75">
      <c r="A10" s="6"/>
      <c r="B10" s="37"/>
      <c r="C10" s="33"/>
      <c r="D10" s="4" t="s">
        <v>398</v>
      </c>
      <c r="E10" s="4" t="s">
        <v>2893</v>
      </c>
      <c r="F10" s="4" t="s">
        <v>2895</v>
      </c>
    </row>
    <row r="11" spans="1:8" ht="15.75">
      <c r="A11" s="6"/>
      <c r="B11" s="37"/>
      <c r="C11" s="33"/>
      <c r="D11" s="4" t="s">
        <v>403</v>
      </c>
      <c r="E11" s="4" t="s">
        <v>2894</v>
      </c>
      <c r="F11" s="4" t="s">
        <v>2865</v>
      </c>
    </row>
    <row r="12" spans="1:8" ht="15.75">
      <c r="A12" s="6"/>
      <c r="B12" s="37"/>
      <c r="C12" s="33"/>
      <c r="D12" s="4" t="s">
        <v>405</v>
      </c>
      <c r="E12" s="4" t="s">
        <v>1251</v>
      </c>
      <c r="F12" s="4" t="s">
        <v>2866</v>
      </c>
    </row>
    <row r="13" spans="1:8" ht="15.75">
      <c r="A13" s="6"/>
      <c r="B13" s="37"/>
      <c r="C13" s="33"/>
      <c r="D13" s="4" t="s">
        <v>396</v>
      </c>
      <c r="E13" s="4">
        <v>264</v>
      </c>
      <c r="F13" s="4">
        <v>1</v>
      </c>
    </row>
    <row r="14" spans="1:8" ht="15.75">
      <c r="A14" s="6"/>
      <c r="B14" s="37"/>
      <c r="C14" s="33"/>
      <c r="D14" s="4" t="s">
        <v>399</v>
      </c>
      <c r="E14" s="4">
        <v>372</v>
      </c>
      <c r="F14" s="4">
        <v>1</v>
      </c>
    </row>
    <row r="15" spans="1:8" ht="15.75">
      <c r="A15" s="6"/>
      <c r="B15" s="37"/>
      <c r="C15" s="33"/>
      <c r="D15" s="4" t="s">
        <v>395</v>
      </c>
      <c r="E15" s="4">
        <v>171</v>
      </c>
      <c r="F15" s="4">
        <v>1</v>
      </c>
    </row>
    <row r="16" spans="1:8" ht="15.75">
      <c r="A16" s="6"/>
      <c r="B16" s="37"/>
      <c r="C16" s="33"/>
      <c r="D16" s="4" t="s">
        <v>1253</v>
      </c>
      <c r="E16" s="4" t="s">
        <v>1254</v>
      </c>
      <c r="F16" s="4" t="s">
        <v>2865</v>
      </c>
    </row>
    <row r="17" spans="1:6" ht="15.75">
      <c r="A17" s="6"/>
      <c r="B17" s="37"/>
      <c r="C17" s="33"/>
      <c r="D17" s="4" t="s">
        <v>1255</v>
      </c>
      <c r="E17" s="4" t="s">
        <v>2889</v>
      </c>
      <c r="F17" s="4" t="s">
        <v>2890</v>
      </c>
    </row>
    <row r="18" spans="1:6" ht="16.5" thickBot="1">
      <c r="A18" s="6"/>
      <c r="B18" s="37"/>
      <c r="C18" s="33"/>
      <c r="D18" s="5" t="s">
        <v>1256</v>
      </c>
      <c r="E18" s="5" t="s">
        <v>2891</v>
      </c>
      <c r="F18" s="5" t="s">
        <v>2892</v>
      </c>
    </row>
    <row r="19" spans="1:6" ht="15.75">
      <c r="A19" s="6"/>
      <c r="B19" s="37"/>
      <c r="C19" s="33"/>
      <c r="D19" s="2"/>
      <c r="E19" s="2"/>
      <c r="F19" s="2"/>
    </row>
    <row r="20" spans="1:6" ht="15.75">
      <c r="A20" s="6"/>
      <c r="B20" s="37"/>
      <c r="C20" s="33"/>
      <c r="D20" s="2"/>
      <c r="E20" s="2"/>
      <c r="F20" s="2"/>
    </row>
    <row r="21" spans="1:6" ht="15.75">
      <c r="A21" s="6"/>
      <c r="B21" s="37"/>
      <c r="C21" s="33"/>
      <c r="D21" s="2"/>
      <c r="E21" s="2"/>
      <c r="F21" s="2"/>
    </row>
    <row r="22" spans="1:6" ht="15.75">
      <c r="A22" s="6"/>
      <c r="B22" s="37"/>
      <c r="C22" s="33"/>
      <c r="D22" s="2"/>
      <c r="E22" s="2"/>
      <c r="F22" s="2"/>
    </row>
    <row r="23" spans="1:6" ht="15.75">
      <c r="A23" s="6"/>
      <c r="B23" s="37"/>
      <c r="C23" s="33"/>
      <c r="D23" s="2"/>
      <c r="E23" s="2"/>
      <c r="F23" s="2"/>
    </row>
    <row r="24" spans="1:6" ht="15.75">
      <c r="A24" s="6"/>
      <c r="B24" s="37"/>
      <c r="C24" s="33"/>
      <c r="D24" s="2"/>
      <c r="E24" s="2"/>
      <c r="F24" s="2"/>
    </row>
    <row r="25" spans="1:6" ht="15.75">
      <c r="A25" s="6"/>
      <c r="B25" s="37"/>
      <c r="C25" s="33"/>
      <c r="D25" s="2"/>
      <c r="E25" s="2"/>
      <c r="F25" s="2"/>
    </row>
    <row r="26" spans="1:6" ht="15.75">
      <c r="A26" s="6"/>
      <c r="B26" s="37"/>
      <c r="C26" s="33"/>
      <c r="D26" s="2"/>
      <c r="E26" s="2"/>
      <c r="F26" s="2"/>
    </row>
    <row r="27" spans="1:6" ht="15.75">
      <c r="A27" s="6"/>
      <c r="B27" s="37"/>
      <c r="C27" s="33"/>
      <c r="D27" s="2"/>
      <c r="E27" s="2"/>
      <c r="F27" s="2"/>
    </row>
    <row r="28" spans="1:6" ht="15.75">
      <c r="A28" s="6"/>
      <c r="B28" s="37"/>
      <c r="C28" s="33"/>
      <c r="D28" s="2"/>
      <c r="E28" s="2"/>
      <c r="F28" s="2"/>
    </row>
    <row r="29" spans="1:6" ht="15.75">
      <c r="A29" s="6"/>
      <c r="B29" s="37"/>
      <c r="C29" s="33"/>
      <c r="D29" s="2"/>
      <c r="E29" s="2"/>
      <c r="F29" s="2"/>
    </row>
    <row r="30" spans="1:6" ht="15.75">
      <c r="A30" s="6"/>
      <c r="B30" s="37"/>
      <c r="C30" s="33"/>
    </row>
    <row r="31" spans="1:6" ht="15.75">
      <c r="A31" s="6"/>
      <c r="B31" s="37"/>
      <c r="C31" s="33"/>
    </row>
    <row r="32" spans="1:6" ht="15.75">
      <c r="A32" s="6"/>
      <c r="B32" s="37"/>
      <c r="C32" s="33"/>
    </row>
    <row r="33" spans="1:3" ht="15.75">
      <c r="A33" s="6"/>
      <c r="B33" s="37"/>
      <c r="C33" s="33"/>
    </row>
    <row r="34" spans="1:3" ht="15.75">
      <c r="A34" s="6"/>
      <c r="B34" s="37"/>
      <c r="C34" s="33"/>
    </row>
    <row r="35" spans="1:3" ht="15.75">
      <c r="A35" s="6"/>
      <c r="B35" s="37"/>
      <c r="C35" s="33"/>
    </row>
    <row r="36" spans="1:3" ht="15.75">
      <c r="A36" s="6"/>
      <c r="B36" s="37"/>
      <c r="C36" s="33"/>
    </row>
    <row r="37" spans="1:3" ht="15.75">
      <c r="A37" s="6"/>
      <c r="B37" s="37"/>
      <c r="C37" s="33"/>
    </row>
    <row r="38" spans="1:3" ht="15.75">
      <c r="A38" s="6"/>
      <c r="B38" s="37"/>
      <c r="C38" s="33"/>
    </row>
    <row r="39" spans="1:3" ht="15.75">
      <c r="A39" s="6"/>
      <c r="B39" s="37"/>
      <c r="C39" s="33"/>
    </row>
    <row r="40" spans="1:3" ht="15.75">
      <c r="A40" s="6"/>
      <c r="B40" s="37"/>
      <c r="C40" s="33"/>
    </row>
    <row r="41" spans="1:3" ht="15.75">
      <c r="A41" s="6"/>
      <c r="B41" s="37"/>
      <c r="C41" s="33"/>
    </row>
    <row r="42" spans="1:3" ht="15.75">
      <c r="A42" s="6"/>
      <c r="B42" s="37"/>
      <c r="C42" s="33"/>
    </row>
    <row r="43" spans="1:3" ht="15.75">
      <c r="A43" s="6"/>
      <c r="B43" s="37"/>
      <c r="C43" s="33"/>
    </row>
    <row r="44" spans="1:3" ht="15.75">
      <c r="A44" s="6"/>
      <c r="B44" s="37"/>
      <c r="C44" s="33"/>
    </row>
    <row r="45" spans="1:3" ht="15.75">
      <c r="A45" s="6"/>
      <c r="B45" s="37"/>
      <c r="C45" s="33"/>
    </row>
    <row r="46" spans="1:3" ht="15.75">
      <c r="A46" s="6"/>
      <c r="B46" s="37"/>
      <c r="C46" s="33"/>
    </row>
    <row r="47" spans="1:3" ht="15.75">
      <c r="A47" s="6"/>
      <c r="B47" s="37"/>
      <c r="C47" s="33"/>
    </row>
    <row r="48" spans="1:3" ht="15.75">
      <c r="A48" s="6"/>
      <c r="B48" s="37"/>
      <c r="C48" s="33"/>
    </row>
    <row r="49" spans="1:3" ht="15.75">
      <c r="A49" s="6"/>
      <c r="B49" s="37"/>
      <c r="C49" s="33"/>
    </row>
    <row r="50" spans="1:3" ht="15.75">
      <c r="A50" s="6"/>
      <c r="B50" s="37"/>
      <c r="C50" s="33"/>
    </row>
    <row r="51" spans="1:3" ht="15.75">
      <c r="A51" s="6"/>
      <c r="B51" s="37"/>
      <c r="C51" s="33"/>
    </row>
    <row r="52" spans="1:3" ht="15.75">
      <c r="A52" s="6"/>
      <c r="B52" s="37"/>
      <c r="C52" s="33"/>
    </row>
    <row r="53" spans="1:3" ht="15.75">
      <c r="A53" s="6"/>
      <c r="B53" s="37"/>
      <c r="C53" s="33"/>
    </row>
    <row r="54" spans="1:3" ht="15.75">
      <c r="A54" s="6"/>
      <c r="B54" s="37"/>
      <c r="C54" s="33"/>
    </row>
    <row r="55" spans="1:3" ht="15.75">
      <c r="A55" s="6"/>
      <c r="B55" s="37"/>
      <c r="C55" s="33"/>
    </row>
    <row r="56" spans="1:3" ht="15.75">
      <c r="A56" s="6"/>
      <c r="B56" s="37"/>
      <c r="C56" s="33"/>
    </row>
    <row r="57" spans="1:3" ht="15.75">
      <c r="A57" s="6"/>
      <c r="B57" s="37"/>
      <c r="C57" s="33"/>
    </row>
    <row r="58" spans="1:3" ht="15.75">
      <c r="A58" s="6"/>
      <c r="B58" s="37"/>
      <c r="C58" s="33"/>
    </row>
    <row r="59" spans="1:3" ht="15.75">
      <c r="A59" s="6"/>
      <c r="B59" s="37"/>
      <c r="C59" s="33"/>
    </row>
    <row r="60" spans="1:3" ht="15.75">
      <c r="A60" s="6"/>
      <c r="B60" s="37"/>
      <c r="C60" s="33"/>
    </row>
    <row r="61" spans="1:3" ht="15.75">
      <c r="A61" s="6"/>
      <c r="B61" s="37"/>
      <c r="C61" s="33"/>
    </row>
    <row r="62" spans="1:3" ht="15.75">
      <c r="A62" s="6"/>
      <c r="B62" s="37"/>
      <c r="C62" s="33"/>
    </row>
    <row r="63" spans="1:3" ht="15.75">
      <c r="A63" s="6"/>
      <c r="B63" s="37"/>
      <c r="C63" s="33"/>
    </row>
    <row r="64" spans="1:3" ht="15.75">
      <c r="A64" s="6"/>
      <c r="B64" s="37"/>
      <c r="C64" s="33"/>
    </row>
    <row r="65" spans="1:3" ht="15.75">
      <c r="A65" s="6"/>
      <c r="B65" s="37"/>
      <c r="C65" s="33"/>
    </row>
    <row r="66" spans="1:3" ht="15.75">
      <c r="A66" s="6"/>
      <c r="B66" s="37"/>
      <c r="C66" s="33"/>
    </row>
    <row r="67" spans="1:3" ht="15.75">
      <c r="A67" s="6"/>
      <c r="B67" s="37"/>
      <c r="C67" s="33"/>
    </row>
    <row r="68" spans="1:3" ht="15.75">
      <c r="A68" s="6"/>
      <c r="B68" s="37"/>
      <c r="C68" s="33"/>
    </row>
    <row r="69" spans="1:3" ht="15.75">
      <c r="A69" s="6"/>
      <c r="B69" s="37"/>
      <c r="C69" s="33"/>
    </row>
    <row r="70" spans="1:3" ht="15.75">
      <c r="A70" s="6"/>
      <c r="B70" s="37"/>
      <c r="C70" s="33"/>
    </row>
    <row r="71" spans="1:3" ht="15.75">
      <c r="A71" s="6"/>
      <c r="B71" s="37"/>
      <c r="C71" s="33"/>
    </row>
    <row r="72" spans="1:3" ht="15.75">
      <c r="A72" s="6"/>
      <c r="B72" s="37"/>
      <c r="C72" s="33"/>
    </row>
    <row r="73" spans="1:3" ht="15.75">
      <c r="A73" s="6"/>
      <c r="B73" s="37"/>
      <c r="C73" s="33"/>
    </row>
    <row r="74" spans="1:3" ht="15.75">
      <c r="A74" s="6"/>
      <c r="B74" s="37"/>
      <c r="C74" s="33"/>
    </row>
    <row r="75" spans="1:3" ht="15.75">
      <c r="A75" s="6"/>
      <c r="B75" s="37"/>
      <c r="C75" s="33"/>
    </row>
    <row r="76" spans="1:3" ht="15.75">
      <c r="A76" s="6"/>
      <c r="B76" s="37"/>
      <c r="C76" s="33"/>
    </row>
    <row r="77" spans="1:3" ht="15.75">
      <c r="A77" s="6"/>
      <c r="B77" s="37"/>
      <c r="C77" s="33"/>
    </row>
    <row r="78" spans="1:3" ht="15.75">
      <c r="A78" s="6"/>
      <c r="B78" s="37"/>
      <c r="C78" s="33"/>
    </row>
    <row r="79" spans="1:3" ht="15.75">
      <c r="A79" s="6"/>
      <c r="B79" s="37"/>
      <c r="C79" s="33"/>
    </row>
    <row r="80" spans="1:3" ht="15.75">
      <c r="A80" s="6"/>
      <c r="B80" s="37"/>
      <c r="C80" s="33"/>
    </row>
    <row r="81" spans="1:3" ht="15.75">
      <c r="A81" s="6"/>
      <c r="B81" s="37"/>
      <c r="C81" s="33"/>
    </row>
    <row r="82" spans="1:3" ht="15.75">
      <c r="A82" s="6"/>
      <c r="B82" s="37"/>
      <c r="C82" s="33"/>
    </row>
    <row r="83" spans="1:3" ht="15.75">
      <c r="A83" s="6"/>
      <c r="B83" s="37"/>
      <c r="C83" s="33"/>
    </row>
    <row r="84" spans="1:3" ht="15.75">
      <c r="A84" s="6"/>
      <c r="B84" s="37"/>
      <c r="C84" s="33"/>
    </row>
    <row r="85" spans="1:3" ht="15.75">
      <c r="A85" s="6"/>
      <c r="B85" s="37"/>
      <c r="C85" s="33"/>
    </row>
    <row r="86" spans="1:3" ht="15.75">
      <c r="A86" s="6"/>
      <c r="B86" s="37"/>
      <c r="C86" s="33"/>
    </row>
    <row r="87" spans="1:3" ht="15.75">
      <c r="A87" s="6"/>
      <c r="B87" s="37"/>
      <c r="C87" s="33"/>
    </row>
    <row r="88" spans="1:3" ht="15.75">
      <c r="A88" s="6"/>
      <c r="B88" s="37"/>
      <c r="C88" s="33"/>
    </row>
    <row r="89" spans="1:3" ht="15.75">
      <c r="A89" s="6"/>
      <c r="B89" s="37"/>
      <c r="C89" s="33"/>
    </row>
    <row r="90" spans="1:3" ht="15.75">
      <c r="A90" s="6"/>
      <c r="B90" s="37"/>
      <c r="C90" s="33"/>
    </row>
    <row r="91" spans="1:3" ht="15.75">
      <c r="A91" s="6"/>
      <c r="B91" s="37"/>
      <c r="C91" s="33"/>
    </row>
    <row r="92" spans="1:3" ht="15.75">
      <c r="A92" s="6"/>
      <c r="B92" s="37"/>
      <c r="C92" s="33"/>
    </row>
    <row r="93" spans="1:3" ht="15.75">
      <c r="A93" s="6"/>
      <c r="B93" s="37"/>
      <c r="C93" s="33"/>
    </row>
    <row r="94" spans="1:3" ht="15.75">
      <c r="A94" s="6"/>
      <c r="B94" s="37"/>
      <c r="C94" s="33"/>
    </row>
    <row r="95" spans="1:3" ht="15.75">
      <c r="A95" s="6"/>
      <c r="B95" s="37"/>
      <c r="C95" s="33"/>
    </row>
    <row r="96" spans="1:3" ht="15.75">
      <c r="A96" s="6"/>
      <c r="B96" s="37"/>
      <c r="C96" s="33"/>
    </row>
    <row r="97" spans="1:3" ht="15.75">
      <c r="A97" s="6"/>
      <c r="B97" s="37"/>
      <c r="C97" s="33"/>
    </row>
    <row r="98" spans="1:3" ht="15.75">
      <c r="A98" s="6"/>
      <c r="B98" s="37"/>
      <c r="C98" s="33"/>
    </row>
    <row r="99" spans="1:3" ht="15.75">
      <c r="A99" s="6"/>
      <c r="B99" s="37"/>
      <c r="C99" s="33"/>
    </row>
    <row r="100" spans="1:3" ht="15.75">
      <c r="A100" s="6"/>
      <c r="B100" s="37"/>
      <c r="C100" s="33"/>
    </row>
    <row r="101" spans="1:3" ht="15.75">
      <c r="A101" s="6"/>
      <c r="B101" s="37"/>
      <c r="C101" s="33"/>
    </row>
    <row r="102" spans="1:3" ht="15.75">
      <c r="A102" s="6"/>
      <c r="B102" s="37"/>
      <c r="C102" s="33"/>
    </row>
    <row r="103" spans="1:3" ht="15.75">
      <c r="A103" s="6"/>
      <c r="B103" s="37"/>
      <c r="C103" s="33"/>
    </row>
    <row r="104" spans="1:3" ht="15.75">
      <c r="A104" s="6"/>
      <c r="B104" s="37"/>
      <c r="C104" s="33"/>
    </row>
    <row r="105" spans="1:3" ht="15.75">
      <c r="A105" s="6"/>
      <c r="B105" s="37"/>
      <c r="C105" s="33"/>
    </row>
    <row r="106" spans="1:3" ht="15.75">
      <c r="A106" s="6"/>
      <c r="B106" s="37"/>
      <c r="C106" s="33"/>
    </row>
    <row r="107" spans="1:3" ht="15.75">
      <c r="A107" s="6"/>
      <c r="B107" s="37"/>
      <c r="C107" s="33"/>
    </row>
    <row r="108" spans="1:3" ht="15.75">
      <c r="A108" s="6"/>
      <c r="B108" s="37"/>
      <c r="C108" s="33"/>
    </row>
    <row r="109" spans="1:3" ht="15.75">
      <c r="A109" s="6"/>
      <c r="B109" s="37"/>
      <c r="C109" s="33"/>
    </row>
    <row r="110" spans="1:3" ht="15.75">
      <c r="A110" s="6"/>
      <c r="B110" s="37"/>
      <c r="C110" s="33"/>
    </row>
    <row r="111" spans="1:3" ht="15.75">
      <c r="A111" s="6"/>
      <c r="B111" s="37"/>
      <c r="C111" s="33"/>
    </row>
    <row r="112" spans="1:3" ht="15.75">
      <c r="A112" s="6"/>
      <c r="B112" s="37"/>
      <c r="C112" s="33"/>
    </row>
    <row r="113" spans="1:3" ht="15.75">
      <c r="A113" s="6"/>
      <c r="B113" s="37"/>
      <c r="C113" s="33"/>
    </row>
    <row r="114" spans="1:3" ht="15.75">
      <c r="A114" s="6"/>
      <c r="B114" s="37"/>
      <c r="C114" s="33"/>
    </row>
    <row r="115" spans="1:3" ht="15.75">
      <c r="A115" s="6"/>
      <c r="B115" s="37"/>
      <c r="C115" s="33"/>
    </row>
    <row r="116" spans="1:3" ht="15.75">
      <c r="A116" s="6"/>
      <c r="B116" s="37"/>
      <c r="C116" s="33"/>
    </row>
    <row r="117" spans="1:3" ht="15.75">
      <c r="A117" s="6"/>
      <c r="B117" s="37"/>
      <c r="C117" s="33"/>
    </row>
    <row r="118" spans="1:3" ht="15.75">
      <c r="A118" s="6"/>
      <c r="B118" s="37"/>
      <c r="C118" s="33"/>
    </row>
    <row r="119" spans="1:3" ht="15.75">
      <c r="A119" s="6"/>
      <c r="B119" s="37"/>
      <c r="C119" s="33"/>
    </row>
    <row r="120" spans="1:3" ht="15.75">
      <c r="A120" s="6"/>
      <c r="B120" s="37"/>
      <c r="C120" s="33"/>
    </row>
    <row r="121" spans="1:3" ht="15.75">
      <c r="A121" s="6"/>
      <c r="B121" s="37"/>
      <c r="C121" s="33"/>
    </row>
    <row r="122" spans="1:3" ht="15.75">
      <c r="A122" s="6"/>
      <c r="B122" s="37"/>
      <c r="C122" s="33"/>
    </row>
    <row r="123" spans="1:3" ht="15.75">
      <c r="A123" s="6"/>
      <c r="B123" s="37"/>
      <c r="C123" s="33"/>
    </row>
    <row r="124" spans="1:3" ht="15.75">
      <c r="A124" s="6"/>
      <c r="B124" s="37"/>
      <c r="C124" s="33"/>
    </row>
    <row r="125" spans="1:3" ht="15.75">
      <c r="A125" s="6"/>
      <c r="B125" s="37"/>
      <c r="C125" s="33"/>
    </row>
    <row r="126" spans="1:3" ht="15.75">
      <c r="A126" s="6"/>
      <c r="B126" s="37"/>
      <c r="C126" s="33"/>
    </row>
    <row r="127" spans="1:3" ht="15.75">
      <c r="A127" s="6"/>
      <c r="B127" s="37"/>
      <c r="C127" s="33"/>
    </row>
    <row r="128" spans="1:3" ht="15.75">
      <c r="A128" s="6"/>
      <c r="B128" s="37"/>
      <c r="C128" s="33"/>
    </row>
    <row r="129" spans="1:3" ht="15.75">
      <c r="A129" s="6"/>
      <c r="B129" s="37"/>
      <c r="C129" s="33"/>
    </row>
    <row r="130" spans="1:3" ht="15.75">
      <c r="A130" s="6"/>
      <c r="B130" s="37"/>
      <c r="C130" s="33"/>
    </row>
    <row r="131" spans="1:3" ht="15.75">
      <c r="A131" s="6"/>
      <c r="B131" s="37"/>
      <c r="C131" s="33"/>
    </row>
    <row r="132" spans="1:3" ht="15.75">
      <c r="A132" s="6"/>
      <c r="B132" s="37"/>
      <c r="C132" s="33"/>
    </row>
    <row r="133" spans="1:3" ht="15.75">
      <c r="A133" s="6"/>
      <c r="B133" s="37"/>
      <c r="C133" s="33"/>
    </row>
    <row r="134" spans="1:3" ht="15.75">
      <c r="A134" s="6"/>
      <c r="B134" s="37"/>
      <c r="C134" s="33"/>
    </row>
    <row r="135" spans="1:3" ht="15.75">
      <c r="A135" s="6"/>
      <c r="B135" s="37"/>
      <c r="C135" s="33"/>
    </row>
    <row r="136" spans="1:3" ht="15.75">
      <c r="A136" s="6"/>
      <c r="B136" s="37"/>
      <c r="C136" s="33"/>
    </row>
    <row r="137" spans="1:3" ht="15.75">
      <c r="A137" s="6"/>
      <c r="B137" s="37"/>
      <c r="C137" s="33"/>
    </row>
    <row r="138" spans="1:3" ht="15.75">
      <c r="A138" s="6"/>
      <c r="B138" s="37"/>
      <c r="C138" s="33"/>
    </row>
    <row r="139" spans="1:3" ht="15.75">
      <c r="A139" s="6"/>
      <c r="B139" s="37"/>
      <c r="C139" s="33"/>
    </row>
    <row r="140" spans="1:3" ht="15.75">
      <c r="A140" s="6"/>
      <c r="B140" s="37"/>
      <c r="C140" s="33"/>
    </row>
    <row r="141" spans="1:3" ht="15.75">
      <c r="A141" s="6"/>
      <c r="B141" s="37"/>
      <c r="C141" s="33"/>
    </row>
    <row r="142" spans="1:3" ht="15.75">
      <c r="A142" s="6"/>
      <c r="B142" s="37"/>
      <c r="C142" s="33"/>
    </row>
    <row r="143" spans="1:3" ht="15.75">
      <c r="A143" s="6"/>
      <c r="B143" s="37"/>
      <c r="C143" s="33"/>
    </row>
    <row r="144" spans="1:3" ht="15.75">
      <c r="A144" s="6"/>
      <c r="B144" s="37"/>
      <c r="C144" s="33"/>
    </row>
    <row r="145" spans="1:3" ht="15.75">
      <c r="A145" s="6"/>
      <c r="B145" s="37"/>
      <c r="C145" s="33"/>
    </row>
    <row r="146" spans="1:3" ht="15.75">
      <c r="A146" s="6"/>
      <c r="B146" s="37"/>
      <c r="C146" s="33"/>
    </row>
    <row r="147" spans="1:3" ht="15.75">
      <c r="A147" s="6"/>
      <c r="B147" s="37"/>
      <c r="C147" s="33"/>
    </row>
    <row r="148" spans="1:3" ht="15.75">
      <c r="A148" s="6"/>
      <c r="B148" s="37"/>
      <c r="C148" s="33"/>
    </row>
    <row r="149" spans="1:3" ht="15.75">
      <c r="A149" s="6"/>
      <c r="B149" s="37"/>
      <c r="C149" s="33"/>
    </row>
    <row r="150" spans="1:3" ht="15.75">
      <c r="A150" s="6"/>
      <c r="B150" s="37"/>
      <c r="C150" s="33"/>
    </row>
    <row r="151" spans="1:3" ht="15.75">
      <c r="A151" s="6"/>
      <c r="B151" s="37"/>
      <c r="C151" s="33"/>
    </row>
    <row r="152" spans="1:3" ht="15.75">
      <c r="A152" s="6"/>
      <c r="B152" s="37"/>
      <c r="C152" s="33"/>
    </row>
    <row r="153" spans="1:3" ht="15.75">
      <c r="A153" s="6"/>
      <c r="B153" s="37"/>
      <c r="C153" s="33"/>
    </row>
    <row r="154" spans="1:3" ht="15.75">
      <c r="A154" s="6"/>
      <c r="B154" s="37"/>
      <c r="C154" s="33"/>
    </row>
    <row r="155" spans="1:3" ht="15.75">
      <c r="A155" s="6"/>
      <c r="B155" s="37"/>
      <c r="C155" s="33"/>
    </row>
    <row r="156" spans="1:3" ht="15.75">
      <c r="A156" s="6"/>
      <c r="B156" s="37"/>
      <c r="C156" s="33"/>
    </row>
    <row r="157" spans="1:3" ht="15.75">
      <c r="A157" s="6"/>
      <c r="B157" s="37"/>
      <c r="C157" s="33"/>
    </row>
    <row r="158" spans="1:3" ht="15.75">
      <c r="A158" s="6"/>
      <c r="B158" s="37"/>
      <c r="C158" s="33"/>
    </row>
    <row r="159" spans="1:3" ht="15.75">
      <c r="A159" s="6"/>
      <c r="B159" s="37"/>
      <c r="C159" s="33"/>
    </row>
    <row r="160" spans="1:3" ht="15.75">
      <c r="A160" s="6"/>
      <c r="B160" s="37"/>
      <c r="C160" s="33"/>
    </row>
    <row r="161" spans="1:3" ht="15.75">
      <c r="A161" s="6"/>
      <c r="B161" s="37"/>
      <c r="C161" s="33"/>
    </row>
    <row r="162" spans="1:3" ht="15.75">
      <c r="A162" s="6"/>
      <c r="B162" s="37"/>
      <c r="C162" s="33"/>
    </row>
    <row r="163" spans="1:3" ht="15.75">
      <c r="A163" s="6"/>
      <c r="B163" s="37"/>
      <c r="C163" s="33"/>
    </row>
    <row r="164" spans="1:3" ht="15.75">
      <c r="A164" s="6"/>
      <c r="B164" s="37"/>
      <c r="C164" s="33"/>
    </row>
    <row r="165" spans="1:3" ht="15.75">
      <c r="A165" s="6"/>
      <c r="B165" s="37"/>
      <c r="C165" s="33"/>
    </row>
    <row r="166" spans="1:3" ht="15.75">
      <c r="A166" s="6"/>
      <c r="B166" s="37"/>
      <c r="C166" s="33"/>
    </row>
    <row r="167" spans="1:3" ht="15.75">
      <c r="A167" s="6"/>
      <c r="B167" s="37"/>
      <c r="C167" s="33"/>
    </row>
    <row r="168" spans="1:3" ht="15.75">
      <c r="A168" s="6"/>
      <c r="B168" s="37"/>
      <c r="C168" s="33"/>
    </row>
    <row r="169" spans="1:3" ht="15.75">
      <c r="A169" s="6"/>
      <c r="B169" s="37"/>
      <c r="C169" s="33"/>
    </row>
    <row r="170" spans="1:3" ht="15.75">
      <c r="A170" s="6"/>
      <c r="B170" s="37"/>
      <c r="C170" s="33"/>
    </row>
    <row r="171" spans="1:3" ht="15.75">
      <c r="A171" s="6"/>
      <c r="B171" s="37"/>
      <c r="C171" s="33"/>
    </row>
    <row r="172" spans="1:3" ht="15.75">
      <c r="A172" s="6"/>
      <c r="B172" s="37"/>
      <c r="C172" s="33"/>
    </row>
    <row r="173" spans="1:3" ht="15.75">
      <c r="A173" s="6"/>
      <c r="B173" s="37"/>
      <c r="C173" s="33"/>
    </row>
    <row r="174" spans="1:3" ht="15.75">
      <c r="A174" s="6"/>
      <c r="B174" s="37"/>
      <c r="C174" s="33"/>
    </row>
    <row r="175" spans="1:3" ht="15.75">
      <c r="A175" s="6"/>
      <c r="B175" s="37"/>
      <c r="C175" s="33"/>
    </row>
    <row r="176" spans="1:3" ht="15.75">
      <c r="A176" s="6"/>
      <c r="B176" s="37"/>
      <c r="C176" s="33"/>
    </row>
    <row r="177" spans="1:3" ht="15.75">
      <c r="A177" s="6"/>
      <c r="B177" s="37"/>
      <c r="C177" s="33"/>
    </row>
    <row r="178" spans="1:3" ht="15.75">
      <c r="A178" s="6"/>
      <c r="B178" s="37"/>
      <c r="C178" s="33"/>
    </row>
    <row r="179" spans="1:3" ht="15.75">
      <c r="A179" s="6"/>
      <c r="B179" s="37"/>
      <c r="C179" s="33"/>
    </row>
    <row r="180" spans="1:3" ht="15.75">
      <c r="A180" s="6"/>
      <c r="B180" s="37"/>
      <c r="C180" s="33"/>
    </row>
    <row r="181" spans="1:3" ht="15.75">
      <c r="A181" s="6"/>
      <c r="B181" s="37"/>
      <c r="C181" s="33"/>
    </row>
    <row r="182" spans="1:3" ht="15.75">
      <c r="A182" s="6"/>
      <c r="B182" s="37"/>
      <c r="C182" s="33"/>
    </row>
    <row r="183" spans="1:3" ht="15.75">
      <c r="A183" s="6"/>
      <c r="B183" s="37"/>
      <c r="C183" s="33"/>
    </row>
    <row r="184" spans="1:3" ht="15.75">
      <c r="A184" s="6"/>
      <c r="B184" s="37"/>
      <c r="C184" s="33"/>
    </row>
    <row r="185" spans="1:3" ht="15.75">
      <c r="A185" s="6"/>
      <c r="B185" s="37"/>
      <c r="C185" s="33"/>
    </row>
    <row r="186" spans="1:3" ht="15.75">
      <c r="A186" s="6"/>
      <c r="B186" s="37"/>
      <c r="C186" s="33"/>
    </row>
    <row r="187" spans="1:3" ht="15.75">
      <c r="A187" s="6"/>
      <c r="B187" s="37"/>
      <c r="C187" s="33"/>
    </row>
    <row r="188" spans="1:3" ht="15.75">
      <c r="A188" s="6"/>
      <c r="B188" s="37"/>
      <c r="C188" s="33"/>
    </row>
    <row r="189" spans="1:3" ht="15.75">
      <c r="A189" s="6"/>
      <c r="B189" s="37"/>
      <c r="C189" s="33"/>
    </row>
    <row r="190" spans="1:3" ht="15.75">
      <c r="A190" s="6"/>
      <c r="B190" s="37"/>
      <c r="C190" s="33"/>
    </row>
    <row r="191" spans="1:3" ht="15.75">
      <c r="A191" s="6"/>
      <c r="B191" s="37"/>
      <c r="C191" s="33"/>
    </row>
    <row r="192" spans="1:3" ht="15.75">
      <c r="A192" s="6"/>
      <c r="B192" s="37"/>
      <c r="C192" s="33"/>
    </row>
    <row r="193" spans="1:3" ht="15.75">
      <c r="A193" s="6"/>
      <c r="B193" s="37"/>
      <c r="C193" s="33"/>
    </row>
    <row r="194" spans="1:3" ht="15.75">
      <c r="A194" s="6"/>
      <c r="B194" s="37"/>
      <c r="C194" s="33"/>
    </row>
    <row r="195" spans="1:3" ht="15.75">
      <c r="A195" s="6"/>
      <c r="B195" s="37"/>
      <c r="C195" s="33"/>
    </row>
    <row r="196" spans="1:3" ht="15.75">
      <c r="A196" s="6"/>
      <c r="B196" s="37"/>
      <c r="C196" s="33"/>
    </row>
    <row r="197" spans="1:3" ht="15.75">
      <c r="A197" s="6"/>
      <c r="B197" s="37"/>
      <c r="C197" s="33"/>
    </row>
    <row r="198" spans="1:3" ht="15.75">
      <c r="A198" s="6"/>
      <c r="B198" s="37"/>
      <c r="C198" s="33"/>
    </row>
    <row r="199" spans="1:3" ht="15.75">
      <c r="A199" s="6"/>
      <c r="B199" s="37"/>
      <c r="C199" s="33"/>
    </row>
    <row r="200" spans="1:3" ht="15.75">
      <c r="A200" s="6"/>
      <c r="B200" s="37"/>
      <c r="C200" s="33"/>
    </row>
    <row r="201" spans="1:3" ht="15.75">
      <c r="A201" s="6"/>
      <c r="B201" s="37"/>
      <c r="C201" s="33"/>
    </row>
    <row r="202" spans="1:3" ht="15.75">
      <c r="A202" s="6"/>
      <c r="B202" s="37"/>
      <c r="C202" s="33"/>
    </row>
    <row r="203" spans="1:3" ht="15.75">
      <c r="A203" s="6"/>
      <c r="B203" s="37"/>
      <c r="C203" s="33"/>
    </row>
    <row r="204" spans="1:3" ht="15.75">
      <c r="A204" s="6"/>
      <c r="B204" s="37"/>
      <c r="C204" s="33"/>
    </row>
    <row r="205" spans="1:3" ht="15.75">
      <c r="A205" s="6"/>
      <c r="B205" s="37"/>
      <c r="C205" s="33"/>
    </row>
    <row r="206" spans="1:3" ht="15.75">
      <c r="A206" s="6"/>
      <c r="B206" s="37"/>
      <c r="C206" s="33"/>
    </row>
    <row r="207" spans="1:3" ht="15.75">
      <c r="A207" s="6"/>
      <c r="B207" s="37"/>
      <c r="C207" s="33"/>
    </row>
    <row r="208" spans="1:3" ht="15.75">
      <c r="A208" s="6"/>
      <c r="B208" s="37"/>
      <c r="C208" s="33"/>
    </row>
    <row r="209" spans="1:3" ht="15.75">
      <c r="A209" s="6"/>
      <c r="B209" s="37"/>
      <c r="C209" s="33"/>
    </row>
    <row r="210" spans="1:3" ht="15.75">
      <c r="A210" s="6"/>
      <c r="B210" s="37"/>
      <c r="C210" s="33"/>
    </row>
    <row r="211" spans="1:3" ht="15.75">
      <c r="A211" s="6"/>
      <c r="B211" s="37"/>
      <c r="C211" s="33"/>
    </row>
    <row r="212" spans="1:3" ht="15.75">
      <c r="A212" s="6"/>
      <c r="B212" s="37"/>
      <c r="C212" s="33"/>
    </row>
    <row r="213" spans="1:3" ht="15.75">
      <c r="A213" s="6"/>
      <c r="B213" s="37"/>
      <c r="C213" s="33"/>
    </row>
    <row r="214" spans="1:3" ht="15.75">
      <c r="A214" s="6"/>
      <c r="B214" s="37"/>
      <c r="C214" s="33"/>
    </row>
    <row r="215" spans="1:3" ht="15.75">
      <c r="A215" s="6"/>
      <c r="B215" s="37"/>
      <c r="C215" s="33"/>
    </row>
    <row r="216" spans="1:3" ht="15.75">
      <c r="A216" s="6"/>
      <c r="B216" s="37"/>
      <c r="C216" s="33"/>
    </row>
    <row r="217" spans="1:3" ht="15.75">
      <c r="A217" s="6"/>
      <c r="B217" s="37"/>
      <c r="C217" s="33"/>
    </row>
    <row r="218" spans="1:3" ht="15.75">
      <c r="A218" s="6"/>
      <c r="B218" s="37"/>
      <c r="C218" s="33"/>
    </row>
    <row r="219" spans="1:3" ht="15.75">
      <c r="A219" s="6"/>
      <c r="B219" s="37"/>
      <c r="C219" s="33"/>
    </row>
    <row r="220" spans="1:3" ht="15.75">
      <c r="A220" s="6"/>
      <c r="B220" s="37"/>
      <c r="C220" s="33"/>
    </row>
    <row r="221" spans="1:3" ht="15.75">
      <c r="A221" s="6"/>
      <c r="B221" s="37"/>
      <c r="C221" s="33"/>
    </row>
    <row r="222" spans="1:3" ht="15.75">
      <c r="A222" s="6"/>
      <c r="B222" s="37"/>
      <c r="C222" s="33"/>
    </row>
    <row r="223" spans="1:3" ht="15.75">
      <c r="A223" s="6"/>
      <c r="B223" s="37"/>
      <c r="C223" s="33"/>
    </row>
    <row r="224" spans="1:3" ht="15.75">
      <c r="A224" s="6"/>
      <c r="B224" s="37"/>
      <c r="C224" s="33"/>
    </row>
    <row r="225" spans="1:3" ht="15.75">
      <c r="A225" s="6"/>
      <c r="B225" s="37"/>
      <c r="C225" s="33"/>
    </row>
    <row r="226" spans="1:3" ht="15.75">
      <c r="A226" s="6"/>
      <c r="B226" s="37"/>
      <c r="C226" s="33"/>
    </row>
    <row r="227" spans="1:3" ht="15.75">
      <c r="A227" s="6"/>
      <c r="B227" s="37"/>
      <c r="C227" s="33"/>
    </row>
    <row r="228" spans="1:3" ht="15.75">
      <c r="A228" s="6"/>
      <c r="B228" s="37"/>
      <c r="C228" s="33"/>
    </row>
    <row r="229" spans="1:3" ht="15.75">
      <c r="A229" s="6"/>
      <c r="B229" s="37"/>
      <c r="C229" s="33"/>
    </row>
    <row r="230" spans="1:3" ht="15.75">
      <c r="A230" s="6"/>
      <c r="B230" s="37"/>
      <c r="C230" s="33"/>
    </row>
    <row r="231" spans="1:3" ht="15.75">
      <c r="A231" s="6"/>
      <c r="B231" s="37"/>
      <c r="C231" s="33"/>
    </row>
    <row r="232" spans="1:3" ht="15.75">
      <c r="A232" s="6"/>
      <c r="B232" s="37"/>
      <c r="C232" s="33"/>
    </row>
    <row r="233" spans="1:3" ht="15.75">
      <c r="A233" s="6"/>
      <c r="B233" s="37"/>
      <c r="C233" s="33"/>
    </row>
    <row r="234" spans="1:3" ht="15.75">
      <c r="A234" s="6"/>
      <c r="B234" s="37"/>
      <c r="C234" s="33"/>
    </row>
    <row r="235" spans="1:3" ht="15.75">
      <c r="A235" s="6"/>
      <c r="B235" s="37"/>
      <c r="C235" s="33"/>
    </row>
    <row r="236" spans="1:3" ht="15.75">
      <c r="A236" s="6"/>
      <c r="B236" s="37"/>
      <c r="C236" s="33"/>
    </row>
    <row r="237" spans="1:3" ht="15.75">
      <c r="A237" s="6"/>
      <c r="B237" s="37"/>
      <c r="C237" s="33"/>
    </row>
    <row r="238" spans="1:3" ht="15.75">
      <c r="A238" s="6"/>
      <c r="B238" s="37"/>
      <c r="C238" s="33"/>
    </row>
    <row r="239" spans="1:3" ht="15.75">
      <c r="A239" s="6"/>
      <c r="B239" s="37"/>
      <c r="C239" s="33"/>
    </row>
    <row r="240" spans="1:3" ht="15.75">
      <c r="A240" s="6"/>
      <c r="B240" s="37"/>
      <c r="C240" s="33"/>
    </row>
    <row r="241" spans="1:3" ht="15.75">
      <c r="A241" s="6"/>
      <c r="B241" s="37"/>
      <c r="C241" s="33"/>
    </row>
    <row r="242" spans="1:3" ht="15.75">
      <c r="A242" s="6"/>
      <c r="B242" s="37"/>
      <c r="C242" s="33"/>
    </row>
    <row r="243" spans="1:3" ht="15.75">
      <c r="A243" s="6"/>
      <c r="B243" s="37"/>
      <c r="C243" s="33"/>
    </row>
    <row r="244" spans="1:3" ht="15.75">
      <c r="A244" s="6"/>
      <c r="B244" s="37"/>
      <c r="C244" s="33"/>
    </row>
    <row r="245" spans="1:3" ht="15.75">
      <c r="A245" s="6"/>
      <c r="B245" s="37"/>
      <c r="C245" s="33"/>
    </row>
    <row r="246" spans="1:3" ht="15.75">
      <c r="A246" s="6"/>
      <c r="B246" s="37"/>
      <c r="C246" s="33"/>
    </row>
    <row r="247" spans="1:3" ht="15.75">
      <c r="A247" s="6"/>
      <c r="B247" s="37"/>
      <c r="C247" s="33"/>
    </row>
    <row r="248" spans="1:3" ht="15.75">
      <c r="A248" s="6"/>
      <c r="B248" s="37"/>
      <c r="C248" s="33"/>
    </row>
    <row r="249" spans="1:3" ht="15.75">
      <c r="A249" s="6"/>
      <c r="B249" s="37"/>
      <c r="C249" s="33"/>
    </row>
    <row r="250" spans="1:3" ht="15.75">
      <c r="A250" s="6"/>
      <c r="B250" s="37"/>
      <c r="C250" s="33"/>
    </row>
    <row r="251" spans="1:3" ht="15.75">
      <c r="A251" s="6"/>
      <c r="B251" s="37"/>
      <c r="C251" s="33"/>
    </row>
    <row r="252" spans="1:3" ht="15.75">
      <c r="A252" s="6"/>
      <c r="B252" s="37"/>
      <c r="C252" s="33"/>
    </row>
    <row r="253" spans="1:3" ht="15.75">
      <c r="A253" s="6"/>
      <c r="B253" s="37"/>
      <c r="C253" s="33"/>
    </row>
    <row r="254" spans="1:3" ht="15.75">
      <c r="A254" s="6"/>
      <c r="B254" s="37"/>
      <c r="C254" s="33"/>
    </row>
    <row r="255" spans="1:3" ht="15.75">
      <c r="A255" s="6"/>
      <c r="B255" s="37"/>
      <c r="C255" s="33"/>
    </row>
    <row r="256" spans="1:3" ht="15.75">
      <c r="A256" s="6"/>
      <c r="B256" s="37"/>
      <c r="C256" s="33"/>
    </row>
    <row r="257" spans="1:3" ht="15.75">
      <c r="A257" s="6"/>
      <c r="B257" s="37"/>
      <c r="C257" s="33"/>
    </row>
    <row r="258" spans="1:3" ht="15.75">
      <c r="A258" s="6"/>
      <c r="B258" s="37"/>
      <c r="C258" s="33"/>
    </row>
    <row r="259" spans="1:3" ht="15.75">
      <c r="A259" s="6"/>
      <c r="B259" s="37"/>
      <c r="C259" s="33"/>
    </row>
    <row r="260" spans="1:3" ht="15.75">
      <c r="A260" s="6"/>
      <c r="B260" s="37"/>
      <c r="C260" s="33"/>
    </row>
    <row r="261" spans="1:3" ht="15.75">
      <c r="A261" s="6"/>
      <c r="B261" s="37"/>
      <c r="C261" s="33"/>
    </row>
    <row r="262" spans="1:3" ht="15.75">
      <c r="A262" s="6"/>
      <c r="B262" s="37"/>
      <c r="C262" s="33"/>
    </row>
    <row r="263" spans="1:3" ht="15.75">
      <c r="A263" s="6"/>
      <c r="B263" s="37"/>
      <c r="C263" s="33"/>
    </row>
    <row r="264" spans="1:3" ht="15.75">
      <c r="A264" s="6"/>
      <c r="B264" s="37"/>
      <c r="C264" s="33"/>
    </row>
    <row r="265" spans="1:3" ht="15.75">
      <c r="A265" s="6"/>
      <c r="B265" s="37"/>
      <c r="C265" s="33"/>
    </row>
    <row r="266" spans="1:3" ht="15.75">
      <c r="A266" s="6"/>
      <c r="B266" s="37"/>
      <c r="C266" s="33"/>
    </row>
    <row r="267" spans="1:3" ht="15.75">
      <c r="A267" s="6"/>
      <c r="B267" s="37"/>
      <c r="C267" s="33"/>
    </row>
    <row r="268" spans="1:3" ht="15.75">
      <c r="A268" s="6"/>
      <c r="B268" s="37"/>
      <c r="C268" s="33"/>
    </row>
    <row r="269" spans="1:3" ht="15.75">
      <c r="A269" s="6"/>
      <c r="B269" s="37"/>
      <c r="C269" s="33"/>
    </row>
    <row r="270" spans="1:3" ht="15.75">
      <c r="A270" s="6"/>
      <c r="B270" s="37"/>
      <c r="C270" s="33"/>
    </row>
    <row r="271" spans="1:3" ht="15.75">
      <c r="A271" s="6"/>
      <c r="B271" s="37"/>
      <c r="C271" s="33"/>
    </row>
    <row r="272" spans="1:3" ht="15.75">
      <c r="A272" s="6"/>
      <c r="B272" s="37"/>
      <c r="C272" s="33"/>
    </row>
    <row r="273" spans="1:3" ht="15.75">
      <c r="A273" s="6"/>
      <c r="B273" s="37"/>
      <c r="C273" s="33"/>
    </row>
    <row r="274" spans="1:3" ht="15.75">
      <c r="A274" s="6"/>
      <c r="B274" s="37"/>
      <c r="C274" s="33"/>
    </row>
    <row r="275" spans="1:3" ht="15.75">
      <c r="A275" s="6"/>
      <c r="B275" s="37"/>
      <c r="C275" s="33"/>
    </row>
    <row r="276" spans="1:3" ht="15.75">
      <c r="A276" s="6"/>
      <c r="B276" s="37"/>
      <c r="C276" s="33"/>
    </row>
    <row r="277" spans="1:3" ht="15.75">
      <c r="A277" s="6"/>
      <c r="B277" s="37"/>
      <c r="C277" s="33"/>
    </row>
    <row r="278" spans="1:3" ht="15.75">
      <c r="A278" s="6"/>
      <c r="B278" s="37"/>
      <c r="C278" s="33"/>
    </row>
    <row r="279" spans="1:3" ht="15.75">
      <c r="A279" s="6"/>
      <c r="B279" s="37"/>
      <c r="C279" s="33"/>
    </row>
    <row r="280" spans="1:3" ht="15.75">
      <c r="A280" s="6"/>
      <c r="B280" s="37"/>
      <c r="C280" s="33"/>
    </row>
    <row r="281" spans="1:3" ht="15.75">
      <c r="A281" s="6"/>
      <c r="B281" s="37"/>
      <c r="C281" s="33"/>
    </row>
    <row r="282" spans="1:3" ht="15.75">
      <c r="A282" s="6"/>
      <c r="B282" s="37"/>
      <c r="C282" s="33"/>
    </row>
    <row r="283" spans="1:3" ht="15.75">
      <c r="A283" s="6"/>
      <c r="B283" s="37"/>
      <c r="C283" s="33"/>
    </row>
    <row r="284" spans="1:3" ht="15.75">
      <c r="A284" s="6"/>
      <c r="B284" s="37"/>
      <c r="C284" s="33"/>
    </row>
    <row r="285" spans="1:3" ht="15.75">
      <c r="A285" s="6"/>
      <c r="B285" s="37"/>
      <c r="C285" s="33"/>
    </row>
    <row r="286" spans="1:3" ht="15.75">
      <c r="A286" s="6"/>
      <c r="B286" s="37"/>
      <c r="C286" s="33"/>
    </row>
    <row r="287" spans="1:3" ht="15.75">
      <c r="A287" s="6"/>
      <c r="B287" s="37"/>
      <c r="C287" s="33"/>
    </row>
    <row r="288" spans="1:3" ht="15.75">
      <c r="A288" s="6"/>
      <c r="B288" s="37"/>
      <c r="C288" s="33"/>
    </row>
    <row r="289" spans="1:3" ht="15.75">
      <c r="A289" s="6"/>
      <c r="B289" s="37"/>
      <c r="C289" s="33"/>
    </row>
    <row r="290" spans="1:3" ht="15.75">
      <c r="A290" s="6"/>
      <c r="B290" s="37"/>
      <c r="C290" s="33"/>
    </row>
    <row r="291" spans="1:3" ht="15.75">
      <c r="A291" s="6"/>
      <c r="B291" s="37"/>
      <c r="C291" s="33"/>
    </row>
    <row r="292" spans="1:3" ht="15.75">
      <c r="A292" s="6"/>
      <c r="B292" s="37"/>
      <c r="C292" s="33"/>
    </row>
    <row r="293" spans="1:3" ht="15.75">
      <c r="A293" s="6"/>
      <c r="B293" s="37"/>
      <c r="C293" s="33"/>
    </row>
    <row r="294" spans="1:3" ht="15.75">
      <c r="A294" s="6"/>
      <c r="B294" s="37"/>
      <c r="C294" s="33"/>
    </row>
    <row r="295" spans="1:3" ht="15.75">
      <c r="A295" s="6"/>
      <c r="B295" s="37"/>
      <c r="C295" s="33"/>
    </row>
    <row r="296" spans="1:3" ht="15.75">
      <c r="A296" s="6"/>
      <c r="B296" s="37"/>
      <c r="C296" s="33"/>
    </row>
    <row r="297" spans="1:3" ht="15.75">
      <c r="A297" s="6"/>
      <c r="B297" s="37"/>
      <c r="C297" s="33"/>
    </row>
    <row r="298" spans="1:3" ht="15.75">
      <c r="A298" s="6"/>
      <c r="B298" s="37"/>
      <c r="C298" s="33"/>
    </row>
    <row r="299" spans="1:3" ht="15.75">
      <c r="A299" s="6"/>
      <c r="B299" s="37"/>
      <c r="C299" s="33"/>
    </row>
    <row r="300" spans="1:3" ht="15.75">
      <c r="A300" s="6"/>
      <c r="B300" s="37"/>
      <c r="C300" s="33"/>
    </row>
    <row r="301" spans="1:3" ht="15.75">
      <c r="A301" s="6"/>
      <c r="B301" s="37"/>
      <c r="C301" s="33"/>
    </row>
    <row r="302" spans="1:3" ht="15.75">
      <c r="A302" s="6"/>
      <c r="B302" s="37"/>
      <c r="C302" s="33"/>
    </row>
    <row r="303" spans="1:3" ht="15.75">
      <c r="A303" s="6"/>
      <c r="B303" s="37"/>
      <c r="C303" s="33"/>
    </row>
    <row r="304" spans="1:3" ht="15.75">
      <c r="A304" s="6"/>
      <c r="B304" s="37"/>
      <c r="C304" s="33"/>
    </row>
    <row r="305" spans="1:3" ht="15.75">
      <c r="A305" s="6"/>
      <c r="B305" s="37"/>
      <c r="C305" s="33"/>
    </row>
    <row r="306" spans="1:3" ht="15.75">
      <c r="A306" s="6"/>
      <c r="B306" s="37"/>
      <c r="C306" s="33"/>
    </row>
    <row r="307" spans="1:3" ht="15.75">
      <c r="A307" s="6"/>
      <c r="B307" s="37"/>
      <c r="C307" s="33"/>
    </row>
    <row r="308" spans="1:3" ht="15.75">
      <c r="A308" s="6"/>
      <c r="B308" s="37"/>
      <c r="C308" s="33"/>
    </row>
    <row r="309" spans="1:3" ht="15.75">
      <c r="A309" s="6"/>
      <c r="B309" s="37"/>
      <c r="C309" s="33"/>
    </row>
    <row r="310" spans="1:3" ht="15.75">
      <c r="A310" s="6"/>
      <c r="B310" s="37"/>
      <c r="C310" s="33"/>
    </row>
    <row r="311" spans="1:3" ht="15.75">
      <c r="A311" s="6"/>
      <c r="B311" s="37"/>
      <c r="C311" s="33"/>
    </row>
    <row r="312" spans="1:3" ht="15.75">
      <c r="A312" s="6"/>
      <c r="B312" s="37"/>
      <c r="C312" s="33"/>
    </row>
    <row r="313" spans="1:3" ht="15.75">
      <c r="A313" s="6"/>
      <c r="B313" s="37"/>
      <c r="C313" s="33"/>
    </row>
    <row r="314" spans="1:3" ht="15.75">
      <c r="A314" s="6"/>
      <c r="B314" s="37"/>
      <c r="C314" s="33"/>
    </row>
    <row r="315" spans="1:3" ht="15.75">
      <c r="A315" s="6"/>
      <c r="B315" s="37"/>
      <c r="C315" s="33"/>
    </row>
    <row r="316" spans="1:3" ht="15.75">
      <c r="A316" s="6"/>
      <c r="B316" s="37"/>
      <c r="C316" s="33"/>
    </row>
    <row r="317" spans="1:3" ht="15.75">
      <c r="A317" s="6"/>
      <c r="B317" s="37"/>
      <c r="C317" s="33"/>
    </row>
    <row r="318" spans="1:3" ht="15.75">
      <c r="A318" s="6"/>
      <c r="B318" s="37"/>
      <c r="C318" s="33"/>
    </row>
    <row r="319" spans="1:3" ht="15.75">
      <c r="A319" s="6"/>
      <c r="B319" s="37"/>
      <c r="C319" s="33"/>
    </row>
    <row r="320" spans="1:3" ht="15.75">
      <c r="A320" s="6"/>
      <c r="B320" s="37"/>
      <c r="C320" s="33"/>
    </row>
    <row r="321" spans="1:3" ht="15.75">
      <c r="A321" s="6"/>
      <c r="B321" s="37"/>
      <c r="C321" s="33"/>
    </row>
    <row r="322" spans="1:3" ht="15.75">
      <c r="A322" s="6"/>
      <c r="B322" s="37"/>
      <c r="C322" s="33"/>
    </row>
    <row r="323" spans="1:3" ht="15.75">
      <c r="A323" s="6"/>
      <c r="B323" s="37"/>
      <c r="C323" s="33"/>
    </row>
    <row r="324" spans="1:3" ht="15.75">
      <c r="A324" s="6"/>
      <c r="B324" s="37"/>
      <c r="C324" s="33"/>
    </row>
    <row r="325" spans="1:3" ht="15.75">
      <c r="A325" s="6"/>
      <c r="B325" s="37"/>
      <c r="C325" s="33"/>
    </row>
    <row r="326" spans="1:3" ht="15.75">
      <c r="A326" s="6"/>
      <c r="B326" s="37"/>
      <c r="C326" s="33"/>
    </row>
    <row r="327" spans="1:3" ht="15.75">
      <c r="A327" s="6"/>
      <c r="B327" s="37"/>
      <c r="C327" s="33"/>
    </row>
    <row r="328" spans="1:3" ht="15.75">
      <c r="A328" s="6"/>
      <c r="B328" s="37"/>
      <c r="C328" s="33"/>
    </row>
    <row r="329" spans="1:3" ht="15.75">
      <c r="A329" s="6"/>
      <c r="B329" s="37"/>
      <c r="C329" s="33"/>
    </row>
    <row r="330" spans="1:3" ht="15.75">
      <c r="A330" s="6"/>
      <c r="B330" s="37"/>
      <c r="C330" s="33"/>
    </row>
    <row r="331" spans="1:3" ht="15.75">
      <c r="A331" s="6"/>
      <c r="B331" s="37"/>
      <c r="C331" s="33"/>
    </row>
    <row r="332" spans="1:3" ht="15.75">
      <c r="A332" s="6"/>
      <c r="B332" s="37"/>
      <c r="C332" s="33"/>
    </row>
    <row r="333" spans="1:3" ht="15.75">
      <c r="A333" s="6"/>
      <c r="B333" s="37"/>
      <c r="C333" s="33"/>
    </row>
    <row r="334" spans="1:3" ht="15.75">
      <c r="A334" s="6"/>
      <c r="B334" s="37"/>
      <c r="C334" s="33"/>
    </row>
    <row r="335" spans="1:3" ht="15.75">
      <c r="A335" s="6"/>
      <c r="B335" s="37"/>
      <c r="C335" s="33"/>
    </row>
    <row r="336" spans="1:3" ht="15.75">
      <c r="A336" s="6"/>
      <c r="B336" s="37"/>
      <c r="C336" s="33"/>
    </row>
    <row r="337" spans="1:3" ht="15.75">
      <c r="A337" s="6"/>
      <c r="B337" s="37"/>
      <c r="C337" s="33"/>
    </row>
    <row r="338" spans="1:3" ht="15.75">
      <c r="A338" s="6"/>
      <c r="B338" s="37"/>
      <c r="C338" s="33"/>
    </row>
    <row r="339" spans="1:3" ht="15.75">
      <c r="A339" s="6"/>
      <c r="B339" s="37"/>
      <c r="C339" s="33"/>
    </row>
    <row r="340" spans="1:3" ht="15.75">
      <c r="A340" s="6"/>
      <c r="B340" s="37"/>
      <c r="C340" s="33"/>
    </row>
    <row r="341" spans="1:3" ht="15.75">
      <c r="A341" s="6"/>
      <c r="B341" s="37"/>
      <c r="C341" s="33"/>
    </row>
    <row r="342" spans="1:3" ht="15.75">
      <c r="A342" s="6"/>
      <c r="B342" s="37"/>
      <c r="C342" s="33"/>
    </row>
    <row r="343" spans="1:3" ht="15.75">
      <c r="A343" s="6"/>
      <c r="B343" s="37"/>
      <c r="C343" s="33"/>
    </row>
    <row r="344" spans="1:3" ht="15.75">
      <c r="A344" s="6"/>
      <c r="B344" s="37"/>
      <c r="C344" s="33"/>
    </row>
    <row r="345" spans="1:3" ht="15.75">
      <c r="A345" s="6"/>
      <c r="B345" s="37"/>
      <c r="C345" s="33"/>
    </row>
    <row r="346" spans="1:3" ht="15.75">
      <c r="A346" s="6"/>
      <c r="B346" s="37"/>
      <c r="C346" s="33"/>
    </row>
    <row r="347" spans="1:3" ht="15.75">
      <c r="A347" s="6"/>
      <c r="B347" s="37"/>
      <c r="C347" s="33"/>
    </row>
    <row r="348" spans="1:3" ht="15.75">
      <c r="A348" s="6"/>
      <c r="B348" s="37"/>
      <c r="C348" s="33"/>
    </row>
    <row r="349" spans="1:3" ht="15.75">
      <c r="A349" s="6"/>
      <c r="B349" s="37"/>
      <c r="C349" s="33"/>
    </row>
    <row r="350" spans="1:3" ht="15.75">
      <c r="A350" s="6"/>
      <c r="B350" s="37"/>
      <c r="C350" s="33"/>
    </row>
    <row r="351" spans="1:3" ht="15.75">
      <c r="A351" s="6"/>
      <c r="B351" s="37"/>
      <c r="C351" s="33"/>
    </row>
    <row r="352" spans="1:3" ht="15.75">
      <c r="A352" s="6"/>
      <c r="B352" s="37"/>
      <c r="C352" s="33"/>
    </row>
    <row r="353" spans="1:3" ht="15.75">
      <c r="A353" s="6"/>
      <c r="B353" s="37"/>
      <c r="C353" s="33"/>
    </row>
    <row r="354" spans="1:3" ht="15.75">
      <c r="A354" s="6"/>
      <c r="B354" s="37"/>
      <c r="C354" s="33"/>
    </row>
    <row r="355" spans="1:3" ht="15.75">
      <c r="A355" s="6"/>
      <c r="B355" s="37"/>
      <c r="C355" s="33"/>
    </row>
    <row r="356" spans="1:3" ht="15.75">
      <c r="A356" s="6"/>
      <c r="B356" s="37"/>
      <c r="C356" s="33"/>
    </row>
    <row r="357" spans="1:3" ht="15.75">
      <c r="A357" s="6"/>
      <c r="B357" s="37"/>
      <c r="C357" s="33"/>
    </row>
    <row r="358" spans="1:3" ht="15.75">
      <c r="A358" s="6"/>
      <c r="B358" s="37"/>
      <c r="C358" s="33"/>
    </row>
    <row r="359" spans="1:3" ht="15.75">
      <c r="A359" s="6"/>
      <c r="B359" s="37"/>
      <c r="C359" s="33"/>
    </row>
    <row r="360" spans="1:3" ht="15.75">
      <c r="A360" s="6"/>
      <c r="B360" s="37"/>
      <c r="C360" s="33"/>
    </row>
    <row r="361" spans="1:3" ht="15.75">
      <c r="A361" s="6"/>
      <c r="B361" s="37"/>
      <c r="C361" s="33"/>
    </row>
    <row r="362" spans="1:3" ht="15.75">
      <c r="A362" s="6"/>
      <c r="B362" s="37"/>
      <c r="C362" s="33"/>
    </row>
    <row r="363" spans="1:3" ht="15.75">
      <c r="A363" s="6"/>
      <c r="B363" s="37"/>
      <c r="C363" s="33"/>
    </row>
    <row r="364" spans="1:3" ht="15.75">
      <c r="A364" s="6"/>
      <c r="B364" s="37"/>
      <c r="C364" s="33"/>
    </row>
    <row r="365" spans="1:3" ht="15.75">
      <c r="A365" s="6"/>
      <c r="B365" s="37"/>
      <c r="C365" s="33"/>
    </row>
    <row r="366" spans="1:3" ht="15.75">
      <c r="A366" s="6"/>
      <c r="B366" s="37"/>
      <c r="C366" s="33"/>
    </row>
    <row r="367" spans="1:3" ht="15.75">
      <c r="A367" s="6"/>
      <c r="B367" s="37"/>
      <c r="C367" s="33"/>
    </row>
    <row r="368" spans="1:3" ht="15.75">
      <c r="A368" s="6"/>
      <c r="B368" s="37"/>
      <c r="C368" s="33"/>
    </row>
    <row r="369" spans="1:3" ht="15.75">
      <c r="A369" s="6"/>
      <c r="B369" s="37"/>
      <c r="C369" s="33"/>
    </row>
    <row r="370" spans="1:3" ht="15.75">
      <c r="A370" s="6"/>
      <c r="B370" s="37"/>
      <c r="C370" s="33"/>
    </row>
    <row r="371" spans="1:3" ht="15.75">
      <c r="A371" s="6"/>
      <c r="B371" s="37"/>
      <c r="C371" s="33"/>
    </row>
    <row r="372" spans="1:3" ht="15.75">
      <c r="A372" s="6"/>
      <c r="B372" s="37"/>
      <c r="C372" s="33"/>
    </row>
    <row r="373" spans="1:3" ht="15.75">
      <c r="A373" s="6"/>
      <c r="B373" s="37"/>
      <c r="C373" s="33"/>
    </row>
    <row r="374" spans="1:3" ht="15.75">
      <c r="A374" s="6"/>
      <c r="B374" s="37"/>
      <c r="C374" s="33"/>
    </row>
    <row r="375" spans="1:3" ht="15.75">
      <c r="A375" s="6"/>
      <c r="B375" s="37"/>
      <c r="C375" s="33"/>
    </row>
    <row r="376" spans="1:3" ht="15.75">
      <c r="A376" s="6"/>
      <c r="B376" s="37"/>
      <c r="C376" s="33"/>
    </row>
    <row r="377" spans="1:3" ht="15.75">
      <c r="A377" s="6"/>
      <c r="B377" s="37"/>
      <c r="C377" s="33"/>
    </row>
    <row r="378" spans="1:3" ht="15.75">
      <c r="A378" s="6"/>
      <c r="B378" s="37"/>
      <c r="C378" s="33"/>
    </row>
    <row r="379" spans="1:3" ht="15.75">
      <c r="A379" s="6"/>
      <c r="B379" s="37"/>
      <c r="C379" s="33"/>
    </row>
    <row r="380" spans="1:3" ht="15.75">
      <c r="A380" s="6"/>
      <c r="B380" s="37"/>
      <c r="C380" s="33"/>
    </row>
    <row r="381" spans="1:3" ht="15.75">
      <c r="A381" s="6"/>
      <c r="B381" s="37"/>
      <c r="C381" s="33"/>
    </row>
    <row r="382" spans="1:3" ht="15.75">
      <c r="A382" s="6"/>
      <c r="B382" s="37"/>
      <c r="C382" s="33"/>
    </row>
    <row r="383" spans="1:3" ht="15.75">
      <c r="A383" s="6"/>
      <c r="B383" s="37"/>
      <c r="C383" s="33"/>
    </row>
    <row r="384" spans="1:3" ht="15.75">
      <c r="A384" s="6"/>
      <c r="B384" s="37"/>
      <c r="C384" s="33"/>
    </row>
    <row r="385" spans="1:3" ht="15.75">
      <c r="A385" s="6"/>
      <c r="B385" s="37"/>
      <c r="C385" s="33"/>
    </row>
    <row r="386" spans="1:3" ht="15.75">
      <c r="A386" s="6"/>
      <c r="B386" s="37"/>
      <c r="C386" s="33"/>
    </row>
    <row r="387" spans="1:3" ht="15.75">
      <c r="A387" s="6"/>
      <c r="B387" s="37"/>
      <c r="C387" s="33"/>
    </row>
    <row r="388" spans="1:3" ht="15.75">
      <c r="A388" s="6"/>
      <c r="B388" s="37"/>
      <c r="C388" s="33"/>
    </row>
    <row r="389" spans="1:3" ht="15.75">
      <c r="A389" s="6"/>
      <c r="B389" s="37"/>
      <c r="C389" s="33"/>
    </row>
    <row r="390" spans="1:3" ht="15.75">
      <c r="A390" s="6"/>
      <c r="B390" s="37"/>
      <c r="C390" s="33"/>
    </row>
    <row r="391" spans="1:3" ht="15.75">
      <c r="A391" s="6"/>
      <c r="B391" s="37"/>
      <c r="C391" s="33"/>
    </row>
    <row r="392" spans="1:3" ht="15.75">
      <c r="A392" s="6"/>
      <c r="B392" s="37"/>
      <c r="C392" s="33"/>
    </row>
    <row r="393" spans="1:3" ht="15.75">
      <c r="A393" s="6"/>
      <c r="B393" s="37"/>
      <c r="C393" s="33"/>
    </row>
    <row r="394" spans="1:3" ht="15.75">
      <c r="A394" s="6"/>
      <c r="B394" s="37"/>
      <c r="C394" s="33"/>
    </row>
    <row r="395" spans="1:3" ht="15.75">
      <c r="A395" s="6"/>
      <c r="B395" s="37"/>
      <c r="C395" s="33"/>
    </row>
    <row r="396" spans="1:3" ht="15.75">
      <c r="A396" s="6"/>
      <c r="B396" s="37"/>
      <c r="C396" s="33"/>
    </row>
    <row r="397" spans="1:3" ht="15.75">
      <c r="A397" s="6"/>
      <c r="B397" s="37"/>
      <c r="C397" s="33"/>
    </row>
    <row r="398" spans="1:3" ht="15.75">
      <c r="A398" s="6"/>
      <c r="B398" s="37"/>
      <c r="C398" s="33"/>
    </row>
    <row r="399" spans="1:3" ht="15.75">
      <c r="A399" s="6"/>
      <c r="B399" s="37"/>
      <c r="C399" s="33"/>
    </row>
    <row r="400" spans="1:3" ht="15.75">
      <c r="A400" s="6"/>
      <c r="B400" s="37"/>
      <c r="C400" s="33"/>
    </row>
    <row r="401" spans="1:3" ht="15.75">
      <c r="A401" s="6"/>
      <c r="B401" s="37"/>
      <c r="C401" s="33"/>
    </row>
    <row r="402" spans="1:3" ht="15.75">
      <c r="A402" s="6"/>
      <c r="B402" s="37"/>
      <c r="C402" s="33"/>
    </row>
    <row r="403" spans="1:3" ht="15.75">
      <c r="A403" s="6"/>
      <c r="B403" s="37"/>
      <c r="C403" s="33"/>
    </row>
    <row r="404" spans="1:3" ht="15.75">
      <c r="A404" s="6"/>
      <c r="B404" s="37"/>
      <c r="C404" s="33"/>
    </row>
    <row r="405" spans="1:3" ht="15.75">
      <c r="A405" s="6"/>
      <c r="B405" s="37"/>
      <c r="C405" s="33"/>
    </row>
    <row r="406" spans="1:3" ht="15.75">
      <c r="A406" s="6"/>
      <c r="B406" s="37"/>
      <c r="C406" s="33"/>
    </row>
    <row r="407" spans="1:3" ht="15.75">
      <c r="A407" s="6"/>
      <c r="B407" s="37"/>
      <c r="C407" s="33"/>
    </row>
    <row r="408" spans="1:3" ht="15.75">
      <c r="A408" s="6"/>
      <c r="B408" s="37"/>
      <c r="C408" s="33"/>
    </row>
    <row r="409" spans="1:3" ht="15.75">
      <c r="A409" s="6"/>
      <c r="B409" s="37"/>
      <c r="C409" s="33"/>
    </row>
    <row r="410" spans="1:3" ht="15.75">
      <c r="A410" s="6"/>
      <c r="B410" s="37"/>
      <c r="C410" s="33"/>
    </row>
    <row r="411" spans="1:3" ht="15.75">
      <c r="A411" s="6"/>
      <c r="B411" s="37"/>
      <c r="C411" s="33"/>
    </row>
    <row r="412" spans="1:3" ht="15.75">
      <c r="A412" s="6"/>
      <c r="B412" s="37"/>
      <c r="C412" s="33"/>
    </row>
    <row r="413" spans="1:3" ht="15.75">
      <c r="A413" s="6"/>
      <c r="B413" s="37"/>
      <c r="C413" s="33"/>
    </row>
    <row r="414" spans="1:3" ht="15.75">
      <c r="A414" s="6"/>
      <c r="B414" s="37"/>
      <c r="C414" s="33"/>
    </row>
    <row r="415" spans="1:3" ht="15.75">
      <c r="A415" s="6"/>
      <c r="B415" s="37"/>
      <c r="C415" s="33"/>
    </row>
    <row r="416" spans="1:3" ht="15.75">
      <c r="A416" s="6"/>
      <c r="B416" s="37"/>
      <c r="C416" s="33"/>
    </row>
    <row r="417" spans="1:3" ht="15.75">
      <c r="A417" s="6"/>
      <c r="B417" s="37"/>
      <c r="C417" s="33"/>
    </row>
    <row r="418" spans="1:3" ht="15.75">
      <c r="A418" s="6"/>
      <c r="B418" s="37"/>
      <c r="C418" s="33"/>
    </row>
    <row r="419" spans="1:3" ht="15.75">
      <c r="A419" s="6"/>
      <c r="B419" s="37"/>
      <c r="C419" s="33"/>
    </row>
    <row r="420" spans="1:3" ht="15.75">
      <c r="A420" s="6"/>
      <c r="B420" s="37"/>
      <c r="C420" s="33"/>
    </row>
    <row r="421" spans="1:3" ht="15.75">
      <c r="A421" s="6"/>
      <c r="B421" s="37"/>
      <c r="C421" s="33"/>
    </row>
    <row r="422" spans="1:3" ht="15.75">
      <c r="A422" s="6"/>
      <c r="B422" s="37"/>
      <c r="C422" s="33"/>
    </row>
    <row r="423" spans="1:3" ht="15.75">
      <c r="A423" s="6"/>
      <c r="B423" s="37"/>
      <c r="C423" s="33"/>
    </row>
    <row r="424" spans="1:3" ht="15.75">
      <c r="A424" s="6"/>
      <c r="B424" s="37"/>
      <c r="C424" s="33"/>
    </row>
    <row r="425" spans="1:3" ht="15.75">
      <c r="A425" s="6"/>
      <c r="B425" s="37"/>
      <c r="C425" s="33"/>
    </row>
    <row r="426" spans="1:3" ht="15.75">
      <c r="A426" s="6"/>
      <c r="B426" s="37"/>
      <c r="C426" s="33"/>
    </row>
    <row r="427" spans="1:3" ht="15.75">
      <c r="A427" s="6"/>
      <c r="B427" s="37"/>
      <c r="C427" s="33"/>
    </row>
    <row r="428" spans="1:3" ht="15.75">
      <c r="A428" s="6"/>
      <c r="B428" s="37"/>
      <c r="C428" s="33"/>
    </row>
    <row r="429" spans="1:3" ht="15.75">
      <c r="A429" s="6"/>
      <c r="B429" s="37"/>
      <c r="C429" s="33"/>
    </row>
    <row r="430" spans="1:3" ht="15.75">
      <c r="A430" s="6"/>
      <c r="B430" s="37"/>
      <c r="C430" s="33"/>
    </row>
    <row r="431" spans="1:3" ht="15.75">
      <c r="A431" s="6"/>
      <c r="B431" s="37"/>
      <c r="C431" s="33"/>
    </row>
    <row r="432" spans="1:3" ht="15.75">
      <c r="A432" s="6"/>
      <c r="B432" s="37"/>
      <c r="C432" s="33"/>
    </row>
    <row r="433" spans="1:3" ht="15.75">
      <c r="A433" s="6"/>
      <c r="B433" s="37"/>
      <c r="C433" s="33"/>
    </row>
    <row r="434" spans="1:3" ht="15.75">
      <c r="A434" s="6"/>
      <c r="B434" s="37"/>
      <c r="C434" s="33"/>
    </row>
    <row r="435" spans="1:3" ht="15.75">
      <c r="A435" s="6"/>
      <c r="B435" s="37"/>
      <c r="C435" s="33"/>
    </row>
    <row r="436" spans="1:3" ht="15.75">
      <c r="A436" s="6"/>
      <c r="B436" s="37"/>
      <c r="C436" s="33"/>
    </row>
    <row r="437" spans="1:3" ht="15.75">
      <c r="A437" s="6"/>
      <c r="B437" s="37"/>
      <c r="C437" s="33"/>
    </row>
    <row r="438" spans="1:3" ht="15.75">
      <c r="A438" s="6"/>
      <c r="B438" s="37"/>
      <c r="C438" s="33"/>
    </row>
    <row r="439" spans="1:3" ht="15.75">
      <c r="A439" s="6"/>
      <c r="B439" s="37"/>
      <c r="C439" s="33"/>
    </row>
    <row r="440" spans="1:3" ht="15.75">
      <c r="A440" s="6"/>
      <c r="B440" s="37"/>
      <c r="C440" s="33"/>
    </row>
    <row r="441" spans="1:3" ht="15.75">
      <c r="A441" s="6"/>
      <c r="B441" s="37"/>
      <c r="C441" s="33"/>
    </row>
    <row r="442" spans="1:3" ht="15.75">
      <c r="A442" s="6"/>
      <c r="B442" s="37"/>
      <c r="C442" s="33"/>
    </row>
    <row r="443" spans="1:3" ht="15.75">
      <c r="A443" s="6"/>
      <c r="B443" s="37"/>
      <c r="C443" s="33"/>
    </row>
    <row r="444" spans="1:3" ht="15.75">
      <c r="A444" s="6"/>
      <c r="B444" s="37"/>
      <c r="C444" s="33"/>
    </row>
    <row r="445" spans="1:3" ht="15.75">
      <c r="A445" s="6"/>
      <c r="B445" s="37"/>
      <c r="C445" s="33"/>
    </row>
    <row r="446" spans="1:3" ht="15.75">
      <c r="A446" s="6"/>
      <c r="B446" s="37"/>
      <c r="C446" s="33"/>
    </row>
    <row r="447" spans="1:3" ht="15.75">
      <c r="A447" s="6"/>
      <c r="B447" s="37"/>
      <c r="C447" s="33"/>
    </row>
    <row r="448" spans="1:3" ht="15.75">
      <c r="A448" s="6"/>
      <c r="B448" s="37"/>
      <c r="C448" s="33"/>
    </row>
    <row r="449" spans="1:3" ht="15.75">
      <c r="A449" s="6"/>
      <c r="B449" s="37"/>
      <c r="C449" s="33"/>
    </row>
    <row r="450" spans="1:3" ht="15.75">
      <c r="A450" s="6"/>
      <c r="B450" s="37"/>
      <c r="C450" s="33"/>
    </row>
    <row r="451" spans="1:3" ht="15.75">
      <c r="A451" s="6"/>
      <c r="B451" s="37"/>
      <c r="C451" s="33"/>
    </row>
    <row r="452" spans="1:3" ht="15.75">
      <c r="A452" s="6"/>
      <c r="B452" s="37"/>
      <c r="C452" s="33"/>
    </row>
    <row r="453" spans="1:3" ht="15.75">
      <c r="A453" s="6"/>
      <c r="B453" s="37"/>
      <c r="C453" s="33"/>
    </row>
    <row r="454" spans="1:3" ht="15.75">
      <c r="A454" s="6"/>
      <c r="B454" s="37"/>
      <c r="C454" s="33"/>
    </row>
    <row r="455" spans="1:3" ht="15.75">
      <c r="A455" s="6"/>
      <c r="B455" s="37"/>
      <c r="C455" s="33"/>
    </row>
    <row r="456" spans="1:3" ht="15.75">
      <c r="A456" s="6"/>
      <c r="B456" s="37"/>
      <c r="C456" s="33"/>
    </row>
    <row r="457" spans="1:3" ht="15.75">
      <c r="A457" s="6"/>
      <c r="B457" s="37"/>
      <c r="C457" s="33"/>
    </row>
    <row r="458" spans="1:3" ht="15.75">
      <c r="A458" s="6"/>
      <c r="B458" s="37"/>
      <c r="C458" s="33"/>
    </row>
    <row r="459" spans="1:3" ht="15.75">
      <c r="A459" s="6"/>
      <c r="B459" s="37"/>
      <c r="C459" s="33"/>
    </row>
    <row r="460" spans="1:3" ht="15.75">
      <c r="A460" s="6"/>
      <c r="B460" s="37"/>
      <c r="C460" s="33"/>
    </row>
    <row r="461" spans="1:3" ht="15.75">
      <c r="A461" s="6"/>
      <c r="B461" s="37"/>
      <c r="C461" s="33"/>
    </row>
    <row r="462" spans="1:3" ht="15.75">
      <c r="A462" s="6"/>
      <c r="B462" s="37"/>
      <c r="C462" s="33"/>
    </row>
    <row r="463" spans="1:3" ht="15.75">
      <c r="A463" s="6"/>
      <c r="B463" s="37"/>
      <c r="C463" s="33"/>
    </row>
    <row r="464" spans="1:3" ht="15.75">
      <c r="A464" s="6"/>
      <c r="B464" s="37"/>
      <c r="C464" s="33"/>
    </row>
    <row r="465" spans="1:3" ht="15.75">
      <c r="A465" s="6"/>
      <c r="B465" s="37"/>
      <c r="C465" s="33"/>
    </row>
    <row r="466" spans="1:3" ht="15.75">
      <c r="A466" s="6"/>
      <c r="B466" s="37"/>
      <c r="C466" s="33"/>
    </row>
    <row r="467" spans="1:3" ht="15.75">
      <c r="A467" s="6"/>
      <c r="B467" s="37"/>
      <c r="C467" s="33"/>
    </row>
    <row r="468" spans="1:3" ht="15.75">
      <c r="A468" s="6"/>
      <c r="B468" s="37"/>
      <c r="C468" s="33"/>
    </row>
    <row r="469" spans="1:3" ht="15.75">
      <c r="A469" s="6"/>
      <c r="B469" s="37"/>
      <c r="C469" s="33"/>
    </row>
    <row r="470" spans="1:3" ht="15.75">
      <c r="A470" s="6"/>
      <c r="B470" s="37"/>
      <c r="C470" s="33"/>
    </row>
    <row r="471" spans="1:3" ht="15.75">
      <c r="A471" s="6"/>
      <c r="B471" s="37"/>
      <c r="C471" s="33"/>
    </row>
    <row r="472" spans="1:3" ht="15.75">
      <c r="A472" s="6"/>
      <c r="B472" s="37"/>
      <c r="C472" s="33"/>
    </row>
    <row r="473" spans="1:3" ht="15.75">
      <c r="A473" s="6"/>
      <c r="B473" s="37"/>
      <c r="C473" s="33"/>
    </row>
    <row r="474" spans="1:3" ht="15.75">
      <c r="A474" s="6"/>
      <c r="B474" s="37"/>
      <c r="C474" s="33"/>
    </row>
    <row r="475" spans="1:3" ht="15.75">
      <c r="A475" s="6"/>
      <c r="B475" s="37"/>
      <c r="C475" s="33"/>
    </row>
    <row r="476" spans="1:3" ht="15.75">
      <c r="A476" s="6"/>
      <c r="B476" s="37"/>
      <c r="C476" s="33"/>
    </row>
    <row r="477" spans="1:3" ht="15.75">
      <c r="A477" s="6"/>
      <c r="B477" s="37"/>
      <c r="C477" s="33"/>
    </row>
    <row r="478" spans="1:3" ht="15.75">
      <c r="A478" s="6"/>
      <c r="B478" s="37"/>
      <c r="C478" s="33"/>
    </row>
    <row r="479" spans="1:3" ht="15.75">
      <c r="A479" s="6"/>
      <c r="B479" s="37"/>
      <c r="C479" s="33"/>
    </row>
    <row r="480" spans="1:3" ht="15.75">
      <c r="A480" s="6"/>
      <c r="B480" s="37"/>
      <c r="C480" s="33"/>
    </row>
    <row r="481" spans="1:3" ht="15.75">
      <c r="A481" s="6"/>
      <c r="B481" s="37"/>
      <c r="C481" s="33"/>
    </row>
    <row r="482" spans="1:3" ht="15.75">
      <c r="A482" s="6"/>
      <c r="B482" s="37"/>
      <c r="C482" s="33"/>
    </row>
    <row r="483" spans="1:3" ht="15.75">
      <c r="A483" s="6"/>
      <c r="B483" s="37"/>
      <c r="C483" s="33"/>
    </row>
    <row r="484" spans="1:3" ht="15.75">
      <c r="A484" s="6"/>
      <c r="B484" s="37"/>
      <c r="C484" s="33"/>
    </row>
    <row r="485" spans="1:3" ht="15.75">
      <c r="A485" s="6"/>
      <c r="B485" s="37"/>
      <c r="C485" s="33"/>
    </row>
    <row r="486" spans="1:3" ht="15.75">
      <c r="A486" s="6"/>
      <c r="B486" s="37"/>
      <c r="C486" s="33"/>
    </row>
    <row r="487" spans="1:3" ht="15.75">
      <c r="A487" s="6"/>
      <c r="B487" s="37"/>
      <c r="C487" s="33"/>
    </row>
    <row r="488" spans="1:3" ht="15.75">
      <c r="A488" s="6"/>
      <c r="B488" s="37"/>
      <c r="C488" s="33"/>
    </row>
    <row r="489" spans="1:3" ht="15.75">
      <c r="A489" s="6"/>
      <c r="B489" s="37"/>
      <c r="C489" s="33"/>
    </row>
    <row r="490" spans="1:3" ht="15.75">
      <c r="A490" s="6"/>
      <c r="B490" s="37"/>
      <c r="C490" s="33"/>
    </row>
    <row r="491" spans="1:3" ht="15.75">
      <c r="A491" s="6"/>
      <c r="B491" s="37"/>
      <c r="C491" s="33"/>
    </row>
    <row r="492" spans="1:3" ht="15.75">
      <c r="A492" s="6"/>
      <c r="B492" s="37"/>
      <c r="C492" s="33"/>
    </row>
    <row r="493" spans="1:3" ht="15.75">
      <c r="A493" s="6"/>
      <c r="B493" s="37"/>
      <c r="C493" s="33"/>
    </row>
    <row r="494" spans="1:3" ht="15.75">
      <c r="A494" s="6"/>
      <c r="B494" s="37"/>
      <c r="C494" s="33"/>
    </row>
    <row r="495" spans="1:3" ht="15.75">
      <c r="A495" s="6"/>
      <c r="B495" s="37"/>
      <c r="C495" s="33"/>
    </row>
    <row r="496" spans="1:3" ht="15.75">
      <c r="A496" s="6"/>
      <c r="B496" s="37"/>
      <c r="C496" s="33"/>
    </row>
    <row r="497" spans="1:3" ht="15.75">
      <c r="A497" s="6"/>
      <c r="B497" s="37"/>
      <c r="C497" s="33"/>
    </row>
    <row r="498" spans="1:3" ht="15.75">
      <c r="A498" s="6"/>
      <c r="B498" s="37"/>
      <c r="C498" s="33"/>
    </row>
    <row r="499" spans="1:3" ht="15.75">
      <c r="A499" s="6"/>
      <c r="B499" s="37"/>
      <c r="C499" s="33"/>
    </row>
    <row r="500" spans="1:3" ht="15.75">
      <c r="A500" s="6"/>
      <c r="B500" s="37"/>
      <c r="C500" s="33"/>
    </row>
    <row r="501" spans="1:3" ht="15.75">
      <c r="A501" s="6"/>
      <c r="B501" s="37"/>
      <c r="C501" s="33"/>
    </row>
    <row r="502" spans="1:3" ht="15.75">
      <c r="A502" s="6"/>
      <c r="B502" s="37"/>
      <c r="C502" s="33"/>
    </row>
    <row r="503" spans="1:3" ht="15.75">
      <c r="A503" s="6"/>
      <c r="B503" s="37"/>
      <c r="C503" s="33"/>
    </row>
    <row r="504" spans="1:3" ht="15.75">
      <c r="A504" s="6"/>
      <c r="B504" s="37"/>
      <c r="C504" s="33"/>
    </row>
    <row r="505" spans="1:3" ht="15.75">
      <c r="A505" s="6"/>
      <c r="B505" s="37"/>
      <c r="C505" s="33"/>
    </row>
    <row r="506" spans="1:3" ht="15.75">
      <c r="A506" s="6"/>
      <c r="B506" s="37"/>
      <c r="C506" s="33"/>
    </row>
    <row r="507" spans="1:3" ht="15.75">
      <c r="A507" s="6"/>
      <c r="B507" s="37"/>
      <c r="C507" s="33"/>
    </row>
    <row r="508" spans="1:3" ht="15.75">
      <c r="A508" s="6"/>
      <c r="B508" s="37"/>
      <c r="C508" s="33"/>
    </row>
    <row r="509" spans="1:3" ht="15.75">
      <c r="A509" s="6"/>
      <c r="B509" s="37"/>
      <c r="C509" s="33"/>
    </row>
    <row r="510" spans="1:3" ht="15.75">
      <c r="A510" s="6"/>
      <c r="B510" s="37"/>
      <c r="C510" s="33"/>
    </row>
    <row r="511" spans="1:3" ht="15.75">
      <c r="A511" s="6"/>
      <c r="B511" s="37"/>
      <c r="C511" s="33"/>
    </row>
    <row r="512" spans="1:3" ht="15.75">
      <c r="A512" s="6"/>
      <c r="B512" s="37"/>
      <c r="C512" s="33"/>
    </row>
    <row r="513" spans="1:3" ht="15.75">
      <c r="A513" s="6"/>
      <c r="B513" s="37"/>
      <c r="C513" s="33"/>
    </row>
    <row r="514" spans="1:3" ht="15.75">
      <c r="A514" s="6"/>
      <c r="B514" s="37"/>
      <c r="C514" s="33"/>
    </row>
    <row r="515" spans="1:3" ht="15.75">
      <c r="A515" s="6"/>
      <c r="B515" s="37"/>
      <c r="C515" s="33"/>
    </row>
    <row r="516" spans="1:3" ht="15.75">
      <c r="A516" s="6"/>
      <c r="B516" s="37"/>
      <c r="C516" s="33"/>
    </row>
    <row r="517" spans="1:3" ht="15.75">
      <c r="A517" s="6"/>
      <c r="B517" s="37"/>
      <c r="C517" s="33"/>
    </row>
    <row r="518" spans="1:3" ht="15.75">
      <c r="A518" s="6"/>
      <c r="B518" s="37"/>
      <c r="C518" s="33"/>
    </row>
    <row r="519" spans="1:3" ht="15.75">
      <c r="A519" s="6"/>
      <c r="B519" s="37"/>
      <c r="C519" s="33"/>
    </row>
    <row r="520" spans="1:3" ht="15.75">
      <c r="A520" s="6"/>
      <c r="B520" s="37"/>
      <c r="C520" s="33"/>
    </row>
    <row r="521" spans="1:3" ht="15.75">
      <c r="A521" s="6"/>
      <c r="B521" s="37"/>
      <c r="C521" s="33"/>
    </row>
    <row r="522" spans="1:3" ht="15.75">
      <c r="A522" s="6"/>
      <c r="B522" s="37"/>
      <c r="C522" s="33"/>
    </row>
    <row r="523" spans="1:3" ht="15.75">
      <c r="A523" s="6"/>
      <c r="B523" s="37"/>
      <c r="C523" s="33"/>
    </row>
    <row r="524" spans="1:3" ht="15.75">
      <c r="A524" s="6"/>
      <c r="B524" s="37"/>
      <c r="C524" s="33"/>
    </row>
    <row r="525" spans="1:3" ht="15.75">
      <c r="A525" s="6"/>
      <c r="B525" s="37"/>
      <c r="C525" s="33"/>
    </row>
    <row r="526" spans="1:3" ht="15.75">
      <c r="A526" s="6"/>
      <c r="B526" s="37"/>
      <c r="C526" s="33"/>
    </row>
    <row r="527" spans="1:3" ht="15.75">
      <c r="A527" s="6"/>
      <c r="B527" s="37"/>
      <c r="C527" s="33"/>
    </row>
    <row r="528" spans="1:3" ht="15.75">
      <c r="A528" s="6"/>
      <c r="B528" s="37"/>
      <c r="C528" s="33"/>
    </row>
    <row r="529" spans="1:3" ht="15.75">
      <c r="A529" s="6"/>
      <c r="B529" s="37"/>
      <c r="C529" s="33"/>
    </row>
    <row r="530" spans="1:3" ht="15.75">
      <c r="A530" s="6"/>
      <c r="B530" s="37"/>
      <c r="C530" s="33"/>
    </row>
    <row r="531" spans="1:3" ht="15.75">
      <c r="A531" s="6"/>
      <c r="B531" s="37"/>
      <c r="C531" s="33"/>
    </row>
    <row r="532" spans="1:3" ht="15.75">
      <c r="A532" s="6"/>
      <c r="B532" s="37"/>
      <c r="C532" s="33"/>
    </row>
    <row r="533" spans="1:3" ht="15.75">
      <c r="A533" s="6"/>
      <c r="B533" s="37"/>
      <c r="C533" s="33"/>
    </row>
    <row r="534" spans="1:3" ht="15.75">
      <c r="A534" s="6"/>
      <c r="B534" s="37"/>
      <c r="C534" s="33"/>
    </row>
    <row r="535" spans="1:3" ht="15.75">
      <c r="A535" s="6"/>
      <c r="B535" s="37"/>
      <c r="C535" s="33"/>
    </row>
    <row r="536" spans="1:3" ht="15.75">
      <c r="A536" s="6"/>
      <c r="B536" s="37"/>
      <c r="C536" s="33"/>
    </row>
    <row r="537" spans="1:3" ht="15.75">
      <c r="A537" s="6"/>
      <c r="B537" s="37"/>
      <c r="C537" s="33"/>
    </row>
    <row r="538" spans="1:3" ht="15.75">
      <c r="A538" s="6"/>
      <c r="B538" s="37"/>
      <c r="C538" s="33"/>
    </row>
    <row r="539" spans="1:3" ht="15.75">
      <c r="A539" s="6"/>
      <c r="B539" s="37"/>
      <c r="C539" s="33"/>
    </row>
    <row r="540" spans="1:3" ht="15.75">
      <c r="A540" s="6"/>
      <c r="B540" s="37"/>
      <c r="C540" s="33"/>
    </row>
    <row r="541" spans="1:3" ht="15.75">
      <c r="A541" s="6"/>
      <c r="B541" s="37"/>
      <c r="C541" s="33"/>
    </row>
    <row r="542" spans="1:3" ht="15.75">
      <c r="A542" s="6"/>
      <c r="B542" s="37"/>
      <c r="C542" s="33"/>
    </row>
    <row r="543" spans="1:3" ht="15.75">
      <c r="A543" s="6"/>
      <c r="B543" s="37"/>
      <c r="C543" s="33"/>
    </row>
    <row r="544" spans="1:3" ht="15.75">
      <c r="A544" s="6"/>
      <c r="B544" s="37"/>
      <c r="C544" s="33"/>
    </row>
    <row r="545" spans="1:3" ht="15.75">
      <c r="A545" s="6"/>
      <c r="B545" s="37"/>
      <c r="C545" s="33"/>
    </row>
    <row r="546" spans="1:3" ht="15.75">
      <c r="A546" s="6"/>
      <c r="B546" s="37"/>
      <c r="C546" s="33"/>
    </row>
    <row r="547" spans="1:3" ht="15.75">
      <c r="A547" s="6"/>
      <c r="B547" s="37"/>
      <c r="C547" s="33"/>
    </row>
    <row r="548" spans="1:3" ht="15.75">
      <c r="A548" s="6"/>
      <c r="B548" s="37"/>
      <c r="C548" s="33"/>
    </row>
    <row r="549" spans="1:3" ht="15.75">
      <c r="A549" s="6"/>
      <c r="B549" s="37"/>
      <c r="C549" s="33"/>
    </row>
    <row r="550" spans="1:3" ht="15.75">
      <c r="A550" s="6"/>
      <c r="B550" s="37"/>
      <c r="C550" s="33"/>
    </row>
    <row r="551" spans="1:3" ht="15.75">
      <c r="A551" s="6"/>
      <c r="B551" s="37"/>
      <c r="C551" s="33"/>
    </row>
    <row r="552" spans="1:3" ht="15.75">
      <c r="A552" s="6"/>
      <c r="B552" s="37"/>
      <c r="C552" s="33"/>
    </row>
    <row r="553" spans="1:3" ht="15.75">
      <c r="A553" s="6"/>
      <c r="B553" s="37"/>
      <c r="C553" s="33"/>
    </row>
    <row r="554" spans="1:3" ht="15.75">
      <c r="A554" s="6"/>
      <c r="B554" s="37"/>
      <c r="C554" s="33"/>
    </row>
    <row r="555" spans="1:3" ht="15.75">
      <c r="A555" s="6"/>
      <c r="B555" s="37"/>
      <c r="C555" s="33"/>
    </row>
    <row r="556" spans="1:3" ht="15.75">
      <c r="A556" s="6"/>
      <c r="B556" s="37"/>
      <c r="C556" s="33"/>
    </row>
    <row r="557" spans="1:3" ht="15.75">
      <c r="A557" s="6"/>
      <c r="B557" s="37"/>
      <c r="C557" s="33"/>
    </row>
    <row r="558" spans="1:3" ht="15.75">
      <c r="A558" s="6"/>
      <c r="B558" s="37"/>
      <c r="C558" s="33"/>
    </row>
    <row r="559" spans="1:3" ht="15.75">
      <c r="A559" s="6"/>
      <c r="B559" s="37"/>
      <c r="C559" s="33"/>
    </row>
    <row r="560" spans="1:3" ht="15.75">
      <c r="A560" s="6"/>
      <c r="B560" s="37"/>
      <c r="C560" s="33"/>
    </row>
    <row r="561" spans="1:3" ht="15.75">
      <c r="A561" s="6"/>
      <c r="B561" s="37"/>
      <c r="C561" s="33"/>
    </row>
    <row r="562" spans="1:3" ht="15.75">
      <c r="A562" s="6"/>
      <c r="B562" s="37"/>
      <c r="C562" s="33"/>
    </row>
    <row r="563" spans="1:3" ht="15.75">
      <c r="A563" s="6"/>
      <c r="B563" s="37"/>
      <c r="C563" s="33"/>
    </row>
    <row r="564" spans="1:3" ht="15.75">
      <c r="A564" s="6"/>
      <c r="B564" s="37"/>
      <c r="C564" s="33"/>
    </row>
    <row r="565" spans="1:3" ht="15.75">
      <c r="A565" s="6"/>
      <c r="B565" s="37"/>
      <c r="C565" s="33"/>
    </row>
    <row r="566" spans="1:3" ht="15.75">
      <c r="A566" s="6"/>
      <c r="B566" s="37"/>
      <c r="C566" s="33"/>
    </row>
    <row r="567" spans="1:3" ht="15.75">
      <c r="A567" s="6"/>
      <c r="B567" s="37"/>
      <c r="C567" s="33"/>
    </row>
    <row r="568" spans="1:3" ht="15.75">
      <c r="A568" s="6"/>
      <c r="B568" s="37"/>
      <c r="C568" s="33"/>
    </row>
    <row r="569" spans="1:3" ht="15.75">
      <c r="A569" s="6"/>
      <c r="B569" s="37"/>
      <c r="C569" s="33"/>
    </row>
    <row r="570" spans="1:3" ht="15.75">
      <c r="A570" s="6"/>
      <c r="B570" s="37"/>
      <c r="C570" s="33"/>
    </row>
    <row r="571" spans="1:3" ht="15.75">
      <c r="A571" s="6"/>
      <c r="B571" s="37"/>
      <c r="C571" s="33"/>
    </row>
    <row r="572" spans="1:3" ht="15.75">
      <c r="A572" s="6"/>
      <c r="B572" s="37"/>
      <c r="C572" s="33"/>
    </row>
    <row r="573" spans="1:3" ht="15.75">
      <c r="A573" s="6"/>
      <c r="B573" s="37"/>
      <c r="C573" s="33"/>
    </row>
    <row r="574" spans="1:3" ht="15.75">
      <c r="A574" s="6"/>
      <c r="B574" s="37"/>
      <c r="C574" s="33"/>
    </row>
    <row r="575" spans="1:3" ht="15.75">
      <c r="A575" s="6"/>
      <c r="B575" s="37"/>
      <c r="C575" s="33"/>
    </row>
    <row r="576" spans="1:3" ht="15.75">
      <c r="A576" s="6"/>
      <c r="B576" s="37"/>
      <c r="C576" s="33"/>
    </row>
    <row r="577" spans="1:3" ht="15.75">
      <c r="A577" s="6"/>
      <c r="B577" s="37"/>
      <c r="C577" s="33"/>
    </row>
    <row r="578" spans="1:3" ht="15.75">
      <c r="A578" s="6"/>
      <c r="B578" s="37"/>
      <c r="C578" s="33"/>
    </row>
    <row r="579" spans="1:3" ht="15.75">
      <c r="A579" s="6"/>
      <c r="B579" s="37"/>
      <c r="C579" s="33"/>
    </row>
    <row r="580" spans="1:3" ht="15.75">
      <c r="A580" s="6"/>
      <c r="B580" s="37"/>
      <c r="C580" s="33"/>
    </row>
    <row r="581" spans="1:3" ht="15.75">
      <c r="A581" s="6"/>
      <c r="B581" s="37"/>
      <c r="C581" s="33"/>
    </row>
    <row r="582" spans="1:3" ht="15.75">
      <c r="A582" s="6"/>
      <c r="B582" s="37"/>
      <c r="C582" s="33"/>
    </row>
    <row r="583" spans="1:3" ht="15.75">
      <c r="A583" s="6"/>
      <c r="B583" s="37"/>
      <c r="C583" s="33"/>
    </row>
    <row r="584" spans="1:3" ht="15.75">
      <c r="A584" s="6"/>
      <c r="B584" s="37"/>
      <c r="C584" s="33"/>
    </row>
    <row r="585" spans="1:3" ht="15.75">
      <c r="A585" s="6"/>
      <c r="B585" s="37"/>
      <c r="C585" s="33"/>
    </row>
    <row r="586" spans="1:3" ht="15.75">
      <c r="A586" s="6"/>
      <c r="B586" s="37"/>
      <c r="C586" s="33"/>
    </row>
    <row r="587" spans="1:3" ht="15.75">
      <c r="A587" s="6"/>
      <c r="B587" s="37"/>
      <c r="C587" s="33"/>
    </row>
    <row r="588" spans="1:3" ht="15.75">
      <c r="A588" s="6"/>
      <c r="B588" s="37"/>
      <c r="C588" s="33"/>
    </row>
    <row r="589" spans="1:3" ht="15.75">
      <c r="A589" s="6"/>
      <c r="B589" s="37"/>
      <c r="C589" s="33"/>
    </row>
    <row r="590" spans="1:3" ht="15.75">
      <c r="A590" s="6"/>
      <c r="B590" s="37"/>
      <c r="C590" s="33"/>
    </row>
    <row r="591" spans="1:3" ht="15.75">
      <c r="A591" s="6"/>
      <c r="B591" s="37"/>
      <c r="C591" s="33"/>
    </row>
    <row r="592" spans="1:3" ht="15.75">
      <c r="A592" s="6"/>
      <c r="B592" s="37"/>
      <c r="C592" s="33"/>
    </row>
    <row r="593" spans="1:3" ht="15.75">
      <c r="A593" s="6"/>
      <c r="B593" s="37"/>
      <c r="C593" s="33"/>
    </row>
    <row r="594" spans="1:3" ht="15.75">
      <c r="A594" s="6"/>
      <c r="B594" s="37"/>
      <c r="C594" s="33"/>
    </row>
    <row r="595" spans="1:3" ht="15.75">
      <c r="A595" s="6"/>
      <c r="B595" s="37"/>
      <c r="C595" s="33"/>
    </row>
    <row r="596" spans="1:3" ht="15.75">
      <c r="A596" s="6"/>
      <c r="B596" s="37"/>
      <c r="C596" s="33"/>
    </row>
    <row r="597" spans="1:3" ht="15.75">
      <c r="A597" s="6"/>
      <c r="B597" s="37"/>
      <c r="C597" s="33"/>
    </row>
    <row r="598" spans="1:3" ht="15.75">
      <c r="A598" s="6"/>
      <c r="B598" s="37"/>
      <c r="C598" s="33"/>
    </row>
    <row r="599" spans="1:3" ht="15.75">
      <c r="A599" s="6"/>
      <c r="B599" s="37"/>
      <c r="C599" s="33"/>
    </row>
    <row r="600" spans="1:3" ht="15.75">
      <c r="A600" s="6"/>
      <c r="B600" s="37"/>
      <c r="C600" s="33"/>
    </row>
    <row r="601" spans="1:3" ht="15.75">
      <c r="A601" s="6"/>
      <c r="B601" s="37"/>
      <c r="C601" s="33"/>
    </row>
    <row r="602" spans="1:3" ht="15.75">
      <c r="A602" s="6"/>
      <c r="B602" s="37"/>
      <c r="C602" s="33"/>
    </row>
    <row r="603" spans="1:3" ht="15.75">
      <c r="A603" s="6"/>
      <c r="B603" s="37"/>
      <c r="C603" s="33"/>
    </row>
    <row r="604" spans="1:3" ht="15.75">
      <c r="A604" s="6"/>
      <c r="B604" s="37"/>
      <c r="C604" s="33"/>
    </row>
    <row r="605" spans="1:3" ht="15.75">
      <c r="A605" s="6"/>
      <c r="B605" s="37"/>
      <c r="C605" s="33"/>
    </row>
    <row r="606" spans="1:3" ht="15.75">
      <c r="A606" s="6"/>
      <c r="B606" s="37"/>
      <c r="C606" s="33"/>
    </row>
    <row r="607" spans="1:3" ht="15.75">
      <c r="A607" s="6"/>
      <c r="B607" s="37"/>
      <c r="C607" s="33"/>
    </row>
    <row r="608" spans="1:3" ht="15.75">
      <c r="A608" s="6"/>
      <c r="B608" s="37"/>
      <c r="C608" s="33"/>
    </row>
    <row r="609" spans="1:3" ht="15.75">
      <c r="A609" s="6"/>
      <c r="B609" s="37"/>
      <c r="C609" s="33"/>
    </row>
    <row r="610" spans="1:3" ht="15.75">
      <c r="A610" s="6"/>
      <c r="B610" s="37"/>
      <c r="C610" s="33"/>
    </row>
    <row r="611" spans="1:3" ht="15.75">
      <c r="A611" s="6"/>
      <c r="B611" s="37"/>
      <c r="C611" s="33"/>
    </row>
    <row r="612" spans="1:3" ht="15.75">
      <c r="A612" s="6"/>
      <c r="B612" s="37"/>
      <c r="C612" s="33"/>
    </row>
    <row r="613" spans="1:3" ht="15.75">
      <c r="A613" s="6"/>
      <c r="B613" s="37"/>
      <c r="C613" s="33"/>
    </row>
    <row r="614" spans="1:3" ht="15.75">
      <c r="A614" s="6"/>
      <c r="B614" s="37"/>
      <c r="C614" s="33"/>
    </row>
    <row r="615" spans="1:3" ht="15.75">
      <c r="A615" s="6"/>
      <c r="B615" s="37"/>
      <c r="C615" s="33"/>
    </row>
    <row r="616" spans="1:3" ht="15.75">
      <c r="A616" s="6"/>
      <c r="B616" s="37"/>
      <c r="C616" s="33"/>
    </row>
    <row r="617" spans="1:3" ht="15.75">
      <c r="A617" s="6"/>
      <c r="B617" s="37"/>
      <c r="C617" s="33"/>
    </row>
    <row r="618" spans="1:3" ht="15.75">
      <c r="A618" s="6"/>
      <c r="B618" s="37"/>
      <c r="C618" s="33"/>
    </row>
    <row r="619" spans="1:3" ht="15.75">
      <c r="A619" s="6"/>
      <c r="B619" s="37"/>
      <c r="C619" s="33"/>
    </row>
    <row r="620" spans="1:3" ht="15.75">
      <c r="A620" s="6"/>
      <c r="B620" s="37"/>
      <c r="C620" s="33"/>
    </row>
    <row r="621" spans="1:3" ht="15.75">
      <c r="A621" s="6"/>
      <c r="B621" s="37"/>
      <c r="C621" s="33"/>
    </row>
    <row r="622" spans="1:3" ht="15.75">
      <c r="A622" s="6"/>
      <c r="B622" s="37"/>
      <c r="C622" s="33"/>
    </row>
    <row r="623" spans="1:3" ht="15.75">
      <c r="A623" s="6"/>
      <c r="B623" s="37"/>
      <c r="C623" s="33"/>
    </row>
    <row r="624" spans="1:3" ht="15.75">
      <c r="A624" s="6"/>
      <c r="B624" s="37"/>
      <c r="C624" s="33"/>
    </row>
    <row r="625" spans="1:3" ht="15.75">
      <c r="A625" s="6"/>
      <c r="B625" s="37"/>
      <c r="C625" s="33"/>
    </row>
    <row r="626" spans="1:3" ht="15.75">
      <c r="A626" s="6"/>
      <c r="B626" s="37"/>
      <c r="C626" s="33"/>
    </row>
    <row r="627" spans="1:3" ht="15.75">
      <c r="A627" s="6"/>
      <c r="B627" s="37"/>
      <c r="C627" s="33"/>
    </row>
    <row r="628" spans="1:3" ht="15.75">
      <c r="A628" s="6"/>
      <c r="B628" s="37"/>
      <c r="C628" s="33"/>
    </row>
    <row r="629" spans="1:3" ht="15.75">
      <c r="A629" s="6"/>
      <c r="B629" s="37"/>
      <c r="C629" s="33"/>
    </row>
    <row r="630" spans="1:3" ht="15.75">
      <c r="A630" s="6"/>
      <c r="B630" s="37"/>
      <c r="C630" s="33"/>
    </row>
    <row r="631" spans="1:3" ht="15.75">
      <c r="A631" s="6"/>
      <c r="B631" s="37"/>
      <c r="C631" s="33"/>
    </row>
    <row r="632" spans="1:3" ht="15.75">
      <c r="A632" s="6"/>
      <c r="B632" s="37"/>
      <c r="C632" s="33"/>
    </row>
    <row r="633" spans="1:3" ht="15.75">
      <c r="A633" s="6"/>
      <c r="B633" s="37"/>
      <c r="C633" s="33"/>
    </row>
    <row r="634" spans="1:3" ht="15.75">
      <c r="A634" s="6"/>
      <c r="B634" s="37"/>
      <c r="C634" s="33"/>
    </row>
    <row r="635" spans="1:3" ht="15.75">
      <c r="A635" s="6"/>
      <c r="B635" s="37"/>
      <c r="C635" s="33"/>
    </row>
    <row r="636" spans="1:3" ht="15.75">
      <c r="A636" s="6"/>
      <c r="B636" s="37"/>
      <c r="C636" s="33"/>
    </row>
    <row r="637" spans="1:3" ht="15.75">
      <c r="A637" s="6"/>
      <c r="B637" s="37"/>
      <c r="C637" s="33"/>
    </row>
    <row r="638" spans="1:3" ht="15.75">
      <c r="A638" s="6"/>
      <c r="B638" s="37"/>
      <c r="C638" s="33"/>
    </row>
    <row r="639" spans="1:3" ht="15.75">
      <c r="A639" s="6"/>
      <c r="B639" s="37"/>
      <c r="C639" s="33"/>
    </row>
    <row r="640" spans="1:3" ht="15.75">
      <c r="A640" s="6"/>
      <c r="B640" s="37"/>
      <c r="C640" s="33"/>
    </row>
    <row r="641" spans="1:3" ht="15.75">
      <c r="A641" s="6"/>
      <c r="B641" s="37"/>
      <c r="C641" s="33"/>
    </row>
    <row r="642" spans="1:3" ht="15.75">
      <c r="A642" s="6"/>
      <c r="B642" s="37"/>
      <c r="C642" s="33"/>
    </row>
    <row r="643" spans="1:3" ht="15.75">
      <c r="A643" s="6"/>
      <c r="B643" s="37"/>
      <c r="C643" s="33"/>
    </row>
    <row r="644" spans="1:3" ht="15.75">
      <c r="A644" s="6"/>
      <c r="B644" s="37"/>
      <c r="C644" s="33"/>
    </row>
    <row r="645" spans="1:3" ht="15.75">
      <c r="A645" s="6"/>
      <c r="B645" s="37"/>
      <c r="C645" s="33"/>
    </row>
    <row r="646" spans="1:3" ht="15.75">
      <c r="A646" s="6"/>
      <c r="B646" s="37"/>
      <c r="C646" s="33"/>
    </row>
    <row r="647" spans="1:3" ht="15.75">
      <c r="A647" s="6"/>
      <c r="B647" s="37"/>
      <c r="C647" s="33"/>
    </row>
    <row r="648" spans="1:3" ht="15.75">
      <c r="A648" s="6"/>
      <c r="B648" s="37"/>
      <c r="C648" s="33"/>
    </row>
    <row r="649" spans="1:3" ht="15.75">
      <c r="A649" s="6"/>
      <c r="B649" s="37"/>
      <c r="C649" s="33"/>
    </row>
    <row r="650" spans="1:3" ht="15.75">
      <c r="A650" s="6"/>
      <c r="B650" s="37"/>
      <c r="C650" s="33"/>
    </row>
    <row r="651" spans="1:3" ht="15.75">
      <c r="A651" s="6"/>
      <c r="B651" s="37"/>
      <c r="C651" s="33"/>
    </row>
    <row r="652" spans="1:3" ht="15.75">
      <c r="A652" s="6"/>
      <c r="B652" s="37"/>
      <c r="C652" s="33"/>
    </row>
    <row r="653" spans="1:3" ht="15.75">
      <c r="A653" s="6"/>
      <c r="B653" s="37"/>
      <c r="C653" s="33"/>
    </row>
    <row r="654" spans="1:3" ht="15.75">
      <c r="A654" s="6"/>
      <c r="B654" s="37"/>
      <c r="C654" s="33"/>
    </row>
    <row r="655" spans="1:3" ht="15.75">
      <c r="A655" s="6"/>
      <c r="B655" s="37"/>
      <c r="C655" s="33"/>
    </row>
    <row r="656" spans="1:3" ht="15.75">
      <c r="A656" s="6"/>
      <c r="B656" s="37"/>
      <c r="C656" s="33"/>
    </row>
    <row r="657" spans="1:3" ht="15.75">
      <c r="A657" s="6"/>
      <c r="B657" s="37"/>
      <c r="C657" s="33"/>
    </row>
    <row r="658" spans="1:3" ht="15.75">
      <c r="A658" s="6"/>
      <c r="B658" s="37"/>
      <c r="C658" s="33"/>
    </row>
    <row r="659" spans="1:3" ht="15.75">
      <c r="A659" s="6"/>
      <c r="B659" s="37"/>
      <c r="C659" s="33"/>
    </row>
    <row r="660" spans="1:3" ht="15.75">
      <c r="A660" s="6"/>
      <c r="B660" s="37"/>
      <c r="C660" s="33"/>
    </row>
    <row r="661" spans="1:3" ht="15.75">
      <c r="A661" s="6"/>
      <c r="B661" s="37"/>
      <c r="C661" s="33"/>
    </row>
    <row r="662" spans="1:3" ht="15.75">
      <c r="A662" s="6"/>
      <c r="B662" s="37"/>
      <c r="C662" s="33"/>
    </row>
    <row r="663" spans="1:3" ht="15.75">
      <c r="A663" s="6"/>
      <c r="B663" s="37"/>
      <c r="C663" s="33"/>
    </row>
    <row r="664" spans="1:3" ht="15.75">
      <c r="A664" s="6"/>
      <c r="B664" s="37"/>
      <c r="C664" s="33"/>
    </row>
    <row r="665" spans="1:3" ht="15.75">
      <c r="A665" s="6"/>
      <c r="B665" s="37"/>
      <c r="C665" s="33"/>
    </row>
    <row r="666" spans="1:3" ht="15.75">
      <c r="A666" s="6"/>
      <c r="B666" s="37"/>
      <c r="C666" s="33"/>
    </row>
    <row r="667" spans="1:3" ht="15.75">
      <c r="A667" s="6"/>
      <c r="B667" s="37"/>
      <c r="C667" s="33"/>
    </row>
    <row r="668" spans="1:3" ht="15.75">
      <c r="A668" s="6"/>
      <c r="B668" s="37"/>
      <c r="C668" s="33"/>
    </row>
    <row r="669" spans="1:3" ht="15.75">
      <c r="A669" s="6"/>
      <c r="B669" s="37"/>
      <c r="C669" s="33"/>
    </row>
    <row r="670" spans="1:3" ht="15.75">
      <c r="A670" s="6"/>
      <c r="B670" s="37"/>
      <c r="C670" s="33"/>
    </row>
    <row r="671" spans="1:3" ht="15.75">
      <c r="A671" s="6"/>
      <c r="B671" s="37"/>
      <c r="C671" s="33"/>
    </row>
    <row r="672" spans="1:3" ht="15.75">
      <c r="A672" s="6"/>
      <c r="B672" s="37"/>
      <c r="C672" s="33"/>
    </row>
    <row r="673" spans="1:3" ht="15.75">
      <c r="A673" s="6"/>
      <c r="B673" s="37"/>
      <c r="C673" s="33"/>
    </row>
    <row r="674" spans="1:3" ht="15.75">
      <c r="A674" s="6"/>
      <c r="B674" s="37"/>
      <c r="C674" s="33"/>
    </row>
    <row r="675" spans="1:3" ht="15.75">
      <c r="A675" s="6"/>
      <c r="B675" s="37"/>
      <c r="C675" s="33"/>
    </row>
    <row r="676" spans="1:3" ht="15.75">
      <c r="A676" s="6"/>
      <c r="B676" s="37"/>
      <c r="C676" s="33"/>
    </row>
    <row r="677" spans="1:3" ht="15.75">
      <c r="A677" s="6"/>
      <c r="B677" s="37"/>
      <c r="C677" s="33"/>
    </row>
    <row r="678" spans="1:3" ht="15.75">
      <c r="A678" s="6"/>
      <c r="B678" s="37"/>
      <c r="C678" s="33"/>
    </row>
    <row r="679" spans="1:3" ht="15.75">
      <c r="A679" s="6"/>
      <c r="B679" s="37"/>
      <c r="C679" s="33"/>
    </row>
    <row r="680" spans="1:3" ht="15.75">
      <c r="A680" s="6"/>
      <c r="B680" s="37"/>
      <c r="C680" s="33"/>
    </row>
    <row r="681" spans="1:3" ht="15.75">
      <c r="A681" s="6"/>
      <c r="B681" s="37"/>
      <c r="C681" s="33"/>
    </row>
    <row r="682" spans="1:3" ht="15.75">
      <c r="A682" s="6"/>
      <c r="B682" s="37"/>
      <c r="C682" s="33"/>
    </row>
    <row r="683" spans="1:3" ht="15.75">
      <c r="A683" s="6"/>
      <c r="B683" s="37"/>
      <c r="C683" s="33"/>
    </row>
    <row r="684" spans="1:3" ht="15.75">
      <c r="A684" s="6"/>
      <c r="B684" s="37"/>
      <c r="C684" s="33"/>
    </row>
    <row r="685" spans="1:3" ht="15.75">
      <c r="A685" s="6"/>
      <c r="B685" s="37"/>
      <c r="C685" s="33"/>
    </row>
    <row r="686" spans="1:3" ht="15.75">
      <c r="A686" s="6"/>
      <c r="B686" s="37"/>
      <c r="C686" s="33"/>
    </row>
    <row r="687" spans="1:3" ht="15.75">
      <c r="A687" s="6"/>
      <c r="B687" s="37"/>
      <c r="C687" s="33"/>
    </row>
    <row r="688" spans="1:3" ht="15.75">
      <c r="A688" s="6"/>
      <c r="B688" s="37"/>
      <c r="C688" s="33"/>
    </row>
    <row r="689" spans="1:3" ht="15.75">
      <c r="A689" s="6"/>
      <c r="B689" s="37"/>
      <c r="C689" s="33"/>
    </row>
    <row r="690" spans="1:3" ht="15.75">
      <c r="A690" s="6"/>
      <c r="B690" s="37"/>
      <c r="C690" s="33"/>
    </row>
    <row r="691" spans="1:3" ht="15.75">
      <c r="A691" s="6"/>
      <c r="B691" s="37"/>
      <c r="C691" s="33"/>
    </row>
    <row r="692" spans="1:3" ht="15.75">
      <c r="A692" s="6"/>
      <c r="B692" s="37"/>
      <c r="C692" s="33"/>
    </row>
    <row r="693" spans="1:3" ht="15.75">
      <c r="A693" s="6"/>
      <c r="B693" s="37"/>
      <c r="C693" s="33"/>
    </row>
    <row r="694" spans="1:3" ht="15.75">
      <c r="A694" s="6"/>
      <c r="B694" s="37"/>
      <c r="C694" s="33"/>
    </row>
    <row r="695" spans="1:3" ht="15.75">
      <c r="A695" s="6"/>
      <c r="B695" s="37"/>
      <c r="C695" s="33"/>
    </row>
    <row r="696" spans="1:3" ht="15.75">
      <c r="A696" s="6"/>
      <c r="B696" s="37"/>
      <c r="C696" s="33"/>
    </row>
    <row r="697" spans="1:3" ht="15.75">
      <c r="A697" s="6"/>
      <c r="B697" s="37"/>
      <c r="C697" s="33"/>
    </row>
    <row r="698" spans="1:3" ht="15.75">
      <c r="A698" s="6"/>
      <c r="B698" s="37"/>
      <c r="C698" s="33"/>
    </row>
    <row r="699" spans="1:3" ht="15.75">
      <c r="A699" s="6"/>
      <c r="B699" s="37"/>
      <c r="C699" s="33"/>
    </row>
    <row r="700" spans="1:3" ht="15.75">
      <c r="A700" s="6"/>
      <c r="B700" s="37"/>
      <c r="C700" s="33"/>
    </row>
    <row r="701" spans="1:3" ht="15.75">
      <c r="A701" s="6"/>
      <c r="B701" s="37"/>
      <c r="C701" s="33"/>
    </row>
    <row r="702" spans="1:3" ht="15.75">
      <c r="A702" s="6"/>
      <c r="B702" s="37"/>
      <c r="C702" s="33"/>
    </row>
    <row r="703" spans="1:3" ht="15.75">
      <c r="A703" s="6"/>
      <c r="B703" s="37"/>
      <c r="C703" s="33"/>
    </row>
    <row r="704" spans="1:3" ht="15.75">
      <c r="A704" s="6"/>
      <c r="B704" s="37"/>
      <c r="C704" s="33"/>
    </row>
    <row r="705" spans="1:3" ht="15.75">
      <c r="A705" s="6"/>
      <c r="B705" s="37"/>
      <c r="C705" s="33"/>
    </row>
    <row r="706" spans="1:3" ht="15.75">
      <c r="A706" s="6"/>
      <c r="B706" s="37"/>
      <c r="C706" s="33"/>
    </row>
    <row r="707" spans="1:3" ht="15.75">
      <c r="A707" s="6"/>
      <c r="B707" s="37"/>
      <c r="C707" s="33"/>
    </row>
    <row r="708" spans="1:3" ht="15.75">
      <c r="A708" s="6"/>
      <c r="B708" s="37"/>
      <c r="C708" s="33"/>
    </row>
    <row r="709" spans="1:3" ht="15.75">
      <c r="A709" s="6"/>
      <c r="B709" s="37"/>
      <c r="C709" s="33"/>
    </row>
    <row r="710" spans="1:3" ht="15.75">
      <c r="A710" s="6"/>
      <c r="B710" s="37"/>
      <c r="C710" s="33"/>
    </row>
    <row r="711" spans="1:3" ht="15.75">
      <c r="A711" s="6"/>
      <c r="B711" s="37"/>
      <c r="C711" s="33"/>
    </row>
    <row r="712" spans="1:3" ht="15.75">
      <c r="A712" s="6"/>
      <c r="B712" s="37"/>
      <c r="C712" s="33"/>
    </row>
    <row r="713" spans="1:3" ht="15.75">
      <c r="A713" s="6"/>
      <c r="B713" s="37"/>
      <c r="C713" s="33"/>
    </row>
    <row r="714" spans="1:3" ht="15.75">
      <c r="A714" s="6"/>
      <c r="B714" s="37"/>
      <c r="C714" s="33"/>
    </row>
    <row r="715" spans="1:3" ht="15.75">
      <c r="A715" s="6"/>
      <c r="B715" s="37"/>
      <c r="C715" s="33"/>
    </row>
    <row r="716" spans="1:3" ht="15.75">
      <c r="A716" s="6"/>
      <c r="B716" s="37"/>
      <c r="C716" s="33"/>
    </row>
    <row r="717" spans="1:3" ht="15.75">
      <c r="A717" s="6"/>
      <c r="B717" s="37"/>
      <c r="C717" s="33"/>
    </row>
    <row r="718" spans="1:3" ht="15.75">
      <c r="A718" s="6"/>
      <c r="B718" s="37"/>
      <c r="C718" s="33"/>
    </row>
    <row r="719" spans="1:3" ht="15.75">
      <c r="A719" s="6"/>
      <c r="B719" s="37"/>
      <c r="C719" s="33"/>
    </row>
    <row r="720" spans="1:3" ht="15.75">
      <c r="A720" s="6"/>
      <c r="B720" s="37"/>
      <c r="C720" s="33"/>
    </row>
    <row r="721" spans="1:3" ht="15.75">
      <c r="A721" s="6"/>
      <c r="B721" s="37"/>
      <c r="C721" s="33"/>
    </row>
    <row r="722" spans="1:3" ht="15.75">
      <c r="A722" s="6"/>
      <c r="B722" s="37"/>
      <c r="C722" s="33"/>
    </row>
    <row r="723" spans="1:3" ht="15.75">
      <c r="A723" s="6"/>
      <c r="B723" s="37"/>
      <c r="C723" s="33"/>
    </row>
    <row r="724" spans="1:3" ht="15.75">
      <c r="A724" s="6"/>
      <c r="B724" s="37"/>
      <c r="C724" s="33"/>
    </row>
    <row r="725" spans="1:3" ht="15.75">
      <c r="A725" s="6"/>
      <c r="B725" s="37"/>
      <c r="C725" s="33"/>
    </row>
    <row r="726" spans="1:3" ht="15.75">
      <c r="A726" s="6"/>
      <c r="B726" s="37"/>
      <c r="C726" s="33"/>
    </row>
    <row r="727" spans="1:3" ht="15.75">
      <c r="A727" s="6"/>
      <c r="B727" s="37"/>
      <c r="C727" s="33"/>
    </row>
    <row r="728" spans="1:3" ht="15.75">
      <c r="A728" s="6"/>
      <c r="B728" s="37"/>
      <c r="C728" s="33"/>
    </row>
    <row r="729" spans="1:3" ht="15.75">
      <c r="A729" s="6"/>
      <c r="B729" s="37"/>
      <c r="C729" s="33"/>
    </row>
    <row r="730" spans="1:3" ht="15.75">
      <c r="A730" s="6"/>
      <c r="B730" s="37"/>
      <c r="C730" s="33"/>
    </row>
    <row r="731" spans="1:3" ht="15.75">
      <c r="A731" s="6"/>
      <c r="B731" s="37"/>
      <c r="C731" s="33"/>
    </row>
    <row r="732" spans="1:3" ht="15.75">
      <c r="A732" s="6"/>
      <c r="B732" s="37"/>
      <c r="C732" s="33"/>
    </row>
    <row r="733" spans="1:3" ht="15.75">
      <c r="A733" s="6"/>
      <c r="B733" s="37"/>
      <c r="C733" s="33"/>
    </row>
    <row r="734" spans="1:3" ht="15.75">
      <c r="A734" s="6"/>
      <c r="B734" s="37"/>
      <c r="C734" s="33"/>
    </row>
    <row r="735" spans="1:3" ht="15.75">
      <c r="A735" s="6"/>
      <c r="B735" s="37"/>
      <c r="C735" s="33"/>
    </row>
    <row r="736" spans="1:3" ht="15.75">
      <c r="A736" s="6"/>
      <c r="B736" s="37"/>
      <c r="C736" s="33"/>
    </row>
    <row r="737" spans="1:3" ht="15.75">
      <c r="A737" s="6"/>
      <c r="B737" s="37"/>
      <c r="C737" s="33"/>
    </row>
    <row r="738" spans="1:3" ht="15.75">
      <c r="A738" s="6"/>
      <c r="B738" s="37"/>
      <c r="C738" s="33"/>
    </row>
    <row r="739" spans="1:3" ht="15.75">
      <c r="A739" s="6"/>
      <c r="B739" s="37"/>
      <c r="C739" s="33"/>
    </row>
    <row r="740" spans="1:3" ht="15.75">
      <c r="A740" s="6"/>
      <c r="B740" s="37"/>
      <c r="C740" s="33"/>
    </row>
    <row r="741" spans="1:3" ht="15.75">
      <c r="A741" s="6"/>
      <c r="B741" s="37"/>
      <c r="C741" s="33"/>
    </row>
    <row r="742" spans="1:3" ht="15.75">
      <c r="A742" s="6"/>
      <c r="B742" s="37"/>
      <c r="C742" s="33"/>
    </row>
    <row r="743" spans="1:3" ht="15.75">
      <c r="A743" s="6"/>
      <c r="B743" s="37"/>
      <c r="C743" s="33"/>
    </row>
    <row r="744" spans="1:3" ht="15.75">
      <c r="A744" s="6"/>
      <c r="B744" s="37"/>
      <c r="C744" s="33"/>
    </row>
    <row r="745" spans="1:3" ht="15.75">
      <c r="A745" s="6"/>
      <c r="B745" s="37"/>
      <c r="C745" s="33"/>
    </row>
    <row r="746" spans="1:3" ht="15.75">
      <c r="A746" s="6"/>
      <c r="B746" s="37"/>
      <c r="C746" s="33"/>
    </row>
    <row r="747" spans="1:3" ht="15.75">
      <c r="A747" s="6"/>
      <c r="B747" s="37"/>
      <c r="C747" s="33"/>
    </row>
    <row r="748" spans="1:3" ht="15.75">
      <c r="A748" s="6"/>
      <c r="B748" s="37"/>
      <c r="C748" s="33"/>
    </row>
    <row r="749" spans="1:3" ht="15.75">
      <c r="A749" s="6"/>
      <c r="B749" s="37"/>
      <c r="C749" s="33"/>
    </row>
    <row r="750" spans="1:3" ht="15.75">
      <c r="A750" s="6"/>
      <c r="B750" s="37"/>
      <c r="C750" s="33"/>
    </row>
    <row r="751" spans="1:3" ht="15.75">
      <c r="A751" s="6"/>
      <c r="B751" s="37"/>
      <c r="C751" s="33"/>
    </row>
    <row r="752" spans="1:3" ht="15.75">
      <c r="A752" s="6"/>
      <c r="B752" s="37"/>
      <c r="C752" s="33"/>
    </row>
    <row r="753" spans="1:3" ht="15.75">
      <c r="A753" s="6"/>
      <c r="B753" s="37"/>
      <c r="C753" s="33"/>
    </row>
    <row r="754" spans="1:3" ht="15.75">
      <c r="A754" s="6"/>
      <c r="B754" s="37"/>
      <c r="C754" s="33"/>
    </row>
    <row r="755" spans="1:3" ht="15.75">
      <c r="A755" s="6"/>
      <c r="B755" s="37"/>
      <c r="C755" s="33"/>
    </row>
    <row r="756" spans="1:3" ht="15.75">
      <c r="A756" s="6"/>
      <c r="B756" s="37"/>
      <c r="C756" s="33"/>
    </row>
    <row r="757" spans="1:3" ht="15.75">
      <c r="A757" s="6"/>
      <c r="B757" s="37"/>
      <c r="C757" s="33"/>
    </row>
    <row r="758" spans="1:3" ht="15.75">
      <c r="A758" s="6"/>
      <c r="B758" s="37"/>
      <c r="C758" s="33"/>
    </row>
    <row r="759" spans="1:3" ht="15.75">
      <c r="A759" s="6"/>
      <c r="B759" s="37"/>
      <c r="C759" s="33"/>
    </row>
    <row r="760" spans="1:3" ht="15.75">
      <c r="A760" s="6"/>
      <c r="B760" s="37"/>
      <c r="C760" s="33"/>
    </row>
    <row r="761" spans="1:3" ht="15.75">
      <c r="A761" s="6"/>
      <c r="B761" s="37"/>
      <c r="C761" s="33"/>
    </row>
    <row r="762" spans="1:3" ht="15.75">
      <c r="A762" s="6"/>
      <c r="B762" s="37"/>
      <c r="C762" s="33"/>
    </row>
    <row r="763" spans="1:3" ht="15.75">
      <c r="A763" s="6"/>
      <c r="B763" s="37"/>
      <c r="C763" s="33"/>
    </row>
    <row r="764" spans="1:3" ht="15.75">
      <c r="A764" s="6"/>
      <c r="B764" s="37"/>
      <c r="C764" s="33"/>
    </row>
    <row r="765" spans="1:3" ht="15.75">
      <c r="A765" s="6"/>
      <c r="B765" s="37"/>
      <c r="C765" s="33"/>
    </row>
    <row r="766" spans="1:3" ht="15.75">
      <c r="A766" s="6"/>
      <c r="B766" s="37"/>
      <c r="C766" s="33"/>
    </row>
    <row r="767" spans="1:3" ht="15.75">
      <c r="A767" s="6"/>
      <c r="B767" s="37"/>
      <c r="C767" s="33"/>
    </row>
    <row r="768" spans="1:3" ht="15.75">
      <c r="A768" s="6"/>
      <c r="B768" s="37"/>
      <c r="C768" s="33"/>
    </row>
    <row r="769" spans="1:3" ht="15.75">
      <c r="A769" s="6"/>
      <c r="B769" s="37"/>
      <c r="C769" s="33"/>
    </row>
    <row r="770" spans="1:3" ht="15.75">
      <c r="A770" s="6"/>
      <c r="B770" s="37"/>
      <c r="C770" s="33"/>
    </row>
    <row r="771" spans="1:3" ht="15.75">
      <c r="A771" s="6"/>
      <c r="B771" s="37"/>
      <c r="C771" s="33"/>
    </row>
    <row r="772" spans="1:3" ht="15.75">
      <c r="A772" s="6"/>
      <c r="B772" s="37"/>
      <c r="C772" s="33"/>
    </row>
    <row r="773" spans="1:3" ht="15.75">
      <c r="A773" s="6"/>
      <c r="B773" s="37"/>
      <c r="C773" s="33"/>
    </row>
    <row r="774" spans="1:3" ht="15.75">
      <c r="A774" s="6"/>
      <c r="B774" s="37"/>
      <c r="C774" s="33"/>
    </row>
    <row r="775" spans="1:3" ht="15.75">
      <c r="A775" s="6"/>
      <c r="B775" s="37"/>
      <c r="C775" s="33"/>
    </row>
    <row r="776" spans="1:3" ht="15.75">
      <c r="A776" s="6"/>
      <c r="B776" s="37"/>
      <c r="C776" s="33"/>
    </row>
    <row r="777" spans="1:3" ht="15.75">
      <c r="A777" s="6"/>
      <c r="B777" s="37"/>
      <c r="C777" s="33"/>
    </row>
    <row r="778" spans="1:3" ht="15.75">
      <c r="A778" s="6"/>
      <c r="B778" s="37"/>
      <c r="C778" s="33"/>
    </row>
    <row r="779" spans="1:3" ht="15.75">
      <c r="A779" s="6"/>
      <c r="B779" s="37"/>
      <c r="C779" s="33"/>
    </row>
    <row r="780" spans="1:3" ht="15.75">
      <c r="A780" s="6"/>
      <c r="B780" s="37"/>
      <c r="C780" s="33"/>
    </row>
    <row r="781" spans="1:3" ht="15.75">
      <c r="A781" s="6"/>
      <c r="B781" s="37"/>
      <c r="C781" s="33"/>
    </row>
    <row r="782" spans="1:3" ht="15.75">
      <c r="A782" s="6"/>
      <c r="B782" s="37"/>
      <c r="C782" s="33"/>
    </row>
    <row r="783" spans="1:3" ht="15.75">
      <c r="A783" s="6"/>
      <c r="B783" s="37"/>
      <c r="C783" s="33"/>
    </row>
    <row r="784" spans="1:3" ht="15.75">
      <c r="A784" s="6"/>
      <c r="B784" s="37"/>
      <c r="C784" s="33"/>
    </row>
    <row r="785" spans="1:3" ht="15.75">
      <c r="A785" s="6"/>
      <c r="B785" s="37"/>
      <c r="C785" s="33"/>
    </row>
    <row r="786" spans="1:3" ht="15.75">
      <c r="A786" s="6"/>
      <c r="B786" s="37"/>
      <c r="C786" s="33"/>
    </row>
    <row r="787" spans="1:3" ht="15.75">
      <c r="A787" s="6"/>
      <c r="B787" s="37"/>
      <c r="C787" s="33"/>
    </row>
    <row r="788" spans="1:3" ht="15.75">
      <c r="A788" s="6"/>
      <c r="B788" s="37"/>
      <c r="C788" s="33"/>
    </row>
    <row r="789" spans="1:3" ht="15.75">
      <c r="A789" s="6"/>
      <c r="B789" s="37"/>
      <c r="C789" s="33"/>
    </row>
    <row r="790" spans="1:3" ht="15.75">
      <c r="A790" s="6"/>
      <c r="B790" s="37"/>
      <c r="C790" s="33"/>
    </row>
    <row r="791" spans="1:3" ht="15.75">
      <c r="A791" s="6"/>
      <c r="B791" s="37"/>
      <c r="C791" s="33"/>
    </row>
    <row r="792" spans="1:3" ht="15.75">
      <c r="A792" s="6"/>
      <c r="B792" s="37"/>
      <c r="C792" s="33"/>
    </row>
    <row r="793" spans="1:3" ht="15.75">
      <c r="A793" s="6"/>
      <c r="B793" s="37"/>
      <c r="C793" s="33"/>
    </row>
    <row r="794" spans="1:3" ht="15.75">
      <c r="A794" s="6"/>
      <c r="B794" s="37"/>
      <c r="C794" s="33"/>
    </row>
    <row r="795" spans="1:3" ht="15.75">
      <c r="A795" s="6"/>
      <c r="B795" s="37"/>
      <c r="C795" s="33"/>
    </row>
    <row r="796" spans="1:3" ht="15.75">
      <c r="A796" s="6"/>
      <c r="B796" s="37"/>
      <c r="C796" s="33"/>
    </row>
    <row r="797" spans="1:3" ht="15.75">
      <c r="A797" s="6"/>
      <c r="B797" s="37"/>
      <c r="C797" s="33"/>
    </row>
    <row r="798" spans="1:3" ht="15.75">
      <c r="A798" s="6"/>
      <c r="B798" s="37"/>
      <c r="C798" s="33"/>
    </row>
    <row r="799" spans="1:3" ht="15.75">
      <c r="A799" s="6"/>
      <c r="B799" s="37"/>
      <c r="C799" s="33"/>
    </row>
    <row r="800" spans="1:3" ht="15.75">
      <c r="A800" s="6"/>
      <c r="B800" s="37"/>
      <c r="C800" s="33"/>
    </row>
    <row r="801" spans="1:3" ht="15.75">
      <c r="A801" s="6"/>
      <c r="B801" s="37"/>
      <c r="C801" s="33"/>
    </row>
    <row r="802" spans="1:3" ht="15.75">
      <c r="A802" s="6"/>
      <c r="B802" s="37"/>
      <c r="C802" s="33"/>
    </row>
    <row r="803" spans="1:3" ht="15.75">
      <c r="A803" s="6"/>
      <c r="B803" s="37"/>
      <c r="C803" s="33"/>
    </row>
    <row r="804" spans="1:3" ht="15.75">
      <c r="A804" s="6"/>
      <c r="B804" s="37"/>
      <c r="C804" s="33"/>
    </row>
    <row r="805" spans="1:3" ht="15.75">
      <c r="A805" s="6"/>
      <c r="B805" s="37"/>
      <c r="C805" s="33"/>
    </row>
    <row r="806" spans="1:3" ht="15.75">
      <c r="A806" s="6"/>
      <c r="B806" s="37"/>
      <c r="C806" s="33"/>
    </row>
    <row r="807" spans="1:3" ht="15.75">
      <c r="A807" s="6"/>
      <c r="B807" s="37"/>
      <c r="C807" s="33"/>
    </row>
    <row r="808" spans="1:3" ht="15.75">
      <c r="A808" s="6"/>
      <c r="B808" s="37"/>
      <c r="C808" s="33"/>
    </row>
    <row r="809" spans="1:3" ht="15.75">
      <c r="A809" s="6"/>
      <c r="B809" s="37"/>
      <c r="C809" s="33"/>
    </row>
    <row r="810" spans="1:3" ht="15.75">
      <c r="A810" s="6"/>
      <c r="B810" s="37"/>
      <c r="C810" s="33"/>
    </row>
    <row r="811" spans="1:3" ht="15.75">
      <c r="A811" s="6"/>
      <c r="B811" s="37"/>
      <c r="C811" s="33"/>
    </row>
    <row r="812" spans="1:3" ht="15.75">
      <c r="A812" s="6"/>
      <c r="B812" s="37"/>
      <c r="C812" s="33"/>
    </row>
    <row r="813" spans="1:3" ht="15.75">
      <c r="A813" s="6"/>
      <c r="B813" s="37"/>
      <c r="C813" s="33"/>
    </row>
    <row r="814" spans="1:3" ht="15.75">
      <c r="A814" s="6"/>
      <c r="B814" s="37"/>
      <c r="C814" s="33"/>
    </row>
    <row r="815" spans="1:3" ht="15.75">
      <c r="A815" s="6"/>
      <c r="B815" s="37"/>
      <c r="C815" s="33"/>
    </row>
    <row r="816" spans="1:3" ht="15.75">
      <c r="A816" s="6"/>
      <c r="B816" s="37"/>
      <c r="C816" s="33"/>
    </row>
    <row r="817" spans="1:3" ht="15.75">
      <c r="A817" s="6"/>
      <c r="B817" s="37"/>
      <c r="C817" s="33"/>
    </row>
    <row r="818" spans="1:3" ht="15.75">
      <c r="A818" s="6"/>
      <c r="B818" s="37"/>
      <c r="C818" s="33"/>
    </row>
    <row r="819" spans="1:3" ht="15.75">
      <c r="A819" s="6"/>
      <c r="B819" s="37"/>
      <c r="C819" s="33"/>
    </row>
    <row r="820" spans="1:3" ht="15.75">
      <c r="A820" s="6"/>
      <c r="B820" s="37"/>
      <c r="C820" s="33"/>
    </row>
    <row r="821" spans="1:3" ht="15.75">
      <c r="A821" s="6"/>
      <c r="B821" s="37"/>
      <c r="C821" s="33"/>
    </row>
    <row r="822" spans="1:3" ht="15.75">
      <c r="A822" s="6"/>
      <c r="B822" s="37"/>
      <c r="C822" s="33"/>
    </row>
    <row r="823" spans="1:3" ht="15.75">
      <c r="A823" s="6"/>
      <c r="B823" s="37"/>
      <c r="C823" s="33"/>
    </row>
    <row r="824" spans="1:3" ht="15.75">
      <c r="A824" s="6"/>
      <c r="B824" s="37"/>
      <c r="C824" s="33"/>
    </row>
    <row r="825" spans="1:3" ht="15.75">
      <c r="A825" s="6"/>
      <c r="B825" s="37"/>
      <c r="C825" s="33"/>
    </row>
    <row r="826" spans="1:3" ht="15.75">
      <c r="A826" s="6"/>
      <c r="B826" s="37"/>
      <c r="C826" s="33"/>
    </row>
    <row r="827" spans="1:3" ht="15.75">
      <c r="A827" s="6"/>
      <c r="B827" s="37"/>
      <c r="C827" s="33"/>
    </row>
    <row r="828" spans="1:3" ht="15.75">
      <c r="A828" s="6"/>
      <c r="B828" s="37"/>
      <c r="C828" s="33"/>
    </row>
    <row r="829" spans="1:3" ht="15.75">
      <c r="A829" s="6"/>
      <c r="B829" s="37"/>
      <c r="C829" s="33"/>
    </row>
    <row r="830" spans="1:3" ht="15.75">
      <c r="A830" s="6"/>
      <c r="B830" s="37"/>
      <c r="C830" s="33"/>
    </row>
    <row r="831" spans="1:3" ht="15.75">
      <c r="A831" s="6"/>
      <c r="B831" s="37"/>
      <c r="C831" s="33"/>
    </row>
    <row r="832" spans="1:3" ht="15.75">
      <c r="A832" s="6"/>
      <c r="B832" s="37"/>
      <c r="C832" s="33"/>
    </row>
    <row r="833" spans="1:3" ht="15.75">
      <c r="A833" s="6"/>
      <c r="B833" s="37"/>
      <c r="C833" s="33"/>
    </row>
    <row r="834" spans="1:3" ht="15.75">
      <c r="A834" s="6"/>
      <c r="B834" s="37"/>
      <c r="C834" s="33"/>
    </row>
    <row r="835" spans="1:3" ht="15.75">
      <c r="A835" s="6"/>
      <c r="B835" s="37"/>
      <c r="C835" s="33"/>
    </row>
    <row r="836" spans="1:3" ht="15.75">
      <c r="A836" s="6"/>
      <c r="B836" s="37"/>
      <c r="C836" s="33"/>
    </row>
    <row r="837" spans="1:3" ht="15.75">
      <c r="A837" s="6"/>
      <c r="B837" s="37"/>
      <c r="C837" s="33"/>
    </row>
    <row r="838" spans="1:3" ht="15.75">
      <c r="A838" s="6"/>
      <c r="B838" s="37"/>
      <c r="C838" s="33"/>
    </row>
    <row r="839" spans="1:3" ht="15.75">
      <c r="A839" s="6"/>
      <c r="B839" s="37"/>
      <c r="C839" s="33"/>
    </row>
    <row r="840" spans="1:3" ht="15.75">
      <c r="A840" s="6"/>
      <c r="B840" s="37"/>
      <c r="C840" s="33"/>
    </row>
    <row r="841" spans="1:3" ht="15.75">
      <c r="A841" s="6"/>
      <c r="B841" s="37"/>
      <c r="C841" s="33"/>
    </row>
    <row r="842" spans="1:3" ht="15.75">
      <c r="A842" s="6"/>
      <c r="B842" s="37"/>
      <c r="C842" s="33"/>
    </row>
    <row r="843" spans="1:3" ht="15.75">
      <c r="A843" s="6"/>
      <c r="B843" s="37"/>
      <c r="C843" s="33"/>
    </row>
    <row r="844" spans="1:3" ht="15.75">
      <c r="A844" s="6"/>
      <c r="B844" s="37"/>
      <c r="C844" s="33"/>
    </row>
    <row r="845" spans="1:3" ht="15.75">
      <c r="A845" s="6"/>
      <c r="B845" s="37"/>
      <c r="C845" s="33"/>
    </row>
    <row r="846" spans="1:3" ht="15.75">
      <c r="A846" s="6"/>
      <c r="B846" s="37"/>
      <c r="C846" s="33"/>
    </row>
    <row r="847" spans="1:3" ht="15.75">
      <c r="A847" s="6"/>
      <c r="B847" s="37"/>
      <c r="C847" s="33"/>
    </row>
    <row r="848" spans="1:3" ht="15.75">
      <c r="A848" s="6"/>
      <c r="B848" s="37"/>
      <c r="C848" s="33"/>
    </row>
    <row r="849" spans="1:3" ht="15.75">
      <c r="A849" s="6"/>
      <c r="B849" s="37"/>
      <c r="C849" s="33"/>
    </row>
    <row r="850" spans="1:3" ht="15.75">
      <c r="A850" s="6"/>
      <c r="B850" s="37"/>
      <c r="C850" s="33"/>
    </row>
    <row r="851" spans="1:3" ht="15.75">
      <c r="A851" s="6"/>
      <c r="B851" s="37"/>
      <c r="C851" s="33"/>
    </row>
    <row r="852" spans="1:3" ht="15.75">
      <c r="A852" s="6"/>
      <c r="B852" s="37"/>
      <c r="C852" s="33"/>
    </row>
    <row r="853" spans="1:3" ht="15.75">
      <c r="A853" s="6"/>
      <c r="B853" s="37"/>
      <c r="C853" s="33"/>
    </row>
    <row r="854" spans="1:3" ht="15.75">
      <c r="A854" s="6"/>
      <c r="B854" s="37"/>
      <c r="C854" s="33"/>
    </row>
    <row r="855" spans="1:3" ht="15.75">
      <c r="A855" s="6"/>
      <c r="B855" s="37"/>
      <c r="C855" s="33"/>
    </row>
    <row r="856" spans="1:3" ht="15.75">
      <c r="A856" s="6"/>
      <c r="B856" s="37"/>
      <c r="C856" s="33"/>
    </row>
    <row r="857" spans="1:3" ht="15.75">
      <c r="A857" s="6"/>
      <c r="B857" s="37"/>
      <c r="C857" s="33"/>
    </row>
    <row r="858" spans="1:3" ht="15.75">
      <c r="A858" s="6"/>
      <c r="B858" s="37"/>
      <c r="C858" s="33"/>
    </row>
    <row r="859" spans="1:3" ht="15.75">
      <c r="A859" s="6"/>
      <c r="B859" s="37"/>
      <c r="C859" s="33"/>
    </row>
    <row r="860" spans="1:3" ht="15.75">
      <c r="A860" s="6"/>
      <c r="B860" s="37"/>
      <c r="C860" s="33"/>
    </row>
    <row r="861" spans="1:3" ht="15.75">
      <c r="A861" s="6"/>
      <c r="B861" s="37"/>
      <c r="C861" s="33"/>
    </row>
    <row r="862" spans="1:3" ht="15.75">
      <c r="A862" s="6"/>
      <c r="B862" s="37"/>
      <c r="C862" s="33"/>
    </row>
    <row r="863" spans="1:3" ht="15.75">
      <c r="A863" s="6"/>
      <c r="B863" s="37"/>
      <c r="C863" s="33"/>
    </row>
    <row r="864" spans="1:3" ht="15.75">
      <c r="A864" s="6"/>
      <c r="B864" s="37"/>
      <c r="C864" s="33"/>
    </row>
    <row r="865" spans="1:3" ht="15.75">
      <c r="A865" s="6"/>
      <c r="B865" s="37"/>
      <c r="C865" s="33"/>
    </row>
    <row r="866" spans="1:3" ht="15.75">
      <c r="A866" s="6"/>
      <c r="B866" s="37"/>
      <c r="C866" s="33"/>
    </row>
    <row r="867" spans="1:3" ht="15.75">
      <c r="A867" s="6"/>
      <c r="B867" s="37"/>
      <c r="C867" s="33"/>
    </row>
    <row r="868" spans="1:3" ht="15.75">
      <c r="A868" s="6"/>
      <c r="B868" s="37"/>
      <c r="C868" s="33"/>
    </row>
    <row r="869" spans="1:3" ht="15.75">
      <c r="A869" s="6"/>
      <c r="B869" s="37"/>
      <c r="C869" s="33"/>
    </row>
    <row r="870" spans="1:3" ht="15.75">
      <c r="A870" s="6"/>
      <c r="B870" s="37"/>
      <c r="C870" s="33"/>
    </row>
    <row r="871" spans="1:3" ht="15.75">
      <c r="A871" s="6"/>
      <c r="B871" s="37"/>
      <c r="C871" s="33"/>
    </row>
    <row r="872" spans="1:3" ht="15.75">
      <c r="A872" s="6"/>
      <c r="B872" s="37"/>
      <c r="C872" s="33"/>
    </row>
    <row r="873" spans="1:3" ht="15.75">
      <c r="A873" s="6"/>
      <c r="B873" s="37"/>
      <c r="C873" s="33"/>
    </row>
    <row r="874" spans="1:3" ht="15.75">
      <c r="A874" s="6"/>
      <c r="B874" s="37"/>
      <c r="C874" s="33"/>
    </row>
    <row r="875" spans="1:3" ht="15.75">
      <c r="A875" s="6"/>
      <c r="B875" s="37"/>
      <c r="C875" s="33"/>
    </row>
    <row r="876" spans="1:3" ht="15.75">
      <c r="A876" s="6"/>
      <c r="B876" s="37"/>
      <c r="C876" s="33"/>
    </row>
    <row r="877" spans="1:3" ht="15.75">
      <c r="A877" s="6"/>
      <c r="B877" s="37"/>
      <c r="C877" s="33"/>
    </row>
    <row r="878" spans="1:3" ht="15.75">
      <c r="A878" s="6"/>
      <c r="B878" s="37"/>
      <c r="C878" s="33"/>
    </row>
    <row r="879" spans="1:3" ht="15.75">
      <c r="A879" s="6"/>
      <c r="B879" s="37"/>
      <c r="C879" s="33"/>
    </row>
    <row r="880" spans="1:3" ht="15.75">
      <c r="A880" s="6"/>
      <c r="B880" s="37"/>
      <c r="C880" s="33"/>
    </row>
    <row r="881" spans="1:3" ht="15.75">
      <c r="A881" s="6"/>
      <c r="B881" s="37"/>
      <c r="C881" s="33"/>
    </row>
    <row r="882" spans="1:3" ht="15.75">
      <c r="A882" s="6"/>
      <c r="B882" s="37"/>
      <c r="C882" s="33"/>
    </row>
    <row r="883" spans="1:3" ht="15.75">
      <c r="A883" s="6"/>
      <c r="B883" s="37"/>
      <c r="C883" s="33"/>
    </row>
    <row r="884" spans="1:3" ht="15.75">
      <c r="A884" s="6"/>
      <c r="B884" s="37"/>
      <c r="C884" s="33"/>
    </row>
    <row r="885" spans="1:3" ht="15.75">
      <c r="A885" s="6"/>
      <c r="B885" s="37"/>
      <c r="C885" s="33"/>
    </row>
    <row r="886" spans="1:3" ht="15.75">
      <c r="A886" s="6"/>
      <c r="B886" s="37"/>
      <c r="C886" s="33"/>
    </row>
    <row r="887" spans="1:3" ht="15.75">
      <c r="A887" s="6"/>
      <c r="B887" s="37"/>
      <c r="C887" s="33"/>
    </row>
    <row r="888" spans="1:3" ht="15.75">
      <c r="A888" s="6"/>
      <c r="B888" s="37"/>
      <c r="C888" s="33"/>
    </row>
    <row r="889" spans="1:3" ht="15.75">
      <c r="A889" s="6"/>
      <c r="B889" s="37"/>
      <c r="C889" s="33"/>
    </row>
    <row r="890" spans="1:3" ht="15.75">
      <c r="A890" s="6"/>
      <c r="B890" s="37"/>
      <c r="C890" s="33"/>
    </row>
    <row r="891" spans="1:3" ht="15.75">
      <c r="A891" s="6"/>
      <c r="B891" s="37"/>
      <c r="C891" s="33"/>
    </row>
    <row r="892" spans="1:3" ht="15.75">
      <c r="A892" s="6"/>
      <c r="B892" s="37"/>
      <c r="C892" s="33"/>
    </row>
    <row r="893" spans="1:3" ht="15.75">
      <c r="A893" s="6"/>
      <c r="B893" s="37"/>
      <c r="C893" s="33"/>
    </row>
    <row r="894" spans="1:3" ht="15.75">
      <c r="A894" s="6"/>
      <c r="B894" s="37"/>
      <c r="C894" s="33"/>
    </row>
    <row r="895" spans="1:3" ht="15.75">
      <c r="A895" s="6"/>
      <c r="B895" s="37"/>
      <c r="C895" s="33"/>
    </row>
    <row r="896" spans="1:3" ht="15.75">
      <c r="A896" s="6"/>
      <c r="B896" s="37"/>
      <c r="C896" s="33"/>
    </row>
    <row r="897" spans="1:3" ht="15.75">
      <c r="A897" s="6"/>
      <c r="B897" s="37"/>
      <c r="C897" s="33"/>
    </row>
    <row r="898" spans="1:3" ht="15.75">
      <c r="A898" s="6"/>
      <c r="B898" s="37"/>
      <c r="C898" s="33"/>
    </row>
    <row r="899" spans="1:3" ht="15.75">
      <c r="A899" s="6"/>
      <c r="B899" s="37"/>
      <c r="C899" s="33"/>
    </row>
    <row r="900" spans="1:3" ht="15.75">
      <c r="A900" s="6"/>
      <c r="B900" s="37"/>
      <c r="C900" s="33"/>
    </row>
    <row r="901" spans="1:3" ht="15.75">
      <c r="A901" s="6"/>
      <c r="B901" s="37"/>
      <c r="C901" s="33"/>
    </row>
    <row r="902" spans="1:3" ht="15.75">
      <c r="A902" s="6"/>
      <c r="B902" s="37"/>
      <c r="C902" s="33"/>
    </row>
    <row r="903" spans="1:3" ht="15.75">
      <c r="A903" s="6"/>
      <c r="B903" s="37"/>
      <c r="C903" s="33"/>
    </row>
    <row r="904" spans="1:3" ht="15.75">
      <c r="A904" s="6"/>
      <c r="B904" s="37"/>
      <c r="C904" s="33"/>
    </row>
    <row r="905" spans="1:3" ht="15.75">
      <c r="A905" s="6"/>
      <c r="B905" s="37"/>
      <c r="C905" s="33"/>
    </row>
    <row r="906" spans="1:3" ht="15.75">
      <c r="A906" s="6"/>
      <c r="B906" s="37"/>
      <c r="C906" s="33"/>
    </row>
    <row r="907" spans="1:3" ht="15.75">
      <c r="A907" s="6"/>
      <c r="B907" s="37"/>
      <c r="C907" s="33"/>
    </row>
    <row r="908" spans="1:3" ht="15.75">
      <c r="A908" s="6"/>
      <c r="B908" s="37"/>
      <c r="C908" s="33"/>
    </row>
    <row r="909" spans="1:3" ht="15.75">
      <c r="A909" s="6"/>
      <c r="B909" s="37"/>
      <c r="C909" s="33"/>
    </row>
    <row r="910" spans="1:3" ht="15.75">
      <c r="A910" s="6"/>
      <c r="B910" s="37"/>
      <c r="C910" s="33"/>
    </row>
    <row r="911" spans="1:3" ht="15.75">
      <c r="A911" s="6"/>
      <c r="B911" s="37"/>
      <c r="C911" s="33"/>
    </row>
    <row r="912" spans="1:3" ht="15.75">
      <c r="A912" s="6"/>
      <c r="B912" s="37"/>
      <c r="C912" s="33"/>
    </row>
    <row r="913" spans="1:3" ht="15.75">
      <c r="A913" s="6"/>
      <c r="B913" s="37"/>
      <c r="C913" s="33"/>
    </row>
    <row r="914" spans="1:3" ht="15.75">
      <c r="A914" s="6"/>
      <c r="B914" s="37"/>
      <c r="C914" s="33"/>
    </row>
    <row r="915" spans="1:3" ht="15.75">
      <c r="A915" s="6"/>
      <c r="B915" s="37"/>
      <c r="C915" s="33"/>
    </row>
    <row r="916" spans="1:3" ht="15.75">
      <c r="A916" s="6"/>
      <c r="B916" s="37"/>
      <c r="C916" s="33"/>
    </row>
    <row r="917" spans="1:3" ht="15.75">
      <c r="A917" s="6"/>
      <c r="B917" s="37"/>
      <c r="C917" s="33"/>
    </row>
    <row r="918" spans="1:3" ht="15.75">
      <c r="A918" s="6"/>
      <c r="B918" s="37"/>
      <c r="C918" s="33"/>
    </row>
    <row r="919" spans="1:3" ht="15.75">
      <c r="A919" s="6"/>
      <c r="B919" s="37"/>
      <c r="C919" s="33"/>
    </row>
    <row r="920" spans="1:3" ht="15.75">
      <c r="A920" s="6"/>
      <c r="B920" s="37"/>
      <c r="C920" s="33"/>
    </row>
    <row r="921" spans="1:3" ht="15.75">
      <c r="A921" s="6"/>
      <c r="B921" s="37"/>
      <c r="C921" s="33"/>
    </row>
    <row r="922" spans="1:3" ht="15.75">
      <c r="A922" s="6"/>
      <c r="B922" s="37"/>
      <c r="C922" s="33"/>
    </row>
    <row r="923" spans="1:3" ht="15.75">
      <c r="A923" s="6"/>
      <c r="B923" s="37"/>
      <c r="C923" s="33"/>
    </row>
    <row r="924" spans="1:3" ht="15.75">
      <c r="A924" s="6"/>
      <c r="B924" s="37"/>
      <c r="C924" s="33"/>
    </row>
    <row r="925" spans="1:3" ht="15.75">
      <c r="A925" s="6"/>
      <c r="B925" s="37"/>
      <c r="C925" s="33"/>
    </row>
    <row r="926" spans="1:3" ht="15.75">
      <c r="A926" s="6"/>
      <c r="B926" s="37"/>
      <c r="C926" s="33"/>
    </row>
    <row r="927" spans="1:3" ht="15.75">
      <c r="A927" s="6"/>
      <c r="B927" s="37"/>
      <c r="C927" s="33"/>
    </row>
    <row r="928" spans="1:3" ht="15.75">
      <c r="A928" s="6"/>
      <c r="B928" s="37"/>
      <c r="C928" s="33"/>
    </row>
    <row r="929" spans="1:3" ht="15.75">
      <c r="A929" s="6"/>
      <c r="B929" s="37"/>
      <c r="C929" s="33"/>
    </row>
    <row r="930" spans="1:3" ht="15.75">
      <c r="A930" s="6"/>
      <c r="B930" s="37"/>
      <c r="C930" s="33"/>
    </row>
    <row r="931" spans="1:3" ht="15.75">
      <c r="A931" s="6"/>
      <c r="B931" s="37"/>
      <c r="C931" s="33"/>
    </row>
    <row r="932" spans="1:3" ht="15.75">
      <c r="A932" s="6"/>
      <c r="B932" s="37"/>
      <c r="C932" s="33"/>
    </row>
    <row r="933" spans="1:3" ht="15.75">
      <c r="A933" s="6"/>
      <c r="B933" s="37"/>
      <c r="C933" s="33"/>
    </row>
    <row r="934" spans="1:3" ht="15.75">
      <c r="A934" s="6"/>
      <c r="B934" s="37"/>
      <c r="C934" s="33"/>
    </row>
    <row r="935" spans="1:3" ht="15.75">
      <c r="A935" s="6"/>
      <c r="B935" s="37"/>
      <c r="C935" s="33"/>
    </row>
    <row r="936" spans="1:3" ht="15.75">
      <c r="A936" s="6"/>
      <c r="B936" s="37"/>
      <c r="C936" s="33"/>
    </row>
    <row r="937" spans="1:3" ht="15.75">
      <c r="A937" s="6"/>
      <c r="B937" s="37"/>
      <c r="C937" s="33"/>
    </row>
    <row r="938" spans="1:3" ht="15.75">
      <c r="A938" s="6"/>
      <c r="B938" s="37"/>
      <c r="C938" s="33"/>
    </row>
    <row r="939" spans="1:3" ht="15.75">
      <c r="A939" s="6"/>
      <c r="B939" s="37"/>
      <c r="C939" s="33"/>
    </row>
    <row r="940" spans="1:3" ht="15.75">
      <c r="A940" s="6"/>
      <c r="B940" s="37"/>
      <c r="C940" s="33"/>
    </row>
    <row r="941" spans="1:3" ht="15.75">
      <c r="A941" s="6"/>
      <c r="B941" s="37"/>
      <c r="C941" s="33"/>
    </row>
    <row r="942" spans="1:3" ht="15.75">
      <c r="A942" s="6"/>
      <c r="B942" s="37"/>
      <c r="C942" s="33"/>
    </row>
    <row r="943" spans="1:3" ht="15.75">
      <c r="A943" s="6"/>
      <c r="B943" s="37"/>
      <c r="C943" s="33"/>
    </row>
    <row r="944" spans="1:3" ht="15.75">
      <c r="A944" s="6"/>
      <c r="B944" s="37"/>
      <c r="C944" s="33"/>
    </row>
    <row r="945" spans="1:3" ht="15.75">
      <c r="A945" s="6"/>
      <c r="B945" s="37"/>
      <c r="C945" s="33"/>
    </row>
    <row r="946" spans="1:3" ht="15.75">
      <c r="A946" s="6"/>
      <c r="B946" s="37"/>
      <c r="C946" s="33"/>
    </row>
    <row r="947" spans="1:3" ht="15.75">
      <c r="A947" s="6"/>
      <c r="B947" s="37"/>
      <c r="C947" s="33"/>
    </row>
    <row r="948" spans="1:3" ht="15.75">
      <c r="A948" s="6"/>
      <c r="B948" s="37"/>
      <c r="C948" s="33"/>
    </row>
    <row r="949" spans="1:3" ht="15.75">
      <c r="A949" s="6"/>
      <c r="B949" s="37"/>
      <c r="C949" s="33"/>
    </row>
    <row r="950" spans="1:3" ht="15.75">
      <c r="A950" s="6"/>
      <c r="B950" s="37"/>
      <c r="C950" s="33"/>
    </row>
    <row r="951" spans="1:3" ht="15.75">
      <c r="A951" s="6"/>
      <c r="B951" s="37"/>
      <c r="C951" s="33"/>
    </row>
    <row r="952" spans="1:3" ht="15.75">
      <c r="A952" s="6"/>
      <c r="B952" s="37"/>
      <c r="C952" s="33"/>
    </row>
    <row r="953" spans="1:3" ht="15.75">
      <c r="A953" s="6"/>
      <c r="B953" s="37"/>
      <c r="C953" s="33"/>
    </row>
    <row r="954" spans="1:3" ht="15.75">
      <c r="A954" s="6"/>
      <c r="B954" s="37"/>
      <c r="C954" s="33"/>
    </row>
    <row r="955" spans="1:3" ht="15.75">
      <c r="A955" s="6"/>
      <c r="B955" s="37"/>
      <c r="C955" s="33"/>
    </row>
    <row r="956" spans="1:3" ht="15.75">
      <c r="A956" s="6"/>
      <c r="B956" s="37"/>
      <c r="C956" s="33"/>
    </row>
    <row r="957" spans="1:3" ht="15.75">
      <c r="A957" s="6"/>
      <c r="B957" s="37"/>
      <c r="C957" s="33"/>
    </row>
    <row r="958" spans="1:3" ht="15.75">
      <c r="A958" s="6"/>
      <c r="B958" s="37"/>
      <c r="C958" s="33"/>
    </row>
    <row r="959" spans="1:3" ht="15.75">
      <c r="A959" s="6"/>
      <c r="B959" s="37"/>
      <c r="C959" s="33"/>
    </row>
    <row r="960" spans="1:3" ht="15.75">
      <c r="A960" s="6"/>
      <c r="B960" s="37"/>
      <c r="C960" s="33"/>
    </row>
    <row r="961" spans="1:3" ht="15.75">
      <c r="A961" s="6"/>
      <c r="B961" s="37"/>
      <c r="C961" s="33"/>
    </row>
    <row r="962" spans="1:3" ht="15.75">
      <c r="A962" s="6"/>
      <c r="B962" s="37"/>
      <c r="C962" s="33"/>
    </row>
    <row r="963" spans="1:3" ht="15.75">
      <c r="A963" s="6"/>
      <c r="B963" s="37"/>
      <c r="C963" s="33"/>
    </row>
    <row r="964" spans="1:3" ht="15.75">
      <c r="A964" s="6"/>
      <c r="B964" s="37"/>
      <c r="C964" s="33"/>
    </row>
    <row r="965" spans="1:3" ht="15.75">
      <c r="A965" s="6"/>
      <c r="B965" s="37"/>
      <c r="C965" s="33"/>
    </row>
    <row r="966" spans="1:3" ht="15.75">
      <c r="A966" s="6"/>
      <c r="B966" s="37"/>
      <c r="C966" s="33"/>
    </row>
    <row r="967" spans="1:3" ht="15.75">
      <c r="A967" s="6"/>
      <c r="B967" s="37"/>
      <c r="C967" s="33"/>
    </row>
    <row r="968" spans="1:3" ht="15.75">
      <c r="A968" s="6"/>
      <c r="B968" s="37"/>
      <c r="C968" s="33"/>
    </row>
    <row r="969" spans="1:3" ht="15.75">
      <c r="A969" s="6"/>
      <c r="B969" s="37"/>
      <c r="C969" s="33"/>
    </row>
    <row r="970" spans="1:3" ht="15.75">
      <c r="A970" s="6"/>
      <c r="B970" s="37"/>
      <c r="C970" s="33"/>
    </row>
    <row r="971" spans="1:3" ht="15.75">
      <c r="A971" s="6"/>
      <c r="B971" s="37"/>
      <c r="C971" s="33"/>
    </row>
    <row r="972" spans="1:3" ht="15.75">
      <c r="A972" s="6"/>
      <c r="B972" s="37"/>
      <c r="C972" s="33"/>
    </row>
    <row r="973" spans="1:3" ht="15.75">
      <c r="A973" s="6"/>
      <c r="B973" s="37"/>
      <c r="C973" s="33"/>
    </row>
    <row r="974" spans="1:3" ht="15.75">
      <c r="A974" s="6"/>
      <c r="B974" s="37"/>
      <c r="C974" s="33"/>
    </row>
    <row r="975" spans="1:3" ht="15.75">
      <c r="A975" s="6"/>
      <c r="B975" s="37"/>
      <c r="C975" s="33"/>
    </row>
    <row r="976" spans="1:3" ht="15.75">
      <c r="A976" s="6"/>
      <c r="B976" s="37"/>
      <c r="C976" s="33"/>
    </row>
    <row r="977" spans="1:3" ht="15.75">
      <c r="A977" s="6"/>
      <c r="B977" s="37"/>
      <c r="C977" s="33"/>
    </row>
    <row r="978" spans="1:3" ht="15.75">
      <c r="A978" s="6"/>
      <c r="B978" s="37"/>
      <c r="C978" s="33"/>
    </row>
    <row r="979" spans="1:3" ht="15.75">
      <c r="A979" s="6"/>
      <c r="B979" s="37"/>
      <c r="C979" s="33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rgb="FF00B0F0"/>
  </sheetPr>
  <dimension ref="A1:AX495"/>
  <sheetViews>
    <sheetView showGridLines="0" topLeftCell="Z1" zoomScale="85" zoomScaleNormal="85" workbookViewId="0">
      <pane ySplit="7" topLeftCell="A486" activePane="bottomLeft" state="frozen"/>
      <selection activeCell="I68" sqref="I68"/>
      <selection pane="bottomLeft" activeCell="AB495" sqref="AB495"/>
    </sheetView>
  </sheetViews>
  <sheetFormatPr defaultRowHeight="15" customHeight="1"/>
  <cols>
    <col min="1" max="1" width="1.7109375" style="92" bestFit="1" customWidth="1"/>
    <col min="2" max="2" width="1.7109375" style="93" customWidth="1"/>
    <col min="3" max="3" width="1" style="63" customWidth="1"/>
    <col min="4" max="4" width="6.140625" style="64" bestFit="1" customWidth="1"/>
    <col min="5" max="5" width="8" style="64" bestFit="1" customWidth="1"/>
    <col min="6" max="6" width="6.140625" style="65" bestFit="1" customWidth="1"/>
    <col min="7" max="7" width="34.140625" style="94" bestFit="1" customWidth="1"/>
    <col min="8" max="8" width="30.42578125" style="64" bestFit="1" customWidth="1"/>
    <col min="9" max="9" width="11.7109375" style="64" bestFit="1" customWidth="1"/>
    <col min="10" max="10" width="24" style="64" bestFit="1" customWidth="1"/>
    <col min="11" max="11" width="6" style="64" bestFit="1" customWidth="1"/>
    <col min="12" max="12" width="10.42578125" style="64" bestFit="1" customWidth="1"/>
    <col min="13" max="13" width="5.85546875" style="64" bestFit="1" customWidth="1"/>
    <col min="14" max="14" width="9.5703125" style="95" bestFit="1" customWidth="1"/>
    <col min="15" max="15" width="6.85546875" style="95" bestFit="1" customWidth="1"/>
    <col min="16" max="16" width="10.42578125" style="64" bestFit="1" customWidth="1"/>
    <col min="17" max="17" width="11.28515625" style="83" bestFit="1" customWidth="1"/>
    <col min="18" max="18" width="7.85546875" style="83" bestFit="1" customWidth="1"/>
    <col min="19" max="19" width="11.28515625" style="83" bestFit="1" customWidth="1"/>
    <col min="20" max="20" width="21.42578125" style="64" bestFit="1" customWidth="1"/>
    <col min="21" max="21" width="25.7109375" style="64" bestFit="1" customWidth="1"/>
    <col min="22" max="24" width="11.28515625" style="71" bestFit="1" customWidth="1"/>
    <col min="25" max="25" width="17.85546875" style="64" bestFit="1" customWidth="1"/>
    <col min="26" max="26" width="12.140625" style="64" bestFit="1" customWidth="1"/>
    <col min="27" max="27" width="21.85546875" style="64" bestFit="1" customWidth="1"/>
    <col min="28" max="28" width="29" style="64" bestFit="1" customWidth="1"/>
    <col min="29" max="29" width="38.5703125" style="64" bestFit="1" customWidth="1"/>
    <col min="30" max="30" width="10.42578125" style="82" bestFit="1" customWidth="1"/>
    <col min="31" max="31" width="11.7109375" style="223" bestFit="1" customWidth="1"/>
    <col min="32" max="32" width="22.85546875" style="82" bestFit="1" customWidth="1"/>
    <col min="33" max="33" width="30.28515625" style="64" bestFit="1" customWidth="1"/>
    <col min="34" max="34" width="11.28515625" style="64" bestFit="1" customWidth="1"/>
    <col min="35" max="35" width="17.42578125" style="64" bestFit="1" customWidth="1"/>
    <col min="36" max="36" width="13.85546875" style="64" bestFit="1" customWidth="1"/>
    <col min="37" max="37" width="9.5703125" style="64" bestFit="1" customWidth="1"/>
    <col min="38" max="38" width="40.42578125" style="64" bestFit="1" customWidth="1"/>
    <col min="39" max="39" width="13.42578125" style="64" bestFit="1" customWidth="1"/>
    <col min="40" max="40" width="26" style="64" bestFit="1" customWidth="1"/>
    <col min="41" max="41" width="10.28515625" style="64" bestFit="1" customWidth="1"/>
    <col min="42" max="42" width="9.85546875" style="64" bestFit="1" customWidth="1"/>
    <col min="43" max="43" width="30.7109375" style="64" bestFit="1" customWidth="1"/>
    <col min="44" max="49" width="9.140625" style="289"/>
    <col min="50" max="16384" width="9.140625" style="64"/>
  </cols>
  <sheetData>
    <row r="1" spans="1:43" ht="15" customHeight="1">
      <c r="A1" s="61" t="s">
        <v>29</v>
      </c>
      <c r="B1" s="62"/>
      <c r="G1" s="66"/>
      <c r="H1" s="67"/>
      <c r="I1" s="67"/>
      <c r="J1" s="67"/>
      <c r="K1" s="67"/>
      <c r="L1" s="67"/>
      <c r="M1" s="67"/>
      <c r="N1" s="68"/>
      <c r="O1" s="69"/>
      <c r="P1" s="67"/>
      <c r="Q1" s="70"/>
      <c r="R1" s="70"/>
      <c r="S1" s="70"/>
      <c r="T1" s="67"/>
      <c r="U1" s="67"/>
      <c r="V1" s="115"/>
      <c r="W1" s="115"/>
      <c r="X1" s="115"/>
      <c r="Y1" s="67"/>
      <c r="Z1" s="67"/>
      <c r="AA1" s="67"/>
      <c r="AB1" s="67"/>
      <c r="AC1" s="67"/>
      <c r="AD1" s="67"/>
      <c r="AE1" s="115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</row>
    <row r="2" spans="1:43" ht="15" customHeight="1">
      <c r="A2" s="72"/>
      <c r="B2" s="62"/>
      <c r="G2" s="73"/>
      <c r="H2" s="74"/>
      <c r="I2" s="74"/>
      <c r="J2" s="74"/>
      <c r="K2" s="74"/>
      <c r="L2" s="67"/>
      <c r="M2" s="67"/>
      <c r="N2" s="68"/>
      <c r="O2" s="68"/>
      <c r="P2" s="67"/>
      <c r="Q2" s="70"/>
      <c r="R2" s="70"/>
      <c r="S2" s="70"/>
      <c r="T2" s="67"/>
      <c r="U2" s="75"/>
      <c r="V2" s="116"/>
      <c r="W2" s="116"/>
      <c r="X2" s="116"/>
      <c r="Y2" s="75"/>
      <c r="Z2" s="75"/>
      <c r="AA2" s="75"/>
      <c r="AB2" s="75"/>
      <c r="AC2" s="75"/>
      <c r="AD2" s="67"/>
      <c r="AE2" s="115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</row>
    <row r="3" spans="1:43" ht="15" customHeight="1">
      <c r="A3" s="72"/>
      <c r="B3" s="62"/>
      <c r="C3" s="63">
        <v>10161</v>
      </c>
      <c r="G3" s="76"/>
      <c r="H3" s="74"/>
      <c r="I3" s="74"/>
      <c r="J3" s="74"/>
      <c r="K3" s="74"/>
      <c r="L3" s="67"/>
      <c r="M3" s="67"/>
      <c r="N3" s="68"/>
      <c r="O3" s="68"/>
      <c r="P3" s="67"/>
      <c r="Q3" s="70"/>
      <c r="R3" s="70"/>
      <c r="S3" s="70"/>
      <c r="T3" s="67"/>
      <c r="U3" s="67"/>
      <c r="V3" s="115"/>
      <c r="W3" s="115"/>
      <c r="X3" s="115"/>
      <c r="Y3" s="67"/>
      <c r="Z3" s="67"/>
      <c r="AA3" s="67"/>
      <c r="AB3" s="67"/>
      <c r="AC3" s="67"/>
      <c r="AD3" s="67"/>
      <c r="AE3" s="115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</row>
    <row r="4" spans="1:43" ht="15" customHeight="1">
      <c r="A4" s="72"/>
      <c r="B4" s="62"/>
      <c r="C4" s="63">
        <v>12348</v>
      </c>
      <c r="G4" s="76"/>
      <c r="H4" s="77"/>
      <c r="I4" s="77"/>
      <c r="J4" s="77"/>
      <c r="K4" s="77"/>
      <c r="L4" s="78"/>
      <c r="M4" s="75"/>
      <c r="N4" s="68"/>
      <c r="O4" s="68"/>
      <c r="P4" s="67"/>
      <c r="Q4" s="79"/>
      <c r="R4" s="79"/>
      <c r="S4" s="79"/>
      <c r="T4" s="75"/>
      <c r="U4" s="75"/>
      <c r="V4" s="116"/>
      <c r="W4" s="116"/>
      <c r="X4" s="116"/>
      <c r="Y4" s="75"/>
      <c r="Z4" s="75"/>
      <c r="AA4" s="75"/>
      <c r="AB4" s="75"/>
      <c r="AC4" s="75"/>
      <c r="AD4" s="75"/>
      <c r="AE4" s="116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</row>
    <row r="5" spans="1:43" ht="15" customHeight="1" thickBot="1">
      <c r="A5" s="72"/>
      <c r="B5" s="62"/>
      <c r="C5" s="63">
        <v>12577</v>
      </c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117"/>
      <c r="W5" s="117"/>
      <c r="X5" s="117"/>
      <c r="Y5" s="80"/>
      <c r="Z5" s="80"/>
      <c r="AA5" s="80"/>
      <c r="AB5" s="80"/>
      <c r="AC5" s="80"/>
      <c r="AD5" s="80"/>
      <c r="AE5" s="117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</row>
    <row r="6" spans="1:43" ht="15" customHeight="1" thickBot="1">
      <c r="A6" s="72"/>
      <c r="B6" s="62"/>
      <c r="C6" s="63">
        <v>12718</v>
      </c>
      <c r="G6" s="81"/>
      <c r="H6" s="82"/>
      <c r="I6" s="82"/>
      <c r="J6" s="82"/>
      <c r="K6" s="82"/>
      <c r="L6" s="82"/>
      <c r="M6" s="82"/>
      <c r="N6" s="82"/>
      <c r="O6" s="82"/>
      <c r="P6" s="82"/>
      <c r="T6" s="106">
        <v>42461</v>
      </c>
      <c r="Z6" s="364" t="s">
        <v>53</v>
      </c>
      <c r="AA6" s="364"/>
      <c r="AB6" s="364"/>
      <c r="AC6" s="290"/>
      <c r="AD6" s="365"/>
      <c r="AE6" s="365"/>
      <c r="AF6" s="365"/>
      <c r="AG6" s="291"/>
    </row>
    <row r="7" spans="1:43" ht="21" customHeight="1">
      <c r="A7" s="72"/>
      <c r="B7" s="84" t="s">
        <v>8</v>
      </c>
      <c r="D7" s="292" t="s">
        <v>1</v>
      </c>
      <c r="E7" s="293" t="s">
        <v>25</v>
      </c>
      <c r="F7" s="294" t="s">
        <v>17</v>
      </c>
      <c r="G7" s="295" t="s">
        <v>32</v>
      </c>
      <c r="H7" s="294" t="s">
        <v>33</v>
      </c>
      <c r="I7" s="294" t="s">
        <v>19</v>
      </c>
      <c r="J7" s="294" t="s">
        <v>34</v>
      </c>
      <c r="K7" s="294" t="s">
        <v>35</v>
      </c>
      <c r="L7" s="294" t="s">
        <v>36</v>
      </c>
      <c r="M7" s="294" t="s">
        <v>37</v>
      </c>
      <c r="N7" s="296" t="s">
        <v>38</v>
      </c>
      <c r="O7" s="296" t="s">
        <v>39</v>
      </c>
      <c r="P7" s="296" t="s">
        <v>40</v>
      </c>
      <c r="Q7" s="297" t="s">
        <v>41</v>
      </c>
      <c r="R7" s="297" t="s">
        <v>43</v>
      </c>
      <c r="S7" s="297" t="s">
        <v>42</v>
      </c>
      <c r="T7" s="297" t="s">
        <v>48</v>
      </c>
      <c r="U7" s="294" t="s">
        <v>44</v>
      </c>
      <c r="V7" s="298" t="s">
        <v>45</v>
      </c>
      <c r="W7" s="298" t="s">
        <v>46</v>
      </c>
      <c r="X7" s="298" t="s">
        <v>47</v>
      </c>
      <c r="Y7" s="294" t="s">
        <v>67</v>
      </c>
      <c r="Z7" s="296" t="s">
        <v>50</v>
      </c>
      <c r="AA7" s="296" t="s">
        <v>51</v>
      </c>
      <c r="AB7" s="296" t="s">
        <v>52</v>
      </c>
      <c r="AC7" s="294" t="s">
        <v>12</v>
      </c>
      <c r="AD7" s="294" t="s">
        <v>64</v>
      </c>
      <c r="AE7" s="298" t="s">
        <v>55</v>
      </c>
      <c r="AF7" s="294" t="s">
        <v>56</v>
      </c>
      <c r="AG7" s="294" t="s">
        <v>59</v>
      </c>
      <c r="AH7" s="294" t="s">
        <v>60</v>
      </c>
      <c r="AI7" s="294" t="s">
        <v>61</v>
      </c>
      <c r="AJ7" s="299" t="s">
        <v>3</v>
      </c>
      <c r="AK7" s="299" t="s">
        <v>62</v>
      </c>
      <c r="AL7" s="299" t="s">
        <v>49</v>
      </c>
      <c r="AM7" s="299" t="s">
        <v>81</v>
      </c>
      <c r="AN7" s="299" t="s">
        <v>66</v>
      </c>
      <c r="AO7" s="299" t="s">
        <v>1064</v>
      </c>
      <c r="AP7" s="299" t="s">
        <v>2215</v>
      </c>
      <c r="AQ7" s="300" t="s">
        <v>1066</v>
      </c>
    </row>
    <row r="8" spans="1:43" ht="15" customHeight="1">
      <c r="A8" s="72"/>
      <c r="B8" s="84"/>
      <c r="C8" s="91"/>
      <c r="D8" s="301">
        <v>18545</v>
      </c>
      <c r="E8" s="283">
        <v>739232</v>
      </c>
      <c r="F8" s="273">
        <v>12560</v>
      </c>
      <c r="G8" s="274" t="s">
        <v>1439</v>
      </c>
      <c r="H8" s="274" t="s">
        <v>407</v>
      </c>
      <c r="I8" s="274" t="s">
        <v>9</v>
      </c>
      <c r="J8" s="274" t="s">
        <v>392</v>
      </c>
      <c r="K8" s="275">
        <v>0.625</v>
      </c>
      <c r="L8" s="275">
        <v>0.88888888888888884</v>
      </c>
      <c r="M8" s="275">
        <v>0.26388888888888884</v>
      </c>
      <c r="N8" s="275">
        <v>0.66666666666666663</v>
      </c>
      <c r="O8" s="275">
        <v>0.72222222222222221</v>
      </c>
      <c r="P8" s="275">
        <v>0.83333333333333337</v>
      </c>
      <c r="Q8" s="276">
        <v>40787</v>
      </c>
      <c r="R8" s="284" t="s">
        <v>2</v>
      </c>
      <c r="S8" s="276">
        <v>40810</v>
      </c>
      <c r="T8" s="284" t="s">
        <v>2</v>
      </c>
      <c r="U8" s="274" t="s">
        <v>707</v>
      </c>
      <c r="V8" s="276">
        <v>42010</v>
      </c>
      <c r="W8" s="276">
        <v>42009</v>
      </c>
      <c r="X8" s="276" t="s">
        <v>2</v>
      </c>
      <c r="Y8" s="274" t="s">
        <v>1438</v>
      </c>
      <c r="Z8" s="274" t="s">
        <v>2</v>
      </c>
      <c r="AA8" s="274" t="s">
        <v>2</v>
      </c>
      <c r="AB8" s="276" t="s">
        <v>2</v>
      </c>
      <c r="AC8" s="274" t="s">
        <v>2</v>
      </c>
      <c r="AD8" s="277">
        <v>4474170</v>
      </c>
      <c r="AE8" s="276"/>
      <c r="AF8" s="274" t="s">
        <v>2188</v>
      </c>
      <c r="AG8" s="274" t="s">
        <v>775</v>
      </c>
      <c r="AH8" s="274" t="s">
        <v>2197</v>
      </c>
      <c r="AI8" s="274" t="s">
        <v>89</v>
      </c>
      <c r="AJ8" s="281">
        <v>810029</v>
      </c>
      <c r="AK8" s="152" t="s">
        <v>1789</v>
      </c>
      <c r="AL8" s="152" t="s">
        <v>1617</v>
      </c>
      <c r="AM8" s="152" t="s">
        <v>2</v>
      </c>
      <c r="AN8" s="152" t="s">
        <v>2</v>
      </c>
      <c r="AO8" s="152" t="s">
        <v>1960</v>
      </c>
      <c r="AP8" s="152" t="s">
        <v>1249</v>
      </c>
      <c r="AQ8" s="302" t="s">
        <v>1249</v>
      </c>
    </row>
    <row r="9" spans="1:43" ht="15" customHeight="1">
      <c r="A9" s="72"/>
      <c r="B9" s="84"/>
      <c r="C9" s="91"/>
      <c r="D9" s="301">
        <v>26035</v>
      </c>
      <c r="E9" s="283">
        <v>813608</v>
      </c>
      <c r="F9" s="273" t="s">
        <v>2</v>
      </c>
      <c r="G9" s="274" t="s">
        <v>1440</v>
      </c>
      <c r="H9" s="274" t="s">
        <v>412</v>
      </c>
      <c r="I9" s="274" t="s">
        <v>16</v>
      </c>
      <c r="J9" s="274" t="s">
        <v>395</v>
      </c>
      <c r="K9" s="275">
        <v>0.3611111111111111</v>
      </c>
      <c r="L9" s="275">
        <v>0.625</v>
      </c>
      <c r="M9" s="275">
        <v>0.2638888888888889</v>
      </c>
      <c r="N9" s="275">
        <v>0.43055555555555558</v>
      </c>
      <c r="O9" s="275">
        <v>0.50694444444444442</v>
      </c>
      <c r="P9" s="275">
        <v>0.57638888888888895</v>
      </c>
      <c r="Q9" s="276">
        <v>41494</v>
      </c>
      <c r="R9" s="284" t="s">
        <v>2</v>
      </c>
      <c r="S9" s="276">
        <v>41517</v>
      </c>
      <c r="T9" s="284" t="s">
        <v>2</v>
      </c>
      <c r="U9" s="274" t="s">
        <v>707</v>
      </c>
      <c r="V9" s="276">
        <v>42016</v>
      </c>
      <c r="W9" s="276">
        <v>42012</v>
      </c>
      <c r="X9" s="276">
        <v>42012</v>
      </c>
      <c r="Y9" s="274" t="s">
        <v>2</v>
      </c>
      <c r="Z9" s="274" t="s">
        <v>2202</v>
      </c>
      <c r="AA9" s="274" t="s">
        <v>395</v>
      </c>
      <c r="AB9" s="276" t="s">
        <v>2203</v>
      </c>
      <c r="AC9" s="274">
        <v>42012</v>
      </c>
      <c r="AD9" s="277" t="s">
        <v>2</v>
      </c>
      <c r="AE9" s="276"/>
      <c r="AF9" s="274" t="s">
        <v>2</v>
      </c>
      <c r="AG9" s="274" t="s">
        <v>775</v>
      </c>
      <c r="AH9" s="274" t="s">
        <v>2197</v>
      </c>
      <c r="AI9" s="274" t="s">
        <v>89</v>
      </c>
      <c r="AJ9" s="281" t="s">
        <v>2</v>
      </c>
      <c r="AK9" s="152" t="s">
        <v>1790</v>
      </c>
      <c r="AL9" s="152" t="s">
        <v>1618</v>
      </c>
      <c r="AM9" s="152" t="s">
        <v>2</v>
      </c>
      <c r="AN9" s="152" t="s">
        <v>2</v>
      </c>
      <c r="AO9" s="152" t="s">
        <v>1325</v>
      </c>
      <c r="AP9" s="152" t="s">
        <v>1249</v>
      </c>
      <c r="AQ9" s="302" t="s">
        <v>2</v>
      </c>
    </row>
    <row r="10" spans="1:43" ht="15" customHeight="1">
      <c r="A10" s="72"/>
      <c r="B10" s="84"/>
      <c r="C10" s="91"/>
      <c r="D10" s="301">
        <v>27875</v>
      </c>
      <c r="E10" s="283">
        <v>833829</v>
      </c>
      <c r="F10" s="273" t="s">
        <v>2</v>
      </c>
      <c r="G10" s="274" t="s">
        <v>1441</v>
      </c>
      <c r="H10" s="274" t="s">
        <v>412</v>
      </c>
      <c r="I10" s="274" t="s">
        <v>9</v>
      </c>
      <c r="J10" s="274" t="s">
        <v>395</v>
      </c>
      <c r="K10" s="275">
        <v>0.375</v>
      </c>
      <c r="L10" s="275">
        <v>0.63888888888888895</v>
      </c>
      <c r="M10" s="275">
        <v>0.26388888888888895</v>
      </c>
      <c r="N10" s="275">
        <v>0.43055555555555558</v>
      </c>
      <c r="O10" s="275">
        <v>0.52083333333333337</v>
      </c>
      <c r="P10" s="275">
        <v>0.59027777777777779</v>
      </c>
      <c r="Q10" s="276">
        <v>41704</v>
      </c>
      <c r="R10" s="284" t="s">
        <v>2</v>
      </c>
      <c r="S10" s="276">
        <v>41727</v>
      </c>
      <c r="T10" s="284" t="s">
        <v>2</v>
      </c>
      <c r="U10" s="274" t="s">
        <v>707</v>
      </c>
      <c r="V10" s="276">
        <v>42030</v>
      </c>
      <c r="W10" s="276">
        <v>42030</v>
      </c>
      <c r="X10" s="276" t="s">
        <v>2</v>
      </c>
      <c r="Y10" s="274" t="s">
        <v>1438</v>
      </c>
      <c r="Z10" s="274" t="s">
        <v>2</v>
      </c>
      <c r="AA10" s="274" t="s">
        <v>2</v>
      </c>
      <c r="AB10" s="276" t="s">
        <v>2</v>
      </c>
      <c r="AC10" s="274" t="s">
        <v>2</v>
      </c>
      <c r="AD10" s="277" t="s">
        <v>2128</v>
      </c>
      <c r="AE10" s="276"/>
      <c r="AF10" s="274" t="s">
        <v>2189</v>
      </c>
      <c r="AG10" s="274" t="s">
        <v>775</v>
      </c>
      <c r="AH10" s="274" t="s">
        <v>2197</v>
      </c>
      <c r="AI10" s="274" t="s">
        <v>89</v>
      </c>
      <c r="AJ10" s="281" t="s">
        <v>2</v>
      </c>
      <c r="AK10" s="152" t="s">
        <v>1791</v>
      </c>
      <c r="AL10" s="152" t="s">
        <v>1619</v>
      </c>
      <c r="AM10" s="152" t="s">
        <v>2</v>
      </c>
      <c r="AN10" s="152" t="s">
        <v>2</v>
      </c>
      <c r="AO10" s="152" t="s">
        <v>1961</v>
      </c>
      <c r="AP10" s="152" t="s">
        <v>2</v>
      </c>
      <c r="AQ10" s="302" t="s">
        <v>2</v>
      </c>
    </row>
    <row r="11" spans="1:43" ht="15" customHeight="1">
      <c r="A11" s="72"/>
      <c r="B11" s="84"/>
      <c r="C11" s="91"/>
      <c r="D11" s="301">
        <v>26051</v>
      </c>
      <c r="E11" s="283">
        <v>813624</v>
      </c>
      <c r="F11" s="273">
        <v>12013</v>
      </c>
      <c r="G11" s="274" t="s">
        <v>1442</v>
      </c>
      <c r="H11" s="274" t="s">
        <v>419</v>
      </c>
      <c r="I11" s="274" t="s">
        <v>9</v>
      </c>
      <c r="J11" s="274" t="s">
        <v>396</v>
      </c>
      <c r="K11" s="275">
        <v>0.57500000000000007</v>
      </c>
      <c r="L11" s="275">
        <v>0.91666666666666663</v>
      </c>
      <c r="M11" s="275">
        <v>0.34166666666666656</v>
      </c>
      <c r="N11" s="275">
        <v>0.63888888888888895</v>
      </c>
      <c r="O11" s="275">
        <v>0.70138888888888884</v>
      </c>
      <c r="P11" s="275">
        <v>0.83333333333333337</v>
      </c>
      <c r="Q11" s="276">
        <v>41494</v>
      </c>
      <c r="R11" s="284" t="s">
        <v>2</v>
      </c>
      <c r="S11" s="276">
        <v>41517</v>
      </c>
      <c r="T11" s="284" t="s">
        <v>2</v>
      </c>
      <c r="U11" s="274" t="s">
        <v>707</v>
      </c>
      <c r="V11" s="276">
        <v>42012</v>
      </c>
      <c r="W11" s="276">
        <v>42012</v>
      </c>
      <c r="X11" s="276" t="s">
        <v>2</v>
      </c>
      <c r="Y11" s="274" t="s">
        <v>1438</v>
      </c>
      <c r="Z11" s="274" t="s">
        <v>2</v>
      </c>
      <c r="AA11" s="274" t="s">
        <v>2</v>
      </c>
      <c r="AB11" s="276" t="s">
        <v>2</v>
      </c>
      <c r="AC11" s="274" t="s">
        <v>2</v>
      </c>
      <c r="AD11" s="277" t="s">
        <v>2</v>
      </c>
      <c r="AE11" s="276"/>
      <c r="AF11" s="274" t="s">
        <v>2</v>
      </c>
      <c r="AG11" s="274" t="s">
        <v>775</v>
      </c>
      <c r="AH11" s="274" t="s">
        <v>2197</v>
      </c>
      <c r="AI11" s="274" t="s">
        <v>89</v>
      </c>
      <c r="AJ11" s="281" t="s">
        <v>2</v>
      </c>
      <c r="AK11" s="152" t="s">
        <v>1792</v>
      </c>
      <c r="AL11" s="152" t="s">
        <v>1620</v>
      </c>
      <c r="AM11" s="152" t="s">
        <v>2</v>
      </c>
      <c r="AN11" s="152" t="s">
        <v>422</v>
      </c>
      <c r="AO11" s="152" t="s">
        <v>1962</v>
      </c>
      <c r="AP11" s="152" t="s">
        <v>1249</v>
      </c>
      <c r="AQ11" s="302" t="s">
        <v>2</v>
      </c>
    </row>
    <row r="12" spans="1:43" ht="15" customHeight="1">
      <c r="A12" s="72"/>
      <c r="B12" s="84"/>
      <c r="C12" s="91"/>
      <c r="D12" s="301">
        <v>27551</v>
      </c>
      <c r="E12" s="283">
        <v>831342</v>
      </c>
      <c r="F12" s="273">
        <v>12416</v>
      </c>
      <c r="G12" s="274" t="s">
        <v>1443</v>
      </c>
      <c r="H12" s="274" t="s">
        <v>419</v>
      </c>
      <c r="I12" s="274" t="s">
        <v>16</v>
      </c>
      <c r="J12" s="274" t="s">
        <v>396</v>
      </c>
      <c r="K12" s="275">
        <v>0.57500000000000007</v>
      </c>
      <c r="L12" s="275">
        <v>0.91666666666666663</v>
      </c>
      <c r="M12" s="275">
        <v>0.34166666666666656</v>
      </c>
      <c r="N12" s="275">
        <v>0.625</v>
      </c>
      <c r="O12" s="275">
        <v>0.77083333333333337</v>
      </c>
      <c r="P12" s="275">
        <v>0.84722222222222221</v>
      </c>
      <c r="Q12" s="276">
        <v>41676</v>
      </c>
      <c r="R12" s="284" t="s">
        <v>2</v>
      </c>
      <c r="S12" s="276">
        <v>41705</v>
      </c>
      <c r="T12" s="284" t="s">
        <v>2</v>
      </c>
      <c r="U12" s="274" t="s">
        <v>707</v>
      </c>
      <c r="V12" s="276">
        <v>42024</v>
      </c>
      <c r="W12" s="276">
        <v>42025</v>
      </c>
      <c r="X12" s="276" t="s">
        <v>2</v>
      </c>
      <c r="Y12" s="274" t="s">
        <v>2</v>
      </c>
      <c r="Z12" s="274" t="s">
        <v>2202</v>
      </c>
      <c r="AA12" s="274" t="s">
        <v>396</v>
      </c>
      <c r="AB12" s="276" t="s">
        <v>2204</v>
      </c>
      <c r="AC12" s="274">
        <v>42025</v>
      </c>
      <c r="AD12" s="277" t="s">
        <v>2129</v>
      </c>
      <c r="AE12" s="276"/>
      <c r="AF12" s="274" t="s">
        <v>2190</v>
      </c>
      <c r="AG12" s="274" t="s">
        <v>775</v>
      </c>
      <c r="AH12" s="274" t="s">
        <v>2197</v>
      </c>
      <c r="AI12" s="274" t="s">
        <v>89</v>
      </c>
      <c r="AJ12" s="281">
        <v>810119</v>
      </c>
      <c r="AK12" s="152" t="s">
        <v>1793</v>
      </c>
      <c r="AL12" s="152" t="s">
        <v>1621</v>
      </c>
      <c r="AM12" s="152" t="s">
        <v>2</v>
      </c>
      <c r="AN12" s="152" t="s">
        <v>422</v>
      </c>
      <c r="AO12" s="152" t="s">
        <v>1963</v>
      </c>
      <c r="AP12" s="152" t="s">
        <v>1249</v>
      </c>
      <c r="AQ12" s="302" t="s">
        <v>2</v>
      </c>
    </row>
    <row r="13" spans="1:43" ht="15" customHeight="1">
      <c r="A13" s="72"/>
      <c r="B13" s="84"/>
      <c r="C13" s="91"/>
      <c r="D13" s="301">
        <v>20597</v>
      </c>
      <c r="E13" s="283">
        <v>760685</v>
      </c>
      <c r="F13" s="273">
        <v>17061</v>
      </c>
      <c r="G13" s="274" t="s">
        <v>1444</v>
      </c>
      <c r="H13" s="274" t="s">
        <v>415</v>
      </c>
      <c r="I13" s="274" t="s">
        <v>16</v>
      </c>
      <c r="J13" s="274" t="s">
        <v>398</v>
      </c>
      <c r="K13" s="275">
        <v>0.375</v>
      </c>
      <c r="L13" s="275">
        <v>0.71666666666666667</v>
      </c>
      <c r="M13" s="275">
        <v>0.34166666666666667</v>
      </c>
      <c r="N13" s="275">
        <v>0.43055555555555558</v>
      </c>
      <c r="O13" s="275">
        <v>0.54166666666666663</v>
      </c>
      <c r="P13" s="275">
        <v>0.65277777777777779</v>
      </c>
      <c r="Q13" s="276">
        <v>40945</v>
      </c>
      <c r="R13" s="284" t="s">
        <v>2</v>
      </c>
      <c r="S13" s="276">
        <v>40968</v>
      </c>
      <c r="T13" s="284" t="s">
        <v>2</v>
      </c>
      <c r="U13" s="274" t="s">
        <v>707</v>
      </c>
      <c r="V13" s="276">
        <v>42023</v>
      </c>
      <c r="W13" s="276">
        <v>42023</v>
      </c>
      <c r="X13" s="276" t="s">
        <v>2</v>
      </c>
      <c r="Y13" s="274" t="s">
        <v>2</v>
      </c>
      <c r="Z13" s="274" t="s">
        <v>2202</v>
      </c>
      <c r="AA13" s="274" t="s">
        <v>398</v>
      </c>
      <c r="AB13" s="276" t="s">
        <v>2204</v>
      </c>
      <c r="AC13" s="274">
        <v>42023</v>
      </c>
      <c r="AD13" s="277">
        <v>2409060</v>
      </c>
      <c r="AE13" s="276"/>
      <c r="AF13" s="274" t="s">
        <v>2189</v>
      </c>
      <c r="AG13" s="274" t="s">
        <v>775</v>
      </c>
      <c r="AH13" s="274" t="s">
        <v>2197</v>
      </c>
      <c r="AI13" s="274" t="s">
        <v>89</v>
      </c>
      <c r="AJ13" s="281">
        <v>810109</v>
      </c>
      <c r="AK13" s="152" t="s">
        <v>1794</v>
      </c>
      <c r="AL13" s="152" t="s">
        <v>1622</v>
      </c>
      <c r="AM13" s="152" t="s">
        <v>2</v>
      </c>
      <c r="AN13" s="152" t="s">
        <v>422</v>
      </c>
      <c r="AO13" s="152" t="s">
        <v>1964</v>
      </c>
      <c r="AP13" s="152" t="s">
        <v>2</v>
      </c>
      <c r="AQ13" s="302" t="s">
        <v>2</v>
      </c>
    </row>
    <row r="14" spans="1:43" ht="15" customHeight="1">
      <c r="A14" s="72"/>
      <c r="B14" s="84"/>
      <c r="C14" s="91"/>
      <c r="D14" s="301">
        <v>29888</v>
      </c>
      <c r="E14" s="283">
        <v>868204</v>
      </c>
      <c r="F14" s="273">
        <v>17081</v>
      </c>
      <c r="G14" s="274" t="s">
        <v>1446</v>
      </c>
      <c r="H14" s="274" t="s">
        <v>422</v>
      </c>
      <c r="I14" s="274" t="s">
        <v>9</v>
      </c>
      <c r="J14" s="274" t="s">
        <v>398</v>
      </c>
      <c r="K14" s="275">
        <v>0.61111111111111105</v>
      </c>
      <c r="L14" s="275">
        <v>0.875</v>
      </c>
      <c r="M14" s="275">
        <v>0.26388888888888895</v>
      </c>
      <c r="N14" s="275">
        <v>0.65277777777777779</v>
      </c>
      <c r="O14" s="275">
        <v>0.77083333333333337</v>
      </c>
      <c r="P14" s="275">
        <v>0.83333333333333337</v>
      </c>
      <c r="Q14" s="276">
        <v>41983</v>
      </c>
      <c r="R14" s="284" t="s">
        <v>2</v>
      </c>
      <c r="S14" s="276">
        <v>42009</v>
      </c>
      <c r="T14" s="284" t="s">
        <v>2</v>
      </c>
      <c r="U14" s="274" t="s">
        <v>707</v>
      </c>
      <c r="V14" s="276">
        <v>42020</v>
      </c>
      <c r="W14" s="276">
        <v>42020</v>
      </c>
      <c r="X14" s="276" t="s">
        <v>2</v>
      </c>
      <c r="Y14" s="274" t="s">
        <v>1438</v>
      </c>
      <c r="Z14" s="274" t="s">
        <v>2</v>
      </c>
      <c r="AA14" s="274" t="s">
        <v>2</v>
      </c>
      <c r="AB14" s="276" t="s">
        <v>2</v>
      </c>
      <c r="AC14" s="274" t="s">
        <v>2</v>
      </c>
      <c r="AD14" s="277" t="s">
        <v>2131</v>
      </c>
      <c r="AE14" s="276"/>
      <c r="AF14" s="274" t="s">
        <v>2191</v>
      </c>
      <c r="AG14" s="274" t="s">
        <v>775</v>
      </c>
      <c r="AH14" s="274" t="s">
        <v>2197</v>
      </c>
      <c r="AI14" s="274" t="s">
        <v>89</v>
      </c>
      <c r="AJ14" s="281" t="s">
        <v>2</v>
      </c>
      <c r="AK14" s="152" t="s">
        <v>1796</v>
      </c>
      <c r="AL14" s="152" t="s">
        <v>1624</v>
      </c>
      <c r="AM14" s="152" t="s">
        <v>2</v>
      </c>
      <c r="AN14" s="152" t="s">
        <v>422</v>
      </c>
      <c r="AO14" s="152" t="s">
        <v>1966</v>
      </c>
      <c r="AP14" s="152" t="s">
        <v>2</v>
      </c>
      <c r="AQ14" s="302" t="s">
        <v>2</v>
      </c>
    </row>
    <row r="15" spans="1:43" ht="15" customHeight="1">
      <c r="A15" s="72"/>
      <c r="B15" s="84"/>
      <c r="C15" s="91"/>
      <c r="D15" s="301">
        <v>29883</v>
      </c>
      <c r="E15" s="283">
        <v>868199</v>
      </c>
      <c r="F15" s="273">
        <v>17033</v>
      </c>
      <c r="G15" s="274" t="s">
        <v>1447</v>
      </c>
      <c r="H15" s="274" t="s">
        <v>422</v>
      </c>
      <c r="I15" s="274" t="s">
        <v>9</v>
      </c>
      <c r="J15" s="274" t="s">
        <v>398</v>
      </c>
      <c r="K15" s="275">
        <v>0.63888888888888895</v>
      </c>
      <c r="L15" s="275">
        <v>0.90277777777777779</v>
      </c>
      <c r="M15" s="275">
        <v>0.26388888888888884</v>
      </c>
      <c r="N15" s="275">
        <v>0.68055555555555547</v>
      </c>
      <c r="O15" s="275">
        <v>0.80555555555555547</v>
      </c>
      <c r="P15" s="275">
        <v>0.86111111111111116</v>
      </c>
      <c r="Q15" s="276">
        <v>41983</v>
      </c>
      <c r="R15" s="284" t="s">
        <v>2</v>
      </c>
      <c r="S15" s="276">
        <v>42009</v>
      </c>
      <c r="T15" s="284" t="s">
        <v>2</v>
      </c>
      <c r="U15" s="274" t="s">
        <v>707</v>
      </c>
      <c r="V15" s="276">
        <v>42016</v>
      </c>
      <c r="W15" s="276">
        <v>42016</v>
      </c>
      <c r="X15" s="276" t="s">
        <v>2</v>
      </c>
      <c r="Y15" s="274" t="s">
        <v>2198</v>
      </c>
      <c r="Z15" s="274" t="s">
        <v>2</v>
      </c>
      <c r="AA15" s="274" t="s">
        <v>2</v>
      </c>
      <c r="AB15" s="276" t="s">
        <v>2</v>
      </c>
      <c r="AC15" s="274" t="s">
        <v>2</v>
      </c>
      <c r="AD15" s="277">
        <v>0</v>
      </c>
      <c r="AE15" s="276"/>
      <c r="AF15" s="274" t="s">
        <v>2190</v>
      </c>
      <c r="AG15" s="274" t="s">
        <v>775</v>
      </c>
      <c r="AH15" s="274" t="s">
        <v>2197</v>
      </c>
      <c r="AI15" s="274" t="s">
        <v>89</v>
      </c>
      <c r="AJ15" s="281" t="s">
        <v>2</v>
      </c>
      <c r="AK15" s="152" t="s">
        <v>1797</v>
      </c>
      <c r="AL15" s="152" t="s">
        <v>1625</v>
      </c>
      <c r="AM15" s="152" t="s">
        <v>2</v>
      </c>
      <c r="AN15" s="152" t="s">
        <v>422</v>
      </c>
      <c r="AO15" s="152" t="s">
        <v>1967</v>
      </c>
      <c r="AP15" s="152" t="s">
        <v>2</v>
      </c>
      <c r="AQ15" s="302" t="s">
        <v>2</v>
      </c>
    </row>
    <row r="16" spans="1:43" ht="15" customHeight="1">
      <c r="A16" s="72"/>
      <c r="B16" s="84"/>
      <c r="C16" s="91"/>
      <c r="D16" s="301">
        <v>29848</v>
      </c>
      <c r="E16" s="283">
        <v>868163</v>
      </c>
      <c r="F16" s="273">
        <v>17037</v>
      </c>
      <c r="G16" s="274" t="s">
        <v>1448</v>
      </c>
      <c r="H16" s="274" t="s">
        <v>422</v>
      </c>
      <c r="I16" s="274" t="s">
        <v>9</v>
      </c>
      <c r="J16" s="274" t="s">
        <v>398</v>
      </c>
      <c r="K16" s="275">
        <v>0.63888888888888895</v>
      </c>
      <c r="L16" s="275">
        <v>0.90277777777777779</v>
      </c>
      <c r="M16" s="275">
        <v>0.26388888888888884</v>
      </c>
      <c r="N16" s="275">
        <v>0.68055555555555547</v>
      </c>
      <c r="O16" s="275">
        <v>0.80555555555555547</v>
      </c>
      <c r="P16" s="275">
        <v>0.86111111111111116</v>
      </c>
      <c r="Q16" s="276">
        <v>41983</v>
      </c>
      <c r="R16" s="284" t="s">
        <v>2</v>
      </c>
      <c r="S16" s="276">
        <v>42009</v>
      </c>
      <c r="T16" s="284" t="s">
        <v>2</v>
      </c>
      <c r="U16" s="274" t="s">
        <v>707</v>
      </c>
      <c r="V16" s="276">
        <v>42012</v>
      </c>
      <c r="W16" s="276">
        <v>42012</v>
      </c>
      <c r="X16" s="276" t="s">
        <v>2</v>
      </c>
      <c r="Y16" s="274" t="s">
        <v>1438</v>
      </c>
      <c r="Z16" s="274" t="s">
        <v>2</v>
      </c>
      <c r="AA16" s="274" t="s">
        <v>2</v>
      </c>
      <c r="AB16" s="276" t="s">
        <v>2</v>
      </c>
      <c r="AC16" s="274" t="s">
        <v>2</v>
      </c>
      <c r="AD16" s="277" t="s">
        <v>2132</v>
      </c>
      <c r="AE16" s="276"/>
      <c r="AF16" s="274" t="s">
        <v>2192</v>
      </c>
      <c r="AG16" s="274" t="s">
        <v>775</v>
      </c>
      <c r="AH16" s="274" t="s">
        <v>2197</v>
      </c>
      <c r="AI16" s="274" t="s">
        <v>89</v>
      </c>
      <c r="AJ16" s="281" t="s">
        <v>2</v>
      </c>
      <c r="AK16" s="152" t="s">
        <v>1798</v>
      </c>
      <c r="AL16" s="152" t="s">
        <v>1626</v>
      </c>
      <c r="AM16" s="152" t="s">
        <v>2</v>
      </c>
      <c r="AN16" s="152" t="s">
        <v>422</v>
      </c>
      <c r="AO16" s="152" t="s">
        <v>1968</v>
      </c>
      <c r="AP16" s="152" t="s">
        <v>2</v>
      </c>
      <c r="AQ16" s="302" t="s">
        <v>2</v>
      </c>
    </row>
    <row r="17" spans="1:43" ht="15" customHeight="1">
      <c r="A17" s="72"/>
      <c r="B17" s="84"/>
      <c r="C17" s="91"/>
      <c r="D17" s="301">
        <v>27878</v>
      </c>
      <c r="E17" s="283">
        <v>833832</v>
      </c>
      <c r="F17" s="273">
        <v>17170</v>
      </c>
      <c r="G17" s="274" t="s">
        <v>1449</v>
      </c>
      <c r="H17" s="274" t="s">
        <v>416</v>
      </c>
      <c r="I17" s="274" t="s">
        <v>16</v>
      </c>
      <c r="J17" s="274" t="s">
        <v>398</v>
      </c>
      <c r="K17" s="275">
        <v>0.33333333333333331</v>
      </c>
      <c r="L17" s="275">
        <v>0.67499999999999993</v>
      </c>
      <c r="M17" s="275">
        <v>0.34166666666666662</v>
      </c>
      <c r="N17" s="275">
        <v>0.38194444444444442</v>
      </c>
      <c r="O17" s="275">
        <v>0.54166666666666663</v>
      </c>
      <c r="P17" s="275">
        <v>0.625</v>
      </c>
      <c r="Q17" s="276">
        <v>41704</v>
      </c>
      <c r="R17" s="284" t="s">
        <v>2</v>
      </c>
      <c r="S17" s="276">
        <v>41727</v>
      </c>
      <c r="T17" s="284" t="s">
        <v>2</v>
      </c>
      <c r="U17" s="274" t="s">
        <v>707</v>
      </c>
      <c r="V17" s="276">
        <v>42010</v>
      </c>
      <c r="W17" s="276">
        <v>42011</v>
      </c>
      <c r="X17" s="276" t="s">
        <v>2</v>
      </c>
      <c r="Y17" s="274" t="s">
        <v>2</v>
      </c>
      <c r="Z17" s="274" t="s">
        <v>2202</v>
      </c>
      <c r="AA17" s="274" t="s">
        <v>398</v>
      </c>
      <c r="AB17" s="276" t="s">
        <v>2204</v>
      </c>
      <c r="AC17" s="274">
        <v>42011</v>
      </c>
      <c r="AD17" s="277" t="s">
        <v>2133</v>
      </c>
      <c r="AE17" s="276"/>
      <c r="AF17" s="274" t="s">
        <v>2193</v>
      </c>
      <c r="AG17" s="274" t="s">
        <v>775</v>
      </c>
      <c r="AH17" s="274" t="s">
        <v>2197</v>
      </c>
      <c r="AI17" s="274" t="s">
        <v>89</v>
      </c>
      <c r="AJ17" s="281">
        <v>810160</v>
      </c>
      <c r="AK17" s="152" t="s">
        <v>1799</v>
      </c>
      <c r="AL17" s="152" t="s">
        <v>1627</v>
      </c>
      <c r="AM17" s="152" t="s">
        <v>2</v>
      </c>
      <c r="AN17" s="152" t="s">
        <v>422</v>
      </c>
      <c r="AO17" s="152" t="s">
        <v>1969</v>
      </c>
      <c r="AP17" s="152" t="s">
        <v>2</v>
      </c>
      <c r="AQ17" s="302" t="s">
        <v>2</v>
      </c>
    </row>
    <row r="18" spans="1:43" ht="15" customHeight="1">
      <c r="A18" s="72"/>
      <c r="B18" s="84"/>
      <c r="C18" s="91"/>
      <c r="D18" s="301">
        <v>24441</v>
      </c>
      <c r="E18" s="283">
        <v>796381</v>
      </c>
      <c r="F18" s="273">
        <v>12127</v>
      </c>
      <c r="G18" s="274" t="s">
        <v>1450</v>
      </c>
      <c r="H18" s="274" t="s">
        <v>416</v>
      </c>
      <c r="I18" s="274" t="s">
        <v>16</v>
      </c>
      <c r="J18" s="274" t="s">
        <v>398</v>
      </c>
      <c r="K18" s="275">
        <v>0.35416666666666669</v>
      </c>
      <c r="L18" s="275">
        <v>0.6958333333333333</v>
      </c>
      <c r="M18" s="275">
        <v>0.34166666666666662</v>
      </c>
      <c r="N18" s="275">
        <v>0.39583333333333331</v>
      </c>
      <c r="O18" s="275">
        <v>0.54166666666666663</v>
      </c>
      <c r="P18" s="275">
        <v>0.63888888888888895</v>
      </c>
      <c r="Q18" s="276">
        <v>41319</v>
      </c>
      <c r="R18" s="284" t="s">
        <v>2</v>
      </c>
      <c r="S18" s="276">
        <v>41342</v>
      </c>
      <c r="T18" s="284" t="s">
        <v>2</v>
      </c>
      <c r="U18" s="274" t="s">
        <v>707</v>
      </c>
      <c r="V18" s="276">
        <v>42023</v>
      </c>
      <c r="W18" s="276">
        <v>42023</v>
      </c>
      <c r="X18" s="276" t="s">
        <v>2</v>
      </c>
      <c r="Y18" s="274" t="s">
        <v>2</v>
      </c>
      <c r="Z18" s="274" t="s">
        <v>2202</v>
      </c>
      <c r="AA18" s="274" t="s">
        <v>398</v>
      </c>
      <c r="AB18" s="276" t="s">
        <v>2204</v>
      </c>
      <c r="AC18" s="274">
        <v>42023</v>
      </c>
      <c r="AD18" s="277">
        <v>8111745</v>
      </c>
      <c r="AE18" s="276"/>
      <c r="AF18" s="274" t="s">
        <v>2194</v>
      </c>
      <c r="AG18" s="274" t="s">
        <v>775</v>
      </c>
      <c r="AH18" s="274" t="s">
        <v>2197</v>
      </c>
      <c r="AI18" s="274" t="s">
        <v>89</v>
      </c>
      <c r="AJ18" s="281">
        <v>810126</v>
      </c>
      <c r="AK18" s="152" t="s">
        <v>1800</v>
      </c>
      <c r="AL18" s="152" t="s">
        <v>1628</v>
      </c>
      <c r="AM18" s="152" t="s">
        <v>2</v>
      </c>
      <c r="AN18" s="152" t="s">
        <v>422</v>
      </c>
      <c r="AO18" s="152" t="s">
        <v>1970</v>
      </c>
      <c r="AP18" s="152" t="s">
        <v>2</v>
      </c>
      <c r="AQ18" s="302" t="s">
        <v>2</v>
      </c>
    </row>
    <row r="19" spans="1:43" ht="15" customHeight="1">
      <c r="A19" s="72"/>
      <c r="B19" s="84"/>
      <c r="C19" s="91"/>
      <c r="D19" s="301">
        <v>26036</v>
      </c>
      <c r="E19" s="283">
        <v>813609</v>
      </c>
      <c r="F19" s="273">
        <v>12038</v>
      </c>
      <c r="G19" s="274" t="s">
        <v>1451</v>
      </c>
      <c r="H19" s="274" t="s">
        <v>416</v>
      </c>
      <c r="I19" s="274" t="s">
        <v>16</v>
      </c>
      <c r="J19" s="274" t="s">
        <v>398</v>
      </c>
      <c r="K19" s="275">
        <v>0.35416666666666669</v>
      </c>
      <c r="L19" s="275">
        <v>0.6958333333333333</v>
      </c>
      <c r="M19" s="275">
        <v>0.34166666666666662</v>
      </c>
      <c r="N19" s="275">
        <v>0.39583333333333331</v>
      </c>
      <c r="O19" s="275">
        <v>0.54166666666666663</v>
      </c>
      <c r="P19" s="275">
        <v>0.63888888888888895</v>
      </c>
      <c r="Q19" s="276">
        <v>41494</v>
      </c>
      <c r="R19" s="284" t="s">
        <v>2</v>
      </c>
      <c r="S19" s="276">
        <v>41517</v>
      </c>
      <c r="T19" s="284" t="s">
        <v>2</v>
      </c>
      <c r="U19" s="274" t="s">
        <v>707</v>
      </c>
      <c r="V19" s="276">
        <v>42023</v>
      </c>
      <c r="W19" s="276">
        <v>42023</v>
      </c>
      <c r="X19" s="276" t="s">
        <v>2</v>
      </c>
      <c r="Y19" s="274" t="s">
        <v>2</v>
      </c>
      <c r="Z19" s="274" t="s">
        <v>2202</v>
      </c>
      <c r="AA19" s="274" t="s">
        <v>398</v>
      </c>
      <c r="AB19" s="276" t="s">
        <v>2204</v>
      </c>
      <c r="AC19" s="274">
        <v>42023</v>
      </c>
      <c r="AD19" s="277" t="s">
        <v>2</v>
      </c>
      <c r="AE19" s="276"/>
      <c r="AF19" s="274" t="s">
        <v>2</v>
      </c>
      <c r="AG19" s="274" t="s">
        <v>775</v>
      </c>
      <c r="AH19" s="274" t="s">
        <v>2197</v>
      </c>
      <c r="AI19" s="274" t="s">
        <v>89</v>
      </c>
      <c r="AJ19" s="281">
        <v>810193</v>
      </c>
      <c r="AK19" s="152" t="s">
        <v>1801</v>
      </c>
      <c r="AL19" s="152" t="s">
        <v>1629</v>
      </c>
      <c r="AM19" s="152" t="s">
        <v>2</v>
      </c>
      <c r="AN19" s="152" t="s">
        <v>422</v>
      </c>
      <c r="AO19" s="152" t="s">
        <v>1971</v>
      </c>
      <c r="AP19" s="152" t="s">
        <v>2</v>
      </c>
      <c r="AQ19" s="302" t="s">
        <v>2</v>
      </c>
    </row>
    <row r="20" spans="1:43" ht="15" customHeight="1">
      <c r="A20" s="72"/>
      <c r="B20" s="84"/>
      <c r="C20" s="91"/>
      <c r="D20" s="301">
        <v>29878</v>
      </c>
      <c r="E20" s="283">
        <v>868194</v>
      </c>
      <c r="F20" s="273">
        <v>17089</v>
      </c>
      <c r="G20" s="274" t="s">
        <v>1452</v>
      </c>
      <c r="H20" s="274" t="s">
        <v>416</v>
      </c>
      <c r="I20" s="274" t="s">
        <v>9</v>
      </c>
      <c r="J20" s="274" t="s">
        <v>398</v>
      </c>
      <c r="K20" s="275">
        <v>0.375</v>
      </c>
      <c r="L20" s="275">
        <v>0.63888888888888895</v>
      </c>
      <c r="M20" s="275">
        <v>0.26388888888888895</v>
      </c>
      <c r="N20" s="275">
        <v>0.41666666666666669</v>
      </c>
      <c r="O20" s="275">
        <v>0.51388888888888895</v>
      </c>
      <c r="P20" s="275">
        <v>0.58333333333333337</v>
      </c>
      <c r="Q20" s="276">
        <v>41983</v>
      </c>
      <c r="R20" s="284" t="s">
        <v>2</v>
      </c>
      <c r="S20" s="276">
        <v>42009</v>
      </c>
      <c r="T20" s="284" t="s">
        <v>2</v>
      </c>
      <c r="U20" s="274" t="s">
        <v>707</v>
      </c>
      <c r="V20" s="276">
        <v>42031</v>
      </c>
      <c r="W20" s="276">
        <v>42031</v>
      </c>
      <c r="X20" s="276" t="s">
        <v>2</v>
      </c>
      <c r="Y20" s="274" t="s">
        <v>1438</v>
      </c>
      <c r="Z20" s="274" t="s">
        <v>2</v>
      </c>
      <c r="AA20" s="274" t="s">
        <v>2</v>
      </c>
      <c r="AB20" s="276" t="s">
        <v>2</v>
      </c>
      <c r="AC20" s="274" t="s">
        <v>2</v>
      </c>
      <c r="AD20" s="277" t="s">
        <v>2134</v>
      </c>
      <c r="AE20" s="276"/>
      <c r="AF20" s="274" t="s">
        <v>2188</v>
      </c>
      <c r="AG20" s="274" t="s">
        <v>775</v>
      </c>
      <c r="AH20" s="274" t="s">
        <v>2197</v>
      </c>
      <c r="AI20" s="274" t="s">
        <v>89</v>
      </c>
      <c r="AJ20" s="281" t="s">
        <v>2</v>
      </c>
      <c r="AK20" s="152" t="s">
        <v>1802</v>
      </c>
      <c r="AL20" s="152" t="s">
        <v>1630</v>
      </c>
      <c r="AM20" s="152" t="s">
        <v>2</v>
      </c>
      <c r="AN20" s="152" t="s">
        <v>422</v>
      </c>
      <c r="AO20" s="152" t="s">
        <v>1972</v>
      </c>
      <c r="AP20" s="152" t="s">
        <v>2</v>
      </c>
      <c r="AQ20" s="302" t="s">
        <v>2</v>
      </c>
    </row>
    <row r="21" spans="1:43" ht="15" customHeight="1">
      <c r="A21" s="72"/>
      <c r="B21" s="84"/>
      <c r="C21" s="91"/>
      <c r="D21" s="301">
        <v>28062</v>
      </c>
      <c r="E21" s="283">
        <v>836137</v>
      </c>
      <c r="F21" s="273">
        <v>12779</v>
      </c>
      <c r="G21" s="274" t="s">
        <v>1453</v>
      </c>
      <c r="H21" s="274" t="s">
        <v>416</v>
      </c>
      <c r="I21" s="274" t="s">
        <v>16</v>
      </c>
      <c r="J21" s="274" t="s">
        <v>398</v>
      </c>
      <c r="K21" s="275">
        <v>0.39583333333333331</v>
      </c>
      <c r="L21" s="275">
        <v>0.73749999999999993</v>
      </c>
      <c r="M21" s="275">
        <v>0.34166666666666662</v>
      </c>
      <c r="N21" s="275">
        <v>0.52777777777777779</v>
      </c>
      <c r="O21" s="275">
        <v>0.58333333333333337</v>
      </c>
      <c r="P21" s="275">
        <v>0.67361111111111116</v>
      </c>
      <c r="Q21" s="276">
        <v>41731</v>
      </c>
      <c r="R21" s="284" t="s">
        <v>2</v>
      </c>
      <c r="S21" s="276">
        <v>41761</v>
      </c>
      <c r="T21" s="284" t="s">
        <v>2</v>
      </c>
      <c r="U21" s="274" t="s">
        <v>707</v>
      </c>
      <c r="V21" s="276">
        <v>42024</v>
      </c>
      <c r="W21" s="276">
        <v>42025</v>
      </c>
      <c r="X21" s="276" t="s">
        <v>2</v>
      </c>
      <c r="Y21" s="274" t="s">
        <v>2</v>
      </c>
      <c r="Z21" s="274" t="s">
        <v>2202</v>
      </c>
      <c r="AA21" s="274" t="s">
        <v>398</v>
      </c>
      <c r="AB21" s="276" t="s">
        <v>2204</v>
      </c>
      <c r="AC21" s="274">
        <v>42025</v>
      </c>
      <c r="AD21" s="277" t="s">
        <v>2</v>
      </c>
      <c r="AE21" s="276"/>
      <c r="AF21" s="274" t="s">
        <v>2</v>
      </c>
      <c r="AG21" s="274" t="s">
        <v>775</v>
      </c>
      <c r="AH21" s="274" t="s">
        <v>2197</v>
      </c>
      <c r="AI21" s="274" t="s">
        <v>89</v>
      </c>
      <c r="AJ21" s="281">
        <v>810130</v>
      </c>
      <c r="AK21" s="152" t="s">
        <v>1803</v>
      </c>
      <c r="AL21" s="152" t="s">
        <v>1631</v>
      </c>
      <c r="AM21" s="152" t="s">
        <v>2</v>
      </c>
      <c r="AN21" s="152" t="s">
        <v>422</v>
      </c>
      <c r="AO21" s="152" t="s">
        <v>1973</v>
      </c>
      <c r="AP21" s="152" t="s">
        <v>2</v>
      </c>
      <c r="AQ21" s="302" t="s">
        <v>2</v>
      </c>
    </row>
    <row r="22" spans="1:43" ht="15" customHeight="1">
      <c r="A22" s="72"/>
      <c r="B22" s="84"/>
      <c r="C22" s="91"/>
      <c r="D22" s="301">
        <v>26951</v>
      </c>
      <c r="E22" s="283">
        <v>824001</v>
      </c>
      <c r="F22" s="273">
        <v>17143</v>
      </c>
      <c r="G22" s="274" t="s">
        <v>1454</v>
      </c>
      <c r="H22" s="274" t="s">
        <v>416</v>
      </c>
      <c r="I22" s="274" t="s">
        <v>16</v>
      </c>
      <c r="J22" s="274" t="s">
        <v>398</v>
      </c>
      <c r="K22" s="275">
        <v>0.39583333333333331</v>
      </c>
      <c r="L22" s="275">
        <v>0.73749999999999993</v>
      </c>
      <c r="M22" s="275">
        <v>0.34166666666666662</v>
      </c>
      <c r="N22" s="275">
        <v>0.47916666666666669</v>
      </c>
      <c r="O22" s="275">
        <v>0.5625</v>
      </c>
      <c r="P22" s="275">
        <v>0.66666666666666663</v>
      </c>
      <c r="Q22" s="276">
        <v>41584</v>
      </c>
      <c r="R22" s="284" t="s">
        <v>2</v>
      </c>
      <c r="S22" s="276">
        <v>41619</v>
      </c>
      <c r="T22" s="284" t="s">
        <v>2</v>
      </c>
      <c r="U22" s="274" t="s">
        <v>707</v>
      </c>
      <c r="V22" s="276">
        <v>42023</v>
      </c>
      <c r="W22" s="276">
        <v>42023</v>
      </c>
      <c r="X22" s="276" t="s">
        <v>2</v>
      </c>
      <c r="Y22" s="274" t="s">
        <v>2</v>
      </c>
      <c r="Z22" s="274" t="s">
        <v>2202</v>
      </c>
      <c r="AA22" s="274" t="s">
        <v>398</v>
      </c>
      <c r="AB22" s="276" t="s">
        <v>2204</v>
      </c>
      <c r="AC22" s="274">
        <v>42023</v>
      </c>
      <c r="AD22" s="277" t="s">
        <v>2135</v>
      </c>
      <c r="AE22" s="276"/>
      <c r="AF22" s="274" t="s">
        <v>2189</v>
      </c>
      <c r="AG22" s="274" t="s">
        <v>775</v>
      </c>
      <c r="AH22" s="274" t="s">
        <v>2197</v>
      </c>
      <c r="AI22" s="274" t="s">
        <v>89</v>
      </c>
      <c r="AJ22" s="281">
        <v>810177</v>
      </c>
      <c r="AK22" s="152" t="s">
        <v>1804</v>
      </c>
      <c r="AL22" s="152" t="s">
        <v>1632</v>
      </c>
      <c r="AM22" s="152" t="s">
        <v>2</v>
      </c>
      <c r="AN22" s="152" t="s">
        <v>422</v>
      </c>
      <c r="AO22" s="152" t="s">
        <v>1974</v>
      </c>
      <c r="AP22" s="152" t="s">
        <v>2</v>
      </c>
      <c r="AQ22" s="302" t="s">
        <v>2</v>
      </c>
    </row>
    <row r="23" spans="1:43" ht="15" customHeight="1">
      <c r="A23" s="72"/>
      <c r="B23" s="84"/>
      <c r="C23" s="91"/>
      <c r="D23" s="301">
        <v>29313</v>
      </c>
      <c r="E23" s="283">
        <v>858691</v>
      </c>
      <c r="F23" s="273">
        <v>17015</v>
      </c>
      <c r="G23" s="274" t="s">
        <v>1455</v>
      </c>
      <c r="H23" s="274" t="s">
        <v>419</v>
      </c>
      <c r="I23" s="274" t="s">
        <v>9</v>
      </c>
      <c r="J23" s="274" t="s">
        <v>398</v>
      </c>
      <c r="K23" s="275">
        <v>0.4916666666666667</v>
      </c>
      <c r="L23" s="275">
        <v>0.83333333333333337</v>
      </c>
      <c r="M23" s="275">
        <v>0.34166666666666667</v>
      </c>
      <c r="N23" s="275">
        <v>0.54861111111111105</v>
      </c>
      <c r="O23" s="275">
        <v>0.625</v>
      </c>
      <c r="P23" s="275">
        <v>0.72916666666666663</v>
      </c>
      <c r="Q23" s="276">
        <v>41918</v>
      </c>
      <c r="R23" s="284" t="s">
        <v>2</v>
      </c>
      <c r="S23" s="276">
        <v>41944</v>
      </c>
      <c r="T23" s="284" t="s">
        <v>2</v>
      </c>
      <c r="U23" s="274" t="s">
        <v>707</v>
      </c>
      <c r="V23" s="276">
        <v>42017</v>
      </c>
      <c r="W23" s="276">
        <v>42017</v>
      </c>
      <c r="X23" s="276" t="s">
        <v>2</v>
      </c>
      <c r="Y23" s="274" t="s">
        <v>1438</v>
      </c>
      <c r="Z23" s="274" t="s">
        <v>2</v>
      </c>
      <c r="AA23" s="274" t="s">
        <v>2</v>
      </c>
      <c r="AB23" s="276" t="s">
        <v>2</v>
      </c>
      <c r="AC23" s="274" t="s">
        <v>2</v>
      </c>
      <c r="AD23" s="277" t="s">
        <v>2136</v>
      </c>
      <c r="AE23" s="276"/>
      <c r="AF23" s="274" t="s">
        <v>2194</v>
      </c>
      <c r="AG23" s="274" t="s">
        <v>775</v>
      </c>
      <c r="AH23" s="274" t="s">
        <v>2197</v>
      </c>
      <c r="AI23" s="274" t="s">
        <v>89</v>
      </c>
      <c r="AJ23" s="281">
        <v>810184</v>
      </c>
      <c r="AK23" s="152" t="s">
        <v>1805</v>
      </c>
      <c r="AL23" s="152" t="s">
        <v>1633</v>
      </c>
      <c r="AM23" s="152" t="s">
        <v>2</v>
      </c>
      <c r="AN23" s="152" t="s">
        <v>422</v>
      </c>
      <c r="AO23" s="152" t="s">
        <v>1975</v>
      </c>
      <c r="AP23" s="152" t="s">
        <v>2</v>
      </c>
      <c r="AQ23" s="302" t="s">
        <v>2</v>
      </c>
    </row>
    <row r="24" spans="1:43" ht="15" customHeight="1">
      <c r="A24" s="72"/>
      <c r="B24" s="84"/>
      <c r="C24" s="91"/>
      <c r="D24" s="301">
        <v>26946</v>
      </c>
      <c r="E24" s="283">
        <v>823996</v>
      </c>
      <c r="F24" s="273">
        <v>17142</v>
      </c>
      <c r="G24" s="274" t="s">
        <v>1456</v>
      </c>
      <c r="H24" s="274" t="s">
        <v>419</v>
      </c>
      <c r="I24" s="274" t="s">
        <v>9</v>
      </c>
      <c r="J24" s="274" t="s">
        <v>398</v>
      </c>
      <c r="K24" s="275">
        <v>0.57500000000000007</v>
      </c>
      <c r="L24" s="275">
        <v>0.91666666666666663</v>
      </c>
      <c r="M24" s="275">
        <v>0.34166666666666656</v>
      </c>
      <c r="N24" s="275">
        <v>0.65972222222222221</v>
      </c>
      <c r="O24" s="275">
        <v>0.79166666666666663</v>
      </c>
      <c r="P24" s="275">
        <v>0.86805555555555547</v>
      </c>
      <c r="Q24" s="276">
        <v>41584</v>
      </c>
      <c r="R24" s="284" t="s">
        <v>2</v>
      </c>
      <c r="S24" s="276">
        <v>41619</v>
      </c>
      <c r="T24" s="284" t="s">
        <v>2</v>
      </c>
      <c r="U24" s="274" t="s">
        <v>707</v>
      </c>
      <c r="V24" s="276">
        <v>42019</v>
      </c>
      <c r="W24" s="276">
        <v>42019</v>
      </c>
      <c r="X24" s="276" t="s">
        <v>2</v>
      </c>
      <c r="Y24" s="274" t="s">
        <v>1438</v>
      </c>
      <c r="Z24" s="274" t="s">
        <v>2</v>
      </c>
      <c r="AA24" s="274" t="s">
        <v>2</v>
      </c>
      <c r="AB24" s="276" t="s">
        <v>2</v>
      </c>
      <c r="AC24" s="274" t="s">
        <v>2</v>
      </c>
      <c r="AD24" s="277" t="s">
        <v>2137</v>
      </c>
      <c r="AE24" s="276"/>
      <c r="AF24" s="274" t="s">
        <v>2195</v>
      </c>
      <c r="AG24" s="274" t="s">
        <v>775</v>
      </c>
      <c r="AH24" s="274" t="s">
        <v>2197</v>
      </c>
      <c r="AI24" s="274" t="s">
        <v>89</v>
      </c>
      <c r="AJ24" s="281">
        <v>810131</v>
      </c>
      <c r="AK24" s="152" t="s">
        <v>1806</v>
      </c>
      <c r="AL24" s="152" t="s">
        <v>1634</v>
      </c>
      <c r="AM24" s="152" t="s">
        <v>2</v>
      </c>
      <c r="AN24" s="152" t="s">
        <v>422</v>
      </c>
      <c r="AO24" s="152" t="s">
        <v>1976</v>
      </c>
      <c r="AP24" s="152" t="s">
        <v>2</v>
      </c>
      <c r="AQ24" s="302" t="s">
        <v>2</v>
      </c>
    </row>
    <row r="25" spans="1:43" ht="15" customHeight="1">
      <c r="A25" s="72"/>
      <c r="B25" s="84"/>
      <c r="C25" s="91"/>
      <c r="D25" s="301">
        <v>29868</v>
      </c>
      <c r="E25" s="283">
        <v>868184</v>
      </c>
      <c r="F25" s="273">
        <v>17068</v>
      </c>
      <c r="G25" s="274" t="s">
        <v>1457</v>
      </c>
      <c r="H25" s="274" t="s">
        <v>419</v>
      </c>
      <c r="I25" s="274" t="s">
        <v>16</v>
      </c>
      <c r="J25" s="274" t="s">
        <v>398</v>
      </c>
      <c r="K25" s="275">
        <v>0.65277777777777779</v>
      </c>
      <c r="L25" s="275">
        <v>0.91666666666666663</v>
      </c>
      <c r="M25" s="275">
        <v>0.26388888888888884</v>
      </c>
      <c r="N25" s="275">
        <v>0.72916666666666663</v>
      </c>
      <c r="O25" s="275">
        <v>0.81944444444444453</v>
      </c>
      <c r="P25" s="275">
        <v>0.875</v>
      </c>
      <c r="Q25" s="276">
        <v>41983</v>
      </c>
      <c r="R25" s="284" t="s">
        <v>2</v>
      </c>
      <c r="S25" s="276">
        <v>42009</v>
      </c>
      <c r="T25" s="284" t="s">
        <v>2</v>
      </c>
      <c r="U25" s="274" t="s">
        <v>707</v>
      </c>
      <c r="V25" s="276">
        <v>42023</v>
      </c>
      <c r="W25" s="276">
        <v>42023</v>
      </c>
      <c r="X25" s="276" t="s">
        <v>2</v>
      </c>
      <c r="Y25" s="274" t="s">
        <v>2</v>
      </c>
      <c r="Z25" s="274" t="s">
        <v>2202</v>
      </c>
      <c r="AA25" s="274" t="s">
        <v>398</v>
      </c>
      <c r="AB25" s="276" t="s">
        <v>2204</v>
      </c>
      <c r="AC25" s="274">
        <v>42023</v>
      </c>
      <c r="AD25" s="277" t="s">
        <v>2138</v>
      </c>
      <c r="AE25" s="276"/>
      <c r="AF25" s="274" t="s">
        <v>2195</v>
      </c>
      <c r="AG25" s="274" t="s">
        <v>775</v>
      </c>
      <c r="AH25" s="274" t="s">
        <v>2197</v>
      </c>
      <c r="AI25" s="274" t="s">
        <v>89</v>
      </c>
      <c r="AJ25" s="281" t="s">
        <v>2</v>
      </c>
      <c r="AK25" s="152" t="s">
        <v>1807</v>
      </c>
      <c r="AL25" s="152" t="s">
        <v>1635</v>
      </c>
      <c r="AM25" s="152" t="s">
        <v>2</v>
      </c>
      <c r="AN25" s="152" t="s">
        <v>422</v>
      </c>
      <c r="AO25" s="152" t="s">
        <v>1977</v>
      </c>
      <c r="AP25" s="152" t="s">
        <v>2</v>
      </c>
      <c r="AQ25" s="302" t="s">
        <v>2</v>
      </c>
    </row>
    <row r="26" spans="1:43" ht="15" customHeight="1">
      <c r="A26" s="72"/>
      <c r="B26" s="84"/>
      <c r="C26" s="91"/>
      <c r="D26" s="301">
        <v>28285</v>
      </c>
      <c r="E26" s="283">
        <v>839990</v>
      </c>
      <c r="F26" s="273">
        <v>12336</v>
      </c>
      <c r="G26" s="274" t="s">
        <v>1458</v>
      </c>
      <c r="H26" s="274" t="s">
        <v>420</v>
      </c>
      <c r="I26" s="274" t="s">
        <v>9</v>
      </c>
      <c r="J26" s="274" t="s">
        <v>398</v>
      </c>
      <c r="K26" s="275">
        <v>0.5</v>
      </c>
      <c r="L26" s="275">
        <v>0.84166666666666667</v>
      </c>
      <c r="M26" s="275">
        <v>0.34166666666666667</v>
      </c>
      <c r="N26" s="275">
        <v>0.55555555555555558</v>
      </c>
      <c r="O26" s="275">
        <v>0.625</v>
      </c>
      <c r="P26" s="275">
        <v>0.72916666666666663</v>
      </c>
      <c r="Q26" s="276">
        <v>41765</v>
      </c>
      <c r="R26" s="284" t="s">
        <v>2</v>
      </c>
      <c r="S26" s="276" t="s">
        <v>1616</v>
      </c>
      <c r="T26" s="284" t="s">
        <v>2</v>
      </c>
      <c r="U26" s="274" t="s">
        <v>707</v>
      </c>
      <c r="V26" s="276">
        <v>42017</v>
      </c>
      <c r="W26" s="276">
        <v>42017</v>
      </c>
      <c r="X26" s="276" t="s">
        <v>2</v>
      </c>
      <c r="Y26" s="274" t="s">
        <v>1438</v>
      </c>
      <c r="Z26" s="274" t="s">
        <v>2</v>
      </c>
      <c r="AA26" s="274" t="s">
        <v>2</v>
      </c>
      <c r="AB26" s="276" t="s">
        <v>2</v>
      </c>
      <c r="AC26" s="274" t="s">
        <v>2</v>
      </c>
      <c r="AD26" s="277" t="s">
        <v>2139</v>
      </c>
      <c r="AE26" s="276"/>
      <c r="AF26" s="274" t="s">
        <v>2190</v>
      </c>
      <c r="AG26" s="274" t="s">
        <v>775</v>
      </c>
      <c r="AH26" s="274" t="s">
        <v>2197</v>
      </c>
      <c r="AI26" s="274" t="s">
        <v>89</v>
      </c>
      <c r="AJ26" s="281">
        <v>810144</v>
      </c>
      <c r="AK26" s="152" t="s">
        <v>1808</v>
      </c>
      <c r="AL26" s="152" t="s">
        <v>1636</v>
      </c>
      <c r="AM26" s="152" t="s">
        <v>2</v>
      </c>
      <c r="AN26" s="152" t="s">
        <v>422</v>
      </c>
      <c r="AO26" s="152" t="s">
        <v>1978</v>
      </c>
      <c r="AP26" s="152" t="s">
        <v>2</v>
      </c>
      <c r="AQ26" s="302" t="s">
        <v>2</v>
      </c>
    </row>
    <row r="27" spans="1:43" ht="15" customHeight="1">
      <c r="A27" s="72"/>
      <c r="B27" s="84"/>
      <c r="C27" s="91"/>
      <c r="D27" s="301">
        <v>29315</v>
      </c>
      <c r="E27" s="283">
        <v>858693</v>
      </c>
      <c r="F27" s="273">
        <v>17017</v>
      </c>
      <c r="G27" s="274" t="s">
        <v>1459</v>
      </c>
      <c r="H27" s="274" t="s">
        <v>420</v>
      </c>
      <c r="I27" s="274" t="s">
        <v>9</v>
      </c>
      <c r="J27" s="274" t="s">
        <v>398</v>
      </c>
      <c r="K27" s="275">
        <v>0.5</v>
      </c>
      <c r="L27" s="275">
        <v>0.84166666666666667</v>
      </c>
      <c r="M27" s="275">
        <v>0.34166666666666667</v>
      </c>
      <c r="N27" s="275">
        <v>0.57638888888888895</v>
      </c>
      <c r="O27" s="275">
        <v>0.625</v>
      </c>
      <c r="P27" s="275">
        <v>0.72916666666666663</v>
      </c>
      <c r="Q27" s="276">
        <v>41918</v>
      </c>
      <c r="R27" s="284" t="s">
        <v>2</v>
      </c>
      <c r="S27" s="276">
        <v>41944</v>
      </c>
      <c r="T27" s="284" t="s">
        <v>2</v>
      </c>
      <c r="U27" s="274" t="s">
        <v>707</v>
      </c>
      <c r="V27" s="276">
        <v>42025</v>
      </c>
      <c r="W27" s="276">
        <v>42025</v>
      </c>
      <c r="X27" s="276" t="s">
        <v>2</v>
      </c>
      <c r="Y27" s="274" t="s">
        <v>1438</v>
      </c>
      <c r="Z27" s="274" t="s">
        <v>2</v>
      </c>
      <c r="AA27" s="274" t="s">
        <v>2</v>
      </c>
      <c r="AB27" s="276" t="s">
        <v>2</v>
      </c>
      <c r="AC27" s="274" t="s">
        <v>2</v>
      </c>
      <c r="AD27" s="277">
        <v>0</v>
      </c>
      <c r="AE27" s="276"/>
      <c r="AF27" s="274" t="s">
        <v>2190</v>
      </c>
      <c r="AG27" s="274" t="s">
        <v>775</v>
      </c>
      <c r="AH27" s="274" t="s">
        <v>2197</v>
      </c>
      <c r="AI27" s="274" t="s">
        <v>89</v>
      </c>
      <c r="AJ27" s="281">
        <v>810187</v>
      </c>
      <c r="AK27" s="152" t="s">
        <v>1809</v>
      </c>
      <c r="AL27" s="152" t="s">
        <v>1637</v>
      </c>
      <c r="AM27" s="152" t="s">
        <v>2</v>
      </c>
      <c r="AN27" s="152" t="s">
        <v>422</v>
      </c>
      <c r="AO27" s="152" t="s">
        <v>1979</v>
      </c>
      <c r="AP27" s="152" t="s">
        <v>2</v>
      </c>
      <c r="AQ27" s="302" t="s">
        <v>2</v>
      </c>
    </row>
    <row r="28" spans="1:43" ht="15" customHeight="1">
      <c r="A28" s="72"/>
      <c r="B28" s="84"/>
      <c r="C28" s="91"/>
      <c r="D28" s="301">
        <v>27233</v>
      </c>
      <c r="E28" s="283">
        <v>827458</v>
      </c>
      <c r="F28" s="273">
        <v>12930</v>
      </c>
      <c r="G28" s="274" t="s">
        <v>1460</v>
      </c>
      <c r="H28" s="274" t="s">
        <v>420</v>
      </c>
      <c r="I28" s="274" t="s">
        <v>9</v>
      </c>
      <c r="J28" s="274" t="s">
        <v>398</v>
      </c>
      <c r="K28" s="275">
        <v>0.57500000000000007</v>
      </c>
      <c r="L28" s="275">
        <v>0.91666666666666663</v>
      </c>
      <c r="M28" s="275">
        <v>0.34166666666666656</v>
      </c>
      <c r="N28" s="275">
        <v>0.65277777777777779</v>
      </c>
      <c r="O28" s="275">
        <v>0.79166666666666663</v>
      </c>
      <c r="P28" s="275">
        <v>0.86805555555555547</v>
      </c>
      <c r="Q28" s="276">
        <v>41620</v>
      </c>
      <c r="R28" s="284" t="s">
        <v>2</v>
      </c>
      <c r="S28" s="276">
        <v>41653</v>
      </c>
      <c r="T28" s="284" t="s">
        <v>2</v>
      </c>
      <c r="U28" s="274" t="s">
        <v>707</v>
      </c>
      <c r="V28" s="276">
        <v>42027</v>
      </c>
      <c r="W28" s="276">
        <v>42027</v>
      </c>
      <c r="X28" s="276" t="s">
        <v>2</v>
      </c>
      <c r="Y28" s="274" t="s">
        <v>1438</v>
      </c>
      <c r="Z28" s="274" t="s">
        <v>2</v>
      </c>
      <c r="AA28" s="274" t="s">
        <v>2</v>
      </c>
      <c r="AB28" s="276" t="s">
        <v>2</v>
      </c>
      <c r="AC28" s="274" t="s">
        <v>2</v>
      </c>
      <c r="AD28" s="277" t="s">
        <v>2</v>
      </c>
      <c r="AE28" s="276"/>
      <c r="AF28" s="274" t="s">
        <v>2</v>
      </c>
      <c r="AG28" s="274" t="s">
        <v>775</v>
      </c>
      <c r="AH28" s="274" t="s">
        <v>2197</v>
      </c>
      <c r="AI28" s="274" t="s">
        <v>89</v>
      </c>
      <c r="AJ28" s="281">
        <v>810124</v>
      </c>
      <c r="AK28" s="152" t="s">
        <v>1810</v>
      </c>
      <c r="AL28" s="152" t="s">
        <v>1638</v>
      </c>
      <c r="AM28" s="152" t="s">
        <v>2</v>
      </c>
      <c r="AN28" s="152" t="s">
        <v>422</v>
      </c>
      <c r="AO28" s="152" t="s">
        <v>1980</v>
      </c>
      <c r="AP28" s="152" t="s">
        <v>2</v>
      </c>
      <c r="AQ28" s="302" t="s">
        <v>2</v>
      </c>
    </row>
    <row r="29" spans="1:43" ht="15" customHeight="1">
      <c r="A29" s="72"/>
      <c r="B29" s="84"/>
      <c r="C29" s="91"/>
      <c r="D29" s="301">
        <v>29861</v>
      </c>
      <c r="E29" s="283">
        <v>868177</v>
      </c>
      <c r="F29" s="273">
        <v>17074</v>
      </c>
      <c r="G29" s="274" t="s">
        <v>1461</v>
      </c>
      <c r="H29" s="274" t="s">
        <v>420</v>
      </c>
      <c r="I29" s="274" t="s">
        <v>9</v>
      </c>
      <c r="J29" s="274" t="s">
        <v>398</v>
      </c>
      <c r="K29" s="275">
        <v>0.61111111111111105</v>
      </c>
      <c r="L29" s="275">
        <v>0.875</v>
      </c>
      <c r="M29" s="275">
        <v>0.26388888888888895</v>
      </c>
      <c r="N29" s="275">
        <v>0.65277777777777779</v>
      </c>
      <c r="O29" s="275">
        <v>0.77083333333333337</v>
      </c>
      <c r="P29" s="275">
        <v>0.83333333333333337</v>
      </c>
      <c r="Q29" s="276">
        <v>41983</v>
      </c>
      <c r="R29" s="284" t="s">
        <v>2</v>
      </c>
      <c r="S29" s="276">
        <v>42009</v>
      </c>
      <c r="T29" s="284" t="s">
        <v>2</v>
      </c>
      <c r="U29" s="274" t="s">
        <v>707</v>
      </c>
      <c r="V29" s="276">
        <v>42012</v>
      </c>
      <c r="W29" s="276">
        <v>42012</v>
      </c>
      <c r="X29" s="276" t="s">
        <v>2</v>
      </c>
      <c r="Y29" s="274" t="s">
        <v>1438</v>
      </c>
      <c r="Z29" s="274" t="s">
        <v>2</v>
      </c>
      <c r="AA29" s="274" t="s">
        <v>2</v>
      </c>
      <c r="AB29" s="276" t="s">
        <v>2</v>
      </c>
      <c r="AC29" s="274" t="s">
        <v>2</v>
      </c>
      <c r="AD29" s="277" t="s">
        <v>2140</v>
      </c>
      <c r="AE29" s="276"/>
      <c r="AF29" s="274" t="s">
        <v>2190</v>
      </c>
      <c r="AG29" s="274" t="s">
        <v>775</v>
      </c>
      <c r="AH29" s="274" t="s">
        <v>2197</v>
      </c>
      <c r="AI29" s="274" t="s">
        <v>89</v>
      </c>
      <c r="AJ29" s="281" t="s">
        <v>2</v>
      </c>
      <c r="AK29" s="152" t="s">
        <v>1811</v>
      </c>
      <c r="AL29" s="152" t="s">
        <v>1639</v>
      </c>
      <c r="AM29" s="152" t="s">
        <v>2</v>
      </c>
      <c r="AN29" s="152" t="s">
        <v>422</v>
      </c>
      <c r="AO29" s="152" t="s">
        <v>1981</v>
      </c>
      <c r="AP29" s="152" t="s">
        <v>2</v>
      </c>
      <c r="AQ29" s="302" t="s">
        <v>2</v>
      </c>
    </row>
    <row r="30" spans="1:43" ht="15" customHeight="1">
      <c r="A30" s="72"/>
      <c r="B30" s="84"/>
      <c r="C30" s="91"/>
      <c r="D30" s="301">
        <v>28097</v>
      </c>
      <c r="E30" s="283">
        <v>836300</v>
      </c>
      <c r="F30" s="273">
        <v>12752</v>
      </c>
      <c r="G30" s="274" t="s">
        <v>1462</v>
      </c>
      <c r="H30" s="274" t="s">
        <v>420</v>
      </c>
      <c r="I30" s="274" t="s">
        <v>16</v>
      </c>
      <c r="J30" s="274" t="s">
        <v>398</v>
      </c>
      <c r="K30" s="275">
        <v>0.61111111111111105</v>
      </c>
      <c r="L30" s="275">
        <v>0.875</v>
      </c>
      <c r="M30" s="275">
        <v>0.26388888888888895</v>
      </c>
      <c r="N30" s="275">
        <v>0.65277777777777779</v>
      </c>
      <c r="O30" s="275">
        <v>0.77083333333333337</v>
      </c>
      <c r="P30" s="275">
        <v>0.83333333333333337</v>
      </c>
      <c r="Q30" s="276">
        <v>41731</v>
      </c>
      <c r="R30" s="284" t="s">
        <v>2</v>
      </c>
      <c r="S30" s="276">
        <v>41760</v>
      </c>
      <c r="T30" s="284" t="s">
        <v>2</v>
      </c>
      <c r="U30" s="274" t="s">
        <v>707</v>
      </c>
      <c r="V30" s="276">
        <v>42023</v>
      </c>
      <c r="W30" s="276">
        <v>42023</v>
      </c>
      <c r="X30" s="276" t="s">
        <v>2</v>
      </c>
      <c r="Y30" s="274" t="s">
        <v>2</v>
      </c>
      <c r="Z30" s="274" t="s">
        <v>2202</v>
      </c>
      <c r="AA30" s="274" t="s">
        <v>398</v>
      </c>
      <c r="AB30" s="276" t="s">
        <v>2204</v>
      </c>
      <c r="AC30" s="274">
        <v>42023</v>
      </c>
      <c r="AD30" s="277" t="s">
        <v>2</v>
      </c>
      <c r="AE30" s="276"/>
      <c r="AF30" s="274" t="s">
        <v>2</v>
      </c>
      <c r="AG30" s="274" t="s">
        <v>775</v>
      </c>
      <c r="AH30" s="274" t="s">
        <v>2197</v>
      </c>
      <c r="AI30" s="274" t="s">
        <v>89</v>
      </c>
      <c r="AJ30" s="281">
        <v>810149</v>
      </c>
      <c r="AK30" s="152" t="s">
        <v>1812</v>
      </c>
      <c r="AL30" s="152" t="s">
        <v>1640</v>
      </c>
      <c r="AM30" s="152" t="s">
        <v>2</v>
      </c>
      <c r="AN30" s="152" t="s">
        <v>422</v>
      </c>
      <c r="AO30" s="152" t="s">
        <v>1982</v>
      </c>
      <c r="AP30" s="152" t="s">
        <v>2</v>
      </c>
      <c r="AQ30" s="302" t="s">
        <v>2</v>
      </c>
    </row>
    <row r="31" spans="1:43" ht="15" customHeight="1">
      <c r="A31" s="72"/>
      <c r="B31" s="84"/>
      <c r="C31" s="91"/>
      <c r="D31" s="301">
        <v>29837</v>
      </c>
      <c r="E31" s="283">
        <v>868151</v>
      </c>
      <c r="F31" s="273">
        <v>17094</v>
      </c>
      <c r="G31" s="274" t="s">
        <v>1463</v>
      </c>
      <c r="H31" s="274" t="s">
        <v>420</v>
      </c>
      <c r="I31" s="274" t="s">
        <v>9</v>
      </c>
      <c r="J31" s="274" t="s">
        <v>398</v>
      </c>
      <c r="K31" s="275">
        <v>0.63888888888888895</v>
      </c>
      <c r="L31" s="275">
        <v>0.90277777777777779</v>
      </c>
      <c r="M31" s="275">
        <v>0.26388888888888884</v>
      </c>
      <c r="N31" s="275">
        <v>0.68055555555555547</v>
      </c>
      <c r="O31" s="275">
        <v>0.80555555555555547</v>
      </c>
      <c r="P31" s="275">
        <v>0.86111111111111116</v>
      </c>
      <c r="Q31" s="276">
        <v>41983</v>
      </c>
      <c r="R31" s="284" t="s">
        <v>2</v>
      </c>
      <c r="S31" s="276">
        <v>42009</v>
      </c>
      <c r="T31" s="284" t="s">
        <v>2</v>
      </c>
      <c r="U31" s="274" t="s">
        <v>707</v>
      </c>
      <c r="V31" s="276">
        <v>42012</v>
      </c>
      <c r="W31" s="276">
        <v>42012</v>
      </c>
      <c r="X31" s="276" t="s">
        <v>2</v>
      </c>
      <c r="Y31" s="274" t="s">
        <v>1438</v>
      </c>
      <c r="Z31" s="274" t="s">
        <v>2</v>
      </c>
      <c r="AA31" s="274" t="s">
        <v>2</v>
      </c>
      <c r="AB31" s="276" t="s">
        <v>2</v>
      </c>
      <c r="AC31" s="274" t="s">
        <v>2</v>
      </c>
      <c r="AD31" s="277" t="s">
        <v>2141</v>
      </c>
      <c r="AE31" s="276"/>
      <c r="AF31" s="274" t="s">
        <v>2195</v>
      </c>
      <c r="AG31" s="274" t="s">
        <v>775</v>
      </c>
      <c r="AH31" s="274" t="s">
        <v>2197</v>
      </c>
      <c r="AI31" s="274" t="s">
        <v>89</v>
      </c>
      <c r="AJ31" s="281" t="s">
        <v>2</v>
      </c>
      <c r="AK31" s="152" t="s">
        <v>1813</v>
      </c>
      <c r="AL31" s="152" t="s">
        <v>1641</v>
      </c>
      <c r="AM31" s="152" t="s">
        <v>2</v>
      </c>
      <c r="AN31" s="152" t="s">
        <v>422</v>
      </c>
      <c r="AO31" s="152" t="s">
        <v>1983</v>
      </c>
      <c r="AP31" s="152" t="s">
        <v>2</v>
      </c>
      <c r="AQ31" s="302" t="s">
        <v>2</v>
      </c>
    </row>
    <row r="32" spans="1:43" ht="15" customHeight="1">
      <c r="A32" s="72"/>
      <c r="B32" s="84"/>
      <c r="C32" s="91"/>
      <c r="D32" s="301">
        <v>29840</v>
      </c>
      <c r="E32" s="283">
        <v>868154</v>
      </c>
      <c r="F32" s="273">
        <v>17036</v>
      </c>
      <c r="G32" s="274" t="s">
        <v>1464</v>
      </c>
      <c r="H32" s="274" t="s">
        <v>420</v>
      </c>
      <c r="I32" s="274" t="s">
        <v>9</v>
      </c>
      <c r="J32" s="274" t="s">
        <v>398</v>
      </c>
      <c r="K32" s="275">
        <v>0.63888888888888895</v>
      </c>
      <c r="L32" s="275">
        <v>0.90277777777777779</v>
      </c>
      <c r="M32" s="275">
        <v>0.26388888888888884</v>
      </c>
      <c r="N32" s="275">
        <v>0.68055555555555547</v>
      </c>
      <c r="O32" s="275">
        <v>0.80555555555555547</v>
      </c>
      <c r="P32" s="275">
        <v>0.86111111111111116</v>
      </c>
      <c r="Q32" s="276">
        <v>41983</v>
      </c>
      <c r="R32" s="284" t="s">
        <v>2</v>
      </c>
      <c r="S32" s="276">
        <v>42009</v>
      </c>
      <c r="T32" s="284" t="s">
        <v>2</v>
      </c>
      <c r="U32" s="274" t="s">
        <v>707</v>
      </c>
      <c r="V32" s="276">
        <v>42012</v>
      </c>
      <c r="W32" s="276">
        <v>42012</v>
      </c>
      <c r="X32" s="276" t="s">
        <v>2</v>
      </c>
      <c r="Y32" s="274" t="s">
        <v>1438</v>
      </c>
      <c r="Z32" s="274" t="s">
        <v>2</v>
      </c>
      <c r="AA32" s="274" t="s">
        <v>2</v>
      </c>
      <c r="AB32" s="276" t="s">
        <v>2</v>
      </c>
      <c r="AC32" s="274" t="s">
        <v>2</v>
      </c>
      <c r="AD32" s="277" t="s">
        <v>2142</v>
      </c>
      <c r="AE32" s="276"/>
      <c r="AF32" s="274" t="s">
        <v>2189</v>
      </c>
      <c r="AG32" s="274" t="s">
        <v>775</v>
      </c>
      <c r="AH32" s="274" t="s">
        <v>2197</v>
      </c>
      <c r="AI32" s="274" t="s">
        <v>89</v>
      </c>
      <c r="AJ32" s="281" t="s">
        <v>2</v>
      </c>
      <c r="AK32" s="152" t="s">
        <v>1814</v>
      </c>
      <c r="AL32" s="152" t="s">
        <v>1642</v>
      </c>
      <c r="AM32" s="152" t="s">
        <v>2</v>
      </c>
      <c r="AN32" s="152" t="s">
        <v>422</v>
      </c>
      <c r="AO32" s="152" t="s">
        <v>1984</v>
      </c>
      <c r="AP32" s="152" t="s">
        <v>2</v>
      </c>
      <c r="AQ32" s="302" t="s">
        <v>2</v>
      </c>
    </row>
    <row r="33" spans="1:43" ht="15" customHeight="1">
      <c r="A33" s="72"/>
      <c r="B33" s="84"/>
      <c r="C33" s="91"/>
      <c r="D33" s="301">
        <v>29846</v>
      </c>
      <c r="E33" s="283">
        <v>868161</v>
      </c>
      <c r="F33" s="273">
        <v>17092</v>
      </c>
      <c r="G33" s="274" t="s">
        <v>1465</v>
      </c>
      <c r="H33" s="274" t="s">
        <v>420</v>
      </c>
      <c r="I33" s="274" t="s">
        <v>9</v>
      </c>
      <c r="J33" s="274" t="s">
        <v>398</v>
      </c>
      <c r="K33" s="275">
        <v>0.65277777777777779</v>
      </c>
      <c r="L33" s="275">
        <v>0.91666666666666663</v>
      </c>
      <c r="M33" s="275">
        <v>0.26388888888888884</v>
      </c>
      <c r="N33" s="275">
        <v>0.72916666666666663</v>
      </c>
      <c r="O33" s="275">
        <v>0.81944444444444453</v>
      </c>
      <c r="P33" s="275">
        <v>0.875</v>
      </c>
      <c r="Q33" s="276">
        <v>41983</v>
      </c>
      <c r="R33" s="284" t="s">
        <v>2</v>
      </c>
      <c r="S33" s="276">
        <v>42009</v>
      </c>
      <c r="T33" s="284" t="s">
        <v>2</v>
      </c>
      <c r="U33" s="274" t="s">
        <v>707</v>
      </c>
      <c r="V33" s="276">
        <v>42023</v>
      </c>
      <c r="W33" s="276">
        <v>42023</v>
      </c>
      <c r="X33" s="276" t="s">
        <v>2</v>
      </c>
      <c r="Y33" s="274" t="s">
        <v>1438</v>
      </c>
      <c r="Z33" s="274" t="s">
        <v>2</v>
      </c>
      <c r="AA33" s="274" t="s">
        <v>2</v>
      </c>
      <c r="AB33" s="276" t="s">
        <v>2</v>
      </c>
      <c r="AC33" s="274" t="s">
        <v>2</v>
      </c>
      <c r="AD33" s="277" t="s">
        <v>2143</v>
      </c>
      <c r="AE33" s="276"/>
      <c r="AF33" s="274" t="s">
        <v>2192</v>
      </c>
      <c r="AG33" s="274" t="s">
        <v>775</v>
      </c>
      <c r="AH33" s="274" t="s">
        <v>2197</v>
      </c>
      <c r="AI33" s="274" t="s">
        <v>89</v>
      </c>
      <c r="AJ33" s="281" t="s">
        <v>2</v>
      </c>
      <c r="AK33" s="152" t="s">
        <v>1019</v>
      </c>
      <c r="AL33" s="152" t="s">
        <v>1643</v>
      </c>
      <c r="AM33" s="152" t="s">
        <v>2</v>
      </c>
      <c r="AN33" s="152" t="s">
        <v>422</v>
      </c>
      <c r="AO33" s="152" t="s">
        <v>1985</v>
      </c>
      <c r="AP33" s="152" t="s">
        <v>2</v>
      </c>
      <c r="AQ33" s="302" t="s">
        <v>2</v>
      </c>
    </row>
    <row r="34" spans="1:43" ht="15" customHeight="1">
      <c r="A34" s="72"/>
      <c r="B34" s="84"/>
      <c r="C34" s="91"/>
      <c r="D34" s="301">
        <v>26390</v>
      </c>
      <c r="E34" s="283">
        <v>816994</v>
      </c>
      <c r="F34" s="273">
        <v>12445</v>
      </c>
      <c r="G34" s="274" t="s">
        <v>1466</v>
      </c>
      <c r="H34" s="274" t="s">
        <v>421</v>
      </c>
      <c r="I34" s="274" t="s">
        <v>9</v>
      </c>
      <c r="J34" s="274" t="s">
        <v>398</v>
      </c>
      <c r="K34" s="275">
        <v>0.33333333333333331</v>
      </c>
      <c r="L34" s="275">
        <v>0.67499999999999993</v>
      </c>
      <c r="M34" s="275">
        <v>0.34166666666666662</v>
      </c>
      <c r="N34" s="275">
        <v>0.41666666666666669</v>
      </c>
      <c r="O34" s="275">
        <v>0.54166666666666663</v>
      </c>
      <c r="P34" s="275">
        <v>0.65277777777777779</v>
      </c>
      <c r="Q34" s="276">
        <v>41528</v>
      </c>
      <c r="R34" s="284" t="s">
        <v>2</v>
      </c>
      <c r="S34" s="276">
        <v>41551</v>
      </c>
      <c r="T34" s="284" t="s">
        <v>2</v>
      </c>
      <c r="U34" s="274" t="s">
        <v>707</v>
      </c>
      <c r="V34" s="276">
        <v>42012</v>
      </c>
      <c r="W34" s="276">
        <v>42012</v>
      </c>
      <c r="X34" s="276" t="s">
        <v>2</v>
      </c>
      <c r="Y34" s="274" t="s">
        <v>1438</v>
      </c>
      <c r="Z34" s="274" t="s">
        <v>2</v>
      </c>
      <c r="AA34" s="274" t="s">
        <v>2</v>
      </c>
      <c r="AB34" s="276" t="s">
        <v>2</v>
      </c>
      <c r="AC34" s="274" t="s">
        <v>2</v>
      </c>
      <c r="AD34" s="277" t="s">
        <v>2</v>
      </c>
      <c r="AE34" s="276"/>
      <c r="AF34" s="274" t="s">
        <v>2</v>
      </c>
      <c r="AG34" s="274" t="s">
        <v>775</v>
      </c>
      <c r="AH34" s="274" t="s">
        <v>2197</v>
      </c>
      <c r="AI34" s="274" t="s">
        <v>89</v>
      </c>
      <c r="AJ34" s="281">
        <v>810170</v>
      </c>
      <c r="AK34" s="152" t="s">
        <v>1815</v>
      </c>
      <c r="AL34" s="152" t="s">
        <v>1644</v>
      </c>
      <c r="AM34" s="152" t="s">
        <v>2</v>
      </c>
      <c r="AN34" s="152" t="s">
        <v>422</v>
      </c>
      <c r="AO34" s="152" t="s">
        <v>1986</v>
      </c>
      <c r="AP34" s="152" t="s">
        <v>1249</v>
      </c>
      <c r="AQ34" s="302" t="s">
        <v>2</v>
      </c>
    </row>
    <row r="35" spans="1:43" ht="15" customHeight="1">
      <c r="A35" s="72"/>
      <c r="B35" s="84"/>
      <c r="C35" s="91"/>
      <c r="D35" s="301">
        <v>29884</v>
      </c>
      <c r="E35" s="283">
        <v>868200</v>
      </c>
      <c r="F35" s="273">
        <v>17011</v>
      </c>
      <c r="G35" s="274" t="s">
        <v>1467</v>
      </c>
      <c r="H35" s="274" t="s">
        <v>421</v>
      </c>
      <c r="I35" s="274" t="s">
        <v>9</v>
      </c>
      <c r="J35" s="274" t="s">
        <v>398</v>
      </c>
      <c r="K35" s="275">
        <v>0.375</v>
      </c>
      <c r="L35" s="275">
        <v>0.63888888888888895</v>
      </c>
      <c r="M35" s="275">
        <v>0.26388888888888895</v>
      </c>
      <c r="N35" s="275">
        <v>0.4236111111111111</v>
      </c>
      <c r="O35" s="275">
        <v>0.52777777777777779</v>
      </c>
      <c r="P35" s="275">
        <v>0.59027777777777779</v>
      </c>
      <c r="Q35" s="276">
        <v>41983</v>
      </c>
      <c r="R35" s="284" t="s">
        <v>2</v>
      </c>
      <c r="S35" s="276">
        <v>42009</v>
      </c>
      <c r="T35" s="284" t="s">
        <v>2</v>
      </c>
      <c r="U35" s="274" t="s">
        <v>707</v>
      </c>
      <c r="V35" s="276">
        <v>42024</v>
      </c>
      <c r="W35" s="276">
        <v>42024</v>
      </c>
      <c r="X35" s="276" t="s">
        <v>2</v>
      </c>
      <c r="Y35" s="274" t="s">
        <v>1438</v>
      </c>
      <c r="Z35" s="274" t="s">
        <v>2</v>
      </c>
      <c r="AA35" s="274" t="s">
        <v>2</v>
      </c>
      <c r="AB35" s="276" t="s">
        <v>2</v>
      </c>
      <c r="AC35" s="274" t="s">
        <v>2</v>
      </c>
      <c r="AD35" s="277" t="s">
        <v>2144</v>
      </c>
      <c r="AE35" s="276"/>
      <c r="AF35" s="274" t="s">
        <v>2189</v>
      </c>
      <c r="AG35" s="274" t="s">
        <v>775</v>
      </c>
      <c r="AH35" s="274" t="s">
        <v>2197</v>
      </c>
      <c r="AI35" s="274" t="s">
        <v>89</v>
      </c>
      <c r="AJ35" s="281" t="s">
        <v>2</v>
      </c>
      <c r="AK35" s="152" t="s">
        <v>1816</v>
      </c>
      <c r="AL35" s="152" t="s">
        <v>1645</v>
      </c>
      <c r="AM35" s="152" t="s">
        <v>2</v>
      </c>
      <c r="AN35" s="152" t="s">
        <v>422</v>
      </c>
      <c r="AO35" s="152" t="s">
        <v>1987</v>
      </c>
      <c r="AP35" s="152" t="s">
        <v>2</v>
      </c>
      <c r="AQ35" s="302" t="s">
        <v>2</v>
      </c>
    </row>
    <row r="36" spans="1:43" ht="15" customHeight="1">
      <c r="A36" s="72"/>
      <c r="B36" s="84"/>
      <c r="C36" s="91"/>
      <c r="D36" s="301">
        <v>29892</v>
      </c>
      <c r="E36" s="283">
        <v>868208</v>
      </c>
      <c r="F36" s="273">
        <v>17032</v>
      </c>
      <c r="G36" s="274" t="s">
        <v>1468</v>
      </c>
      <c r="H36" s="274" t="s">
        <v>421</v>
      </c>
      <c r="I36" s="274" t="s">
        <v>9</v>
      </c>
      <c r="J36" s="274" t="s">
        <v>398</v>
      </c>
      <c r="K36" s="275">
        <v>0.375</v>
      </c>
      <c r="L36" s="275">
        <v>0.63888888888888895</v>
      </c>
      <c r="M36" s="275">
        <v>0.26388888888888895</v>
      </c>
      <c r="N36" s="275">
        <v>0.4236111111111111</v>
      </c>
      <c r="O36" s="275">
        <v>0.52777777777777779</v>
      </c>
      <c r="P36" s="275">
        <v>0.59027777777777779</v>
      </c>
      <c r="Q36" s="276">
        <v>41983</v>
      </c>
      <c r="R36" s="284" t="s">
        <v>2</v>
      </c>
      <c r="S36" s="276">
        <v>42009</v>
      </c>
      <c r="T36" s="284" t="s">
        <v>2</v>
      </c>
      <c r="U36" s="274" t="s">
        <v>707</v>
      </c>
      <c r="V36" s="276">
        <v>42032</v>
      </c>
      <c r="W36" s="276">
        <v>42032</v>
      </c>
      <c r="X36" s="276" t="s">
        <v>2</v>
      </c>
      <c r="Y36" s="274" t="s">
        <v>1438</v>
      </c>
      <c r="Z36" s="274" t="s">
        <v>2</v>
      </c>
      <c r="AA36" s="274" t="s">
        <v>2</v>
      </c>
      <c r="AB36" s="276" t="s">
        <v>2</v>
      </c>
      <c r="AC36" s="274" t="s">
        <v>2</v>
      </c>
      <c r="AD36" s="277" t="s">
        <v>2145</v>
      </c>
      <c r="AE36" s="276"/>
      <c r="AF36" s="274" t="s">
        <v>2190</v>
      </c>
      <c r="AG36" s="274" t="s">
        <v>775</v>
      </c>
      <c r="AH36" s="274" t="s">
        <v>2197</v>
      </c>
      <c r="AI36" s="274" t="s">
        <v>89</v>
      </c>
      <c r="AJ36" s="281" t="s">
        <v>2</v>
      </c>
      <c r="AK36" s="152" t="s">
        <v>1817</v>
      </c>
      <c r="AL36" s="152" t="s">
        <v>1646</v>
      </c>
      <c r="AM36" s="152" t="s">
        <v>2</v>
      </c>
      <c r="AN36" s="152" t="s">
        <v>422</v>
      </c>
      <c r="AO36" s="152" t="s">
        <v>1988</v>
      </c>
      <c r="AP36" s="152" t="s">
        <v>2</v>
      </c>
      <c r="AQ36" s="302" t="s">
        <v>2</v>
      </c>
    </row>
    <row r="37" spans="1:43" ht="15" customHeight="1">
      <c r="A37" s="72"/>
      <c r="B37" s="84"/>
      <c r="C37" s="91"/>
      <c r="D37" s="301">
        <v>27515</v>
      </c>
      <c r="E37" s="283">
        <v>831243</v>
      </c>
      <c r="F37" s="273">
        <v>17060</v>
      </c>
      <c r="G37" s="274" t="s">
        <v>1469</v>
      </c>
      <c r="H37" s="274" t="s">
        <v>421</v>
      </c>
      <c r="I37" s="274" t="s">
        <v>9</v>
      </c>
      <c r="J37" s="274" t="s">
        <v>398</v>
      </c>
      <c r="K37" s="275">
        <v>0.39583333333333331</v>
      </c>
      <c r="L37" s="275">
        <v>0.73749999999999993</v>
      </c>
      <c r="M37" s="275">
        <v>0.34166666666666662</v>
      </c>
      <c r="N37" s="275">
        <v>0.50694444444444442</v>
      </c>
      <c r="O37" s="275">
        <v>0.5625</v>
      </c>
      <c r="P37" s="275">
        <v>0.66666666666666663</v>
      </c>
      <c r="Q37" s="276">
        <v>41676</v>
      </c>
      <c r="R37" s="284" t="s">
        <v>2</v>
      </c>
      <c r="S37" s="276">
        <v>41705</v>
      </c>
      <c r="T37" s="284" t="s">
        <v>2</v>
      </c>
      <c r="U37" s="274" t="s">
        <v>707</v>
      </c>
      <c r="V37" s="276">
        <v>42019</v>
      </c>
      <c r="W37" s="276">
        <v>42019</v>
      </c>
      <c r="X37" s="276" t="s">
        <v>2</v>
      </c>
      <c r="Y37" s="274" t="s">
        <v>1438</v>
      </c>
      <c r="Z37" s="274" t="s">
        <v>2</v>
      </c>
      <c r="AA37" s="274" t="s">
        <v>2</v>
      </c>
      <c r="AB37" s="276" t="s">
        <v>2</v>
      </c>
      <c r="AC37" s="274" t="s">
        <v>2</v>
      </c>
      <c r="AD37" s="277" t="s">
        <v>2146</v>
      </c>
      <c r="AE37" s="276"/>
      <c r="AF37" s="274" t="s">
        <v>2190</v>
      </c>
      <c r="AG37" s="274" t="s">
        <v>775</v>
      </c>
      <c r="AH37" s="274" t="s">
        <v>2197</v>
      </c>
      <c r="AI37" s="274" t="s">
        <v>89</v>
      </c>
      <c r="AJ37" s="281">
        <v>810129</v>
      </c>
      <c r="AK37" s="152" t="s">
        <v>1818</v>
      </c>
      <c r="AL37" s="152" t="s">
        <v>1647</v>
      </c>
      <c r="AM37" s="152" t="s">
        <v>2</v>
      </c>
      <c r="AN37" s="152" t="s">
        <v>422</v>
      </c>
      <c r="AO37" s="152" t="s">
        <v>1989</v>
      </c>
      <c r="AP37" s="152" t="s">
        <v>2</v>
      </c>
      <c r="AQ37" s="302" t="s">
        <v>2</v>
      </c>
    </row>
    <row r="38" spans="1:43" ht="15" customHeight="1">
      <c r="A38" s="72"/>
      <c r="B38" s="84"/>
      <c r="C38" s="91"/>
      <c r="D38" s="301">
        <v>27248</v>
      </c>
      <c r="E38" s="283">
        <v>827473</v>
      </c>
      <c r="F38" s="273">
        <v>12100</v>
      </c>
      <c r="G38" s="274" t="s">
        <v>1470</v>
      </c>
      <c r="H38" s="274" t="s">
        <v>421</v>
      </c>
      <c r="I38" s="274" t="s">
        <v>16</v>
      </c>
      <c r="J38" s="274" t="s">
        <v>398</v>
      </c>
      <c r="K38" s="275">
        <v>0.39583333333333331</v>
      </c>
      <c r="L38" s="275">
        <v>0.73749999999999993</v>
      </c>
      <c r="M38" s="275">
        <v>0.34166666666666662</v>
      </c>
      <c r="N38" s="275">
        <v>0.50694444444444442</v>
      </c>
      <c r="O38" s="275">
        <v>0.5625</v>
      </c>
      <c r="P38" s="275">
        <v>0.66666666666666663</v>
      </c>
      <c r="Q38" s="276">
        <v>41620</v>
      </c>
      <c r="R38" s="284" t="s">
        <v>2</v>
      </c>
      <c r="S38" s="276">
        <v>41653</v>
      </c>
      <c r="T38" s="284" t="s">
        <v>2</v>
      </c>
      <c r="U38" s="274" t="s">
        <v>707</v>
      </c>
      <c r="V38" s="276">
        <v>42009</v>
      </c>
      <c r="W38" s="276">
        <v>42011</v>
      </c>
      <c r="X38" s="276" t="s">
        <v>2</v>
      </c>
      <c r="Y38" s="274" t="s">
        <v>2</v>
      </c>
      <c r="Z38" s="274" t="s">
        <v>2202</v>
      </c>
      <c r="AA38" s="274" t="s">
        <v>398</v>
      </c>
      <c r="AB38" s="276" t="s">
        <v>2204</v>
      </c>
      <c r="AC38" s="274">
        <v>42011</v>
      </c>
      <c r="AD38" s="277" t="s">
        <v>2</v>
      </c>
      <c r="AE38" s="276"/>
      <c r="AF38" s="274" t="s">
        <v>2</v>
      </c>
      <c r="AG38" s="274" t="s">
        <v>775</v>
      </c>
      <c r="AH38" s="274" t="s">
        <v>2197</v>
      </c>
      <c r="AI38" s="274" t="s">
        <v>89</v>
      </c>
      <c r="AJ38" s="281">
        <v>810164</v>
      </c>
      <c r="AK38" s="152" t="s">
        <v>1819</v>
      </c>
      <c r="AL38" s="152" t="s">
        <v>1648</v>
      </c>
      <c r="AM38" s="152" t="s">
        <v>2</v>
      </c>
      <c r="AN38" s="152" t="s">
        <v>422</v>
      </c>
      <c r="AO38" s="152" t="s">
        <v>1990</v>
      </c>
      <c r="AP38" s="152" t="s">
        <v>2</v>
      </c>
      <c r="AQ38" s="302" t="s">
        <v>2</v>
      </c>
    </row>
    <row r="39" spans="1:43" ht="15" customHeight="1">
      <c r="A39" s="72"/>
      <c r="B39" s="84"/>
      <c r="C39" s="91"/>
      <c r="D39" s="301">
        <v>29838</v>
      </c>
      <c r="E39" s="283">
        <v>868152</v>
      </c>
      <c r="F39" s="273">
        <v>17039</v>
      </c>
      <c r="G39" s="274" t="s">
        <v>1471</v>
      </c>
      <c r="H39" s="274" t="s">
        <v>414</v>
      </c>
      <c r="I39" s="274" t="s">
        <v>9</v>
      </c>
      <c r="J39" s="274" t="s">
        <v>403</v>
      </c>
      <c r="K39" s="275">
        <v>0.39583333333333331</v>
      </c>
      <c r="L39" s="275">
        <v>0.65972222222222221</v>
      </c>
      <c r="M39" s="275">
        <v>0.2638888888888889</v>
      </c>
      <c r="N39" s="275">
        <v>0.46527777777777773</v>
      </c>
      <c r="O39" s="275">
        <v>0.54166666666666663</v>
      </c>
      <c r="P39" s="275">
        <v>0.61111111111111105</v>
      </c>
      <c r="Q39" s="276">
        <v>41983</v>
      </c>
      <c r="R39" s="284" t="s">
        <v>2</v>
      </c>
      <c r="S39" s="276">
        <v>42009</v>
      </c>
      <c r="T39" s="284" t="s">
        <v>2</v>
      </c>
      <c r="U39" s="274" t="s">
        <v>707</v>
      </c>
      <c r="V39" s="276">
        <v>42027</v>
      </c>
      <c r="W39" s="276">
        <v>42027</v>
      </c>
      <c r="X39" s="276" t="s">
        <v>2</v>
      </c>
      <c r="Y39" s="274" t="s">
        <v>2199</v>
      </c>
      <c r="Z39" s="274" t="s">
        <v>2</v>
      </c>
      <c r="AA39" s="274" t="s">
        <v>2</v>
      </c>
      <c r="AB39" s="276" t="s">
        <v>2</v>
      </c>
      <c r="AC39" s="274" t="s">
        <v>2</v>
      </c>
      <c r="AD39" s="277">
        <v>7051020</v>
      </c>
      <c r="AE39" s="276"/>
      <c r="AF39" s="274" t="s">
        <v>2196</v>
      </c>
      <c r="AG39" s="274" t="s">
        <v>775</v>
      </c>
      <c r="AH39" s="274" t="s">
        <v>2197</v>
      </c>
      <c r="AI39" s="274" t="s">
        <v>89</v>
      </c>
      <c r="AJ39" s="281" t="s">
        <v>2</v>
      </c>
      <c r="AK39" s="152" t="s">
        <v>1820</v>
      </c>
      <c r="AL39" s="152" t="s">
        <v>1649</v>
      </c>
      <c r="AM39" s="152" t="s">
        <v>2</v>
      </c>
      <c r="AN39" s="152" t="s">
        <v>422</v>
      </c>
      <c r="AO39" s="152" t="s">
        <v>1991</v>
      </c>
      <c r="AP39" s="152" t="s">
        <v>2</v>
      </c>
      <c r="AQ39" s="302" t="s">
        <v>2</v>
      </c>
    </row>
    <row r="40" spans="1:43" ht="15" customHeight="1">
      <c r="A40" s="72"/>
      <c r="B40" s="84"/>
      <c r="C40" s="91"/>
      <c r="D40" s="301">
        <v>23649</v>
      </c>
      <c r="E40" s="283">
        <v>790315</v>
      </c>
      <c r="F40" s="273">
        <v>17178</v>
      </c>
      <c r="G40" s="274" t="s">
        <v>1472</v>
      </c>
      <c r="H40" s="274" t="s">
        <v>414</v>
      </c>
      <c r="I40" s="274" t="s">
        <v>9</v>
      </c>
      <c r="J40" s="274" t="s">
        <v>403</v>
      </c>
      <c r="K40" s="275">
        <v>0.39583333333333331</v>
      </c>
      <c r="L40" s="275">
        <v>0.73749999999999993</v>
      </c>
      <c r="M40" s="275">
        <v>0.34166666666666662</v>
      </c>
      <c r="N40" s="275">
        <v>0.43055555555555558</v>
      </c>
      <c r="O40" s="275">
        <v>0.5625</v>
      </c>
      <c r="P40" s="275">
        <v>0.66666666666666663</v>
      </c>
      <c r="Q40" s="276">
        <v>41253</v>
      </c>
      <c r="R40" s="284" t="s">
        <v>2</v>
      </c>
      <c r="S40" s="276">
        <v>41276</v>
      </c>
      <c r="T40" s="284" t="s">
        <v>2</v>
      </c>
      <c r="U40" s="274" t="s">
        <v>707</v>
      </c>
      <c r="V40" s="276">
        <v>41993</v>
      </c>
      <c r="W40" s="276" t="s">
        <v>2</v>
      </c>
      <c r="X40" s="276" t="s">
        <v>2</v>
      </c>
      <c r="Y40" s="274" t="s">
        <v>1438</v>
      </c>
      <c r="Z40" s="274" t="s">
        <v>2</v>
      </c>
      <c r="AA40" s="274" t="s">
        <v>2</v>
      </c>
      <c r="AB40" s="276" t="s">
        <v>2</v>
      </c>
      <c r="AC40" s="274" t="s">
        <v>2</v>
      </c>
      <c r="AD40" s="277">
        <v>9360580</v>
      </c>
      <c r="AE40" s="276"/>
      <c r="AF40" s="274" t="s">
        <v>2190</v>
      </c>
      <c r="AG40" s="274" t="s">
        <v>775</v>
      </c>
      <c r="AH40" s="274" t="s">
        <v>2197</v>
      </c>
      <c r="AI40" s="274" t="s">
        <v>89</v>
      </c>
      <c r="AJ40" s="281">
        <v>810090</v>
      </c>
      <c r="AK40" s="152" t="s">
        <v>1821</v>
      </c>
      <c r="AL40" s="152" t="s">
        <v>1650</v>
      </c>
      <c r="AM40" s="152" t="s">
        <v>2</v>
      </c>
      <c r="AN40" s="152" t="s">
        <v>422</v>
      </c>
      <c r="AO40" s="152" t="s">
        <v>1992</v>
      </c>
      <c r="AP40" s="152" t="s">
        <v>2</v>
      </c>
      <c r="AQ40" s="302" t="s">
        <v>1249</v>
      </c>
    </row>
    <row r="41" spans="1:43" ht="15" customHeight="1">
      <c r="A41" s="72"/>
      <c r="B41" s="84"/>
      <c r="C41" s="91"/>
      <c r="D41" s="301">
        <v>27867</v>
      </c>
      <c r="E41" s="283">
        <v>833821</v>
      </c>
      <c r="F41" s="273">
        <v>17163</v>
      </c>
      <c r="G41" s="274" t="s">
        <v>1473</v>
      </c>
      <c r="H41" s="274" t="s">
        <v>417</v>
      </c>
      <c r="I41" s="274" t="s">
        <v>16</v>
      </c>
      <c r="J41" s="274" t="s">
        <v>403</v>
      </c>
      <c r="K41" s="275">
        <v>0.4916666666666667</v>
      </c>
      <c r="L41" s="275">
        <v>0.83333333333333337</v>
      </c>
      <c r="M41" s="275">
        <v>0.34166666666666667</v>
      </c>
      <c r="N41" s="275">
        <v>0.57638888888888895</v>
      </c>
      <c r="O41" s="275">
        <v>0.66666666666666663</v>
      </c>
      <c r="P41" s="275">
        <v>0.75</v>
      </c>
      <c r="Q41" s="276">
        <v>41704</v>
      </c>
      <c r="R41" s="284" t="s">
        <v>2</v>
      </c>
      <c r="S41" s="276">
        <v>41727</v>
      </c>
      <c r="T41" s="284" t="s">
        <v>2</v>
      </c>
      <c r="U41" s="274" t="s">
        <v>707</v>
      </c>
      <c r="V41" s="276">
        <v>42010</v>
      </c>
      <c r="W41" s="276">
        <v>42011</v>
      </c>
      <c r="X41" s="276">
        <v>42011</v>
      </c>
      <c r="Y41" s="274" t="s">
        <v>2</v>
      </c>
      <c r="Z41" s="274" t="s">
        <v>2202</v>
      </c>
      <c r="AA41" s="274" t="s">
        <v>403</v>
      </c>
      <c r="AB41" s="276" t="s">
        <v>2204</v>
      </c>
      <c r="AC41" s="274">
        <v>42011</v>
      </c>
      <c r="AD41" s="277" t="s">
        <v>2147</v>
      </c>
      <c r="AE41" s="276"/>
      <c r="AF41" s="274" t="s">
        <v>2194</v>
      </c>
      <c r="AG41" s="274" t="s">
        <v>775</v>
      </c>
      <c r="AH41" s="274" t="s">
        <v>2197</v>
      </c>
      <c r="AI41" s="274" t="s">
        <v>89</v>
      </c>
      <c r="AJ41" s="281">
        <v>810045</v>
      </c>
      <c r="AK41" s="152" t="s">
        <v>1822</v>
      </c>
      <c r="AL41" s="152" t="s">
        <v>1651</v>
      </c>
      <c r="AM41" s="152" t="s">
        <v>2</v>
      </c>
      <c r="AN41" s="152" t="s">
        <v>422</v>
      </c>
      <c r="AO41" s="152" t="s">
        <v>1993</v>
      </c>
      <c r="AP41" s="152" t="s">
        <v>2</v>
      </c>
      <c r="AQ41" s="302" t="s">
        <v>2</v>
      </c>
    </row>
    <row r="42" spans="1:43" ht="15" customHeight="1">
      <c r="A42" s="72"/>
      <c r="B42" s="84"/>
      <c r="C42" s="91"/>
      <c r="D42" s="301">
        <v>28077</v>
      </c>
      <c r="E42" s="283">
        <v>836151</v>
      </c>
      <c r="F42" s="273">
        <v>12233</v>
      </c>
      <c r="G42" s="274" t="s">
        <v>1474</v>
      </c>
      <c r="H42" s="274" t="s">
        <v>418</v>
      </c>
      <c r="I42" s="274" t="s">
        <v>9</v>
      </c>
      <c r="J42" s="274" t="s">
        <v>403</v>
      </c>
      <c r="K42" s="275">
        <v>0.375</v>
      </c>
      <c r="L42" s="275">
        <v>0.71666666666666656</v>
      </c>
      <c r="M42" s="275">
        <v>0.34166666666666656</v>
      </c>
      <c r="N42" s="275">
        <v>0.43055555555555558</v>
      </c>
      <c r="O42" s="275">
        <v>0.5625</v>
      </c>
      <c r="P42" s="275">
        <v>0.66666666666666663</v>
      </c>
      <c r="Q42" s="276">
        <v>41731</v>
      </c>
      <c r="R42" s="284" t="s">
        <v>2</v>
      </c>
      <c r="S42" s="276">
        <v>41762</v>
      </c>
      <c r="T42" s="284" t="s">
        <v>2</v>
      </c>
      <c r="U42" s="274" t="s">
        <v>707</v>
      </c>
      <c r="V42" s="276">
        <v>42018</v>
      </c>
      <c r="W42" s="276">
        <v>42018</v>
      </c>
      <c r="X42" s="276" t="s">
        <v>2</v>
      </c>
      <c r="Y42" s="274" t="s">
        <v>1438</v>
      </c>
      <c r="Z42" s="274" t="s">
        <v>2</v>
      </c>
      <c r="AA42" s="274" t="s">
        <v>2</v>
      </c>
      <c r="AB42" s="276" t="s">
        <v>2</v>
      </c>
      <c r="AC42" s="274" t="s">
        <v>2</v>
      </c>
      <c r="AD42" s="277" t="s">
        <v>2</v>
      </c>
      <c r="AE42" s="276"/>
      <c r="AF42" s="274" t="s">
        <v>2</v>
      </c>
      <c r="AG42" s="274" t="s">
        <v>775</v>
      </c>
      <c r="AH42" s="274" t="s">
        <v>2197</v>
      </c>
      <c r="AI42" s="274" t="s">
        <v>89</v>
      </c>
      <c r="AJ42" s="281">
        <v>810095</v>
      </c>
      <c r="AK42" s="152" t="s">
        <v>1823</v>
      </c>
      <c r="AL42" s="152" t="s">
        <v>1652</v>
      </c>
      <c r="AM42" s="152" t="s">
        <v>2</v>
      </c>
      <c r="AN42" s="152" t="s">
        <v>422</v>
      </c>
      <c r="AO42" s="152" t="s">
        <v>1994</v>
      </c>
      <c r="AP42" s="152" t="s">
        <v>1249</v>
      </c>
      <c r="AQ42" s="302" t="s">
        <v>2</v>
      </c>
    </row>
    <row r="43" spans="1:43" ht="15" customHeight="1">
      <c r="A43" s="72"/>
      <c r="B43" s="84"/>
      <c r="C43" s="91"/>
      <c r="D43" s="301">
        <v>24633</v>
      </c>
      <c r="E43" s="283">
        <v>798100</v>
      </c>
      <c r="F43" s="273">
        <v>17174</v>
      </c>
      <c r="G43" s="274" t="s">
        <v>1475</v>
      </c>
      <c r="H43" s="274" t="s">
        <v>408</v>
      </c>
      <c r="I43" s="274" t="s">
        <v>9</v>
      </c>
      <c r="J43" s="274" t="s">
        <v>1253</v>
      </c>
      <c r="K43" s="275">
        <v>0.375</v>
      </c>
      <c r="L43" s="275">
        <v>0.71666666666666667</v>
      </c>
      <c r="M43" s="275">
        <v>0.34166666666666667</v>
      </c>
      <c r="N43" s="275">
        <v>0.41666666666666669</v>
      </c>
      <c r="O43" s="275">
        <v>0.5625</v>
      </c>
      <c r="P43" s="275">
        <v>0.64583333333333337</v>
      </c>
      <c r="Q43" s="276">
        <v>41337</v>
      </c>
      <c r="R43" s="284" t="s">
        <v>2</v>
      </c>
      <c r="S43" s="276">
        <v>41360</v>
      </c>
      <c r="T43" s="284" t="s">
        <v>2</v>
      </c>
      <c r="U43" s="274" t="s">
        <v>707</v>
      </c>
      <c r="V43" s="276">
        <v>42017</v>
      </c>
      <c r="W43" s="276">
        <v>42017</v>
      </c>
      <c r="X43" s="276" t="s">
        <v>2</v>
      </c>
      <c r="Y43" s="274" t="s">
        <v>1438</v>
      </c>
      <c r="Z43" s="274" t="s">
        <v>2</v>
      </c>
      <c r="AA43" s="274" t="s">
        <v>2</v>
      </c>
      <c r="AB43" s="276" t="s">
        <v>2</v>
      </c>
      <c r="AC43" s="274" t="s">
        <v>2</v>
      </c>
      <c r="AD43" s="277">
        <v>2561020</v>
      </c>
      <c r="AE43" s="276"/>
      <c r="AF43" s="274" t="s">
        <v>2189</v>
      </c>
      <c r="AG43" s="274" t="s">
        <v>775</v>
      </c>
      <c r="AH43" s="274" t="s">
        <v>2197</v>
      </c>
      <c r="AI43" s="274" t="s">
        <v>89</v>
      </c>
      <c r="AJ43" s="281">
        <v>810169</v>
      </c>
      <c r="AK43" s="152" t="s">
        <v>1824</v>
      </c>
      <c r="AL43" s="152" t="s">
        <v>1653</v>
      </c>
      <c r="AM43" s="152" t="s">
        <v>2</v>
      </c>
      <c r="AN43" s="152" t="s">
        <v>2</v>
      </c>
      <c r="AO43" s="152" t="s">
        <v>1995</v>
      </c>
      <c r="AP43" s="152" t="s">
        <v>2</v>
      </c>
      <c r="AQ43" s="302" t="s">
        <v>1249</v>
      </c>
    </row>
    <row r="44" spans="1:43" ht="15" customHeight="1">
      <c r="A44" s="72"/>
      <c r="B44" s="84"/>
      <c r="C44" s="91"/>
      <c r="D44" s="301">
        <v>29919</v>
      </c>
      <c r="E44" s="283">
        <v>869823</v>
      </c>
      <c r="F44" s="273" t="s">
        <v>2</v>
      </c>
      <c r="G44" s="274" t="s">
        <v>1476</v>
      </c>
      <c r="H44" s="274" t="s">
        <v>422</v>
      </c>
      <c r="I44" s="274" t="s">
        <v>9</v>
      </c>
      <c r="J44" s="274" t="s">
        <v>398</v>
      </c>
      <c r="K44" s="275">
        <v>0.33333333333333331</v>
      </c>
      <c r="L44" s="275">
        <v>0.59722222222222221</v>
      </c>
      <c r="M44" s="275">
        <v>0.2638888888888889</v>
      </c>
      <c r="N44" s="275" t="s">
        <v>2</v>
      </c>
      <c r="O44" s="275" t="s">
        <v>2</v>
      </c>
      <c r="P44" s="275" t="s">
        <v>2</v>
      </c>
      <c r="Q44" s="276">
        <v>42010</v>
      </c>
      <c r="R44" s="284" t="s">
        <v>2</v>
      </c>
      <c r="S44" s="276">
        <v>42036</v>
      </c>
      <c r="T44" s="284" t="s">
        <v>2</v>
      </c>
      <c r="U44" s="274" t="s">
        <v>708</v>
      </c>
      <c r="V44" s="276">
        <v>42034</v>
      </c>
      <c r="W44" s="276">
        <v>42034</v>
      </c>
      <c r="X44" s="276" t="s">
        <v>2</v>
      </c>
      <c r="Y44" s="274" t="s">
        <v>1438</v>
      </c>
      <c r="Z44" s="274" t="s">
        <v>2</v>
      </c>
      <c r="AA44" s="274" t="s">
        <v>2</v>
      </c>
      <c r="AB44" s="276" t="s">
        <v>2</v>
      </c>
      <c r="AC44" s="274" t="s">
        <v>2</v>
      </c>
      <c r="AD44" s="277" t="s">
        <v>2</v>
      </c>
      <c r="AE44" s="276"/>
      <c r="AF44" s="274" t="s">
        <v>2</v>
      </c>
      <c r="AG44" s="274" t="s">
        <v>775</v>
      </c>
      <c r="AH44" s="274" t="s">
        <v>2197</v>
      </c>
      <c r="AI44" s="274" t="s">
        <v>89</v>
      </c>
      <c r="AJ44" s="281" t="s">
        <v>2</v>
      </c>
      <c r="AK44" s="152" t="s">
        <v>2</v>
      </c>
      <c r="AL44" s="152" t="s">
        <v>2</v>
      </c>
      <c r="AM44" s="152" t="s">
        <v>2</v>
      </c>
      <c r="AN44" s="152" t="s">
        <v>422</v>
      </c>
      <c r="AO44" s="152" t="s">
        <v>2</v>
      </c>
      <c r="AP44" s="152" t="s">
        <v>2</v>
      </c>
      <c r="AQ44" s="302" t="s">
        <v>2</v>
      </c>
    </row>
    <row r="45" spans="1:43" ht="15" customHeight="1">
      <c r="A45" s="72"/>
      <c r="B45" s="84"/>
      <c r="C45" s="91"/>
      <c r="D45" s="301">
        <v>29875</v>
      </c>
      <c r="E45" s="283">
        <v>868191</v>
      </c>
      <c r="F45" s="273">
        <v>17055</v>
      </c>
      <c r="G45" s="274" t="s">
        <v>1477</v>
      </c>
      <c r="H45" s="274" t="s">
        <v>416</v>
      </c>
      <c r="I45" s="274" t="s">
        <v>9</v>
      </c>
      <c r="J45" s="274" t="s">
        <v>398</v>
      </c>
      <c r="K45" s="275">
        <v>0.33333333333333331</v>
      </c>
      <c r="L45" s="275">
        <v>0.59722222222222221</v>
      </c>
      <c r="M45" s="275">
        <v>0.2638888888888889</v>
      </c>
      <c r="N45" s="275">
        <v>0.39583333333333331</v>
      </c>
      <c r="O45" s="275">
        <v>0.49305555555555558</v>
      </c>
      <c r="P45" s="275">
        <v>0.54861111111111105</v>
      </c>
      <c r="Q45" s="276">
        <v>41983</v>
      </c>
      <c r="R45" s="284" t="s">
        <v>2</v>
      </c>
      <c r="S45" s="276">
        <v>42009</v>
      </c>
      <c r="T45" s="284" t="s">
        <v>2</v>
      </c>
      <c r="U45" s="274" t="s">
        <v>707</v>
      </c>
      <c r="V45" s="276">
        <v>42037</v>
      </c>
      <c r="W45" s="276">
        <v>42037</v>
      </c>
      <c r="X45" s="276" t="s">
        <v>2</v>
      </c>
      <c r="Y45" s="274" t="s">
        <v>1438</v>
      </c>
      <c r="Z45" s="274" t="s">
        <v>2</v>
      </c>
      <c r="AA45" s="274" t="s">
        <v>2</v>
      </c>
      <c r="AB45" s="276" t="s">
        <v>2</v>
      </c>
      <c r="AC45" s="274" t="s">
        <v>2</v>
      </c>
      <c r="AD45" s="277" t="s">
        <v>2148</v>
      </c>
      <c r="AE45" s="276"/>
      <c r="AF45" s="274" t="s">
        <v>2194</v>
      </c>
      <c r="AG45" s="274" t="s">
        <v>775</v>
      </c>
      <c r="AH45" s="274" t="s">
        <v>2197</v>
      </c>
      <c r="AI45" s="274" t="s">
        <v>89</v>
      </c>
      <c r="AJ45" s="281" t="s">
        <v>2</v>
      </c>
      <c r="AK45" s="152" t="s">
        <v>1825</v>
      </c>
      <c r="AL45" s="152" t="s">
        <v>1654</v>
      </c>
      <c r="AM45" s="152" t="s">
        <v>2</v>
      </c>
      <c r="AN45" s="152" t="s">
        <v>422</v>
      </c>
      <c r="AO45" s="152" t="s">
        <v>1996</v>
      </c>
      <c r="AP45" s="152" t="s">
        <v>2</v>
      </c>
      <c r="AQ45" s="302" t="s">
        <v>2</v>
      </c>
    </row>
    <row r="46" spans="1:43" ht="15" customHeight="1">
      <c r="A46" s="72"/>
      <c r="B46" s="84"/>
      <c r="C46" s="91"/>
      <c r="D46" s="301">
        <v>29205</v>
      </c>
      <c r="E46" s="283">
        <v>854907</v>
      </c>
      <c r="F46" s="273">
        <v>17114</v>
      </c>
      <c r="G46" s="274" t="s">
        <v>1478</v>
      </c>
      <c r="H46" s="274" t="s">
        <v>419</v>
      </c>
      <c r="I46" s="274" t="s">
        <v>9</v>
      </c>
      <c r="J46" s="274" t="s">
        <v>398</v>
      </c>
      <c r="K46" s="275">
        <v>0.4916666666666667</v>
      </c>
      <c r="L46" s="275">
        <v>0.83333333333333337</v>
      </c>
      <c r="M46" s="275">
        <v>0.34166666666666667</v>
      </c>
      <c r="N46" s="275">
        <v>0.53472222222222221</v>
      </c>
      <c r="O46" s="275">
        <v>0.625</v>
      </c>
      <c r="P46" s="275">
        <v>0.70833333333333337</v>
      </c>
      <c r="Q46" s="276">
        <v>41891</v>
      </c>
      <c r="R46" s="284" t="s">
        <v>2</v>
      </c>
      <c r="S46" s="276">
        <v>41918</v>
      </c>
      <c r="T46" s="284" t="s">
        <v>2</v>
      </c>
      <c r="U46" s="274" t="s">
        <v>707</v>
      </c>
      <c r="V46" s="276">
        <v>42037</v>
      </c>
      <c r="W46" s="276">
        <v>42037</v>
      </c>
      <c r="X46" s="276" t="s">
        <v>2</v>
      </c>
      <c r="Y46" s="274" t="s">
        <v>1438</v>
      </c>
      <c r="Z46" s="274" t="s">
        <v>2</v>
      </c>
      <c r="AA46" s="274" t="s">
        <v>2</v>
      </c>
      <c r="AB46" s="276" t="s">
        <v>2</v>
      </c>
      <c r="AC46" s="274" t="s">
        <v>2</v>
      </c>
      <c r="AD46" s="277" t="s">
        <v>2</v>
      </c>
      <c r="AE46" s="276"/>
      <c r="AF46" s="274" t="s">
        <v>2</v>
      </c>
      <c r="AG46" s="274" t="s">
        <v>775</v>
      </c>
      <c r="AH46" s="274" t="s">
        <v>2197</v>
      </c>
      <c r="AI46" s="274" t="s">
        <v>89</v>
      </c>
      <c r="AJ46" s="281">
        <v>810158</v>
      </c>
      <c r="AK46" s="152" t="s">
        <v>1826</v>
      </c>
      <c r="AL46" s="152" t="s">
        <v>1655</v>
      </c>
      <c r="AM46" s="152" t="s">
        <v>2</v>
      </c>
      <c r="AN46" s="152" t="s">
        <v>422</v>
      </c>
      <c r="AO46" s="152" t="s">
        <v>1997</v>
      </c>
      <c r="AP46" s="152" t="s">
        <v>2</v>
      </c>
      <c r="AQ46" s="302" t="s">
        <v>2</v>
      </c>
    </row>
    <row r="47" spans="1:43" ht="15" customHeight="1">
      <c r="A47" s="72"/>
      <c r="B47" s="84"/>
      <c r="C47" s="91"/>
      <c r="D47" s="301">
        <v>28631</v>
      </c>
      <c r="E47" s="283">
        <v>843603</v>
      </c>
      <c r="F47" s="273">
        <v>12122</v>
      </c>
      <c r="G47" s="274" t="s">
        <v>1479</v>
      </c>
      <c r="H47" s="274" t="s">
        <v>419</v>
      </c>
      <c r="I47" s="274" t="s">
        <v>16</v>
      </c>
      <c r="J47" s="274" t="s">
        <v>398</v>
      </c>
      <c r="K47" s="275">
        <v>0.625</v>
      </c>
      <c r="L47" s="275">
        <v>0.88888888888888884</v>
      </c>
      <c r="M47" s="275">
        <v>0.26388888888888884</v>
      </c>
      <c r="N47" s="275">
        <v>0.66666666666666663</v>
      </c>
      <c r="O47" s="275">
        <v>0.77777777777777779</v>
      </c>
      <c r="P47" s="275">
        <v>0.84027777777777779</v>
      </c>
      <c r="Q47" s="276">
        <v>41794</v>
      </c>
      <c r="R47" s="284" t="s">
        <v>2</v>
      </c>
      <c r="S47" s="276">
        <v>41823</v>
      </c>
      <c r="T47" s="284" t="s">
        <v>2</v>
      </c>
      <c r="U47" s="274" t="s">
        <v>707</v>
      </c>
      <c r="V47" s="276">
        <v>42045</v>
      </c>
      <c r="W47" s="276">
        <v>42046</v>
      </c>
      <c r="X47" s="276" t="s">
        <v>2</v>
      </c>
      <c r="Y47" s="274" t="s">
        <v>2</v>
      </c>
      <c r="Z47" s="274" t="s">
        <v>2202</v>
      </c>
      <c r="AA47" s="274" t="s">
        <v>398</v>
      </c>
      <c r="AB47" s="276" t="s">
        <v>2205</v>
      </c>
      <c r="AC47" s="274">
        <v>42046</v>
      </c>
      <c r="AD47" s="277" t="s">
        <v>2</v>
      </c>
      <c r="AE47" s="276"/>
      <c r="AF47" s="274" t="s">
        <v>2</v>
      </c>
      <c r="AG47" s="274" t="s">
        <v>775</v>
      </c>
      <c r="AH47" s="274" t="s">
        <v>2197</v>
      </c>
      <c r="AI47" s="274" t="s">
        <v>89</v>
      </c>
      <c r="AJ47" s="281">
        <v>810117</v>
      </c>
      <c r="AK47" s="152" t="s">
        <v>1827</v>
      </c>
      <c r="AL47" s="152" t="s">
        <v>1656</v>
      </c>
      <c r="AM47" s="152" t="s">
        <v>2</v>
      </c>
      <c r="AN47" s="152" t="s">
        <v>422</v>
      </c>
      <c r="AO47" s="152" t="s">
        <v>1998</v>
      </c>
      <c r="AP47" s="152" t="s">
        <v>2</v>
      </c>
      <c r="AQ47" s="302" t="s">
        <v>2</v>
      </c>
    </row>
    <row r="48" spans="1:43" ht="15" customHeight="1">
      <c r="A48" s="72"/>
      <c r="B48" s="84"/>
      <c r="C48" s="91"/>
      <c r="D48" s="301">
        <v>24636</v>
      </c>
      <c r="E48" s="283">
        <v>798103</v>
      </c>
      <c r="F48" s="273">
        <v>17168</v>
      </c>
      <c r="G48" s="274" t="s">
        <v>1480</v>
      </c>
      <c r="H48" s="274" t="s">
        <v>420</v>
      </c>
      <c r="I48" s="274" t="s">
        <v>9</v>
      </c>
      <c r="J48" s="274" t="s">
        <v>398</v>
      </c>
      <c r="K48" s="275">
        <v>0.4916666666666667</v>
      </c>
      <c r="L48" s="275">
        <v>0.83333333333333337</v>
      </c>
      <c r="M48" s="275">
        <v>0.34166666666666667</v>
      </c>
      <c r="N48" s="275">
        <v>0.54166666666666663</v>
      </c>
      <c r="O48" s="275">
        <v>0.625</v>
      </c>
      <c r="P48" s="275">
        <v>0.75</v>
      </c>
      <c r="Q48" s="276">
        <v>41337</v>
      </c>
      <c r="R48" s="284" t="s">
        <v>2</v>
      </c>
      <c r="S48" s="276">
        <v>41360</v>
      </c>
      <c r="T48" s="284" t="s">
        <v>2</v>
      </c>
      <c r="U48" s="274" t="s">
        <v>707</v>
      </c>
      <c r="V48" s="276">
        <v>42046</v>
      </c>
      <c r="W48" s="276">
        <v>42046</v>
      </c>
      <c r="X48" s="276" t="s">
        <v>2</v>
      </c>
      <c r="Y48" s="274" t="s">
        <v>1438</v>
      </c>
      <c r="Z48" s="274" t="s">
        <v>2</v>
      </c>
      <c r="AA48" s="274" t="s">
        <v>2</v>
      </c>
      <c r="AB48" s="276" t="s">
        <v>2</v>
      </c>
      <c r="AC48" s="274" t="s">
        <v>2</v>
      </c>
      <c r="AD48" s="277">
        <v>3590000</v>
      </c>
      <c r="AE48" s="276"/>
      <c r="AF48" s="274" t="s">
        <v>2195</v>
      </c>
      <c r="AG48" s="274" t="s">
        <v>775</v>
      </c>
      <c r="AH48" s="274" t="s">
        <v>2197</v>
      </c>
      <c r="AI48" s="274" t="s">
        <v>89</v>
      </c>
      <c r="AJ48" s="281">
        <v>810174</v>
      </c>
      <c r="AK48" s="152" t="s">
        <v>1828</v>
      </c>
      <c r="AL48" s="152" t="s">
        <v>1657</v>
      </c>
      <c r="AM48" s="152" t="s">
        <v>2</v>
      </c>
      <c r="AN48" s="152" t="s">
        <v>422</v>
      </c>
      <c r="AO48" s="152" t="s">
        <v>1999</v>
      </c>
      <c r="AP48" s="152" t="s">
        <v>2</v>
      </c>
      <c r="AQ48" s="302" t="s">
        <v>2</v>
      </c>
    </row>
    <row r="49" spans="1:43" ht="15" customHeight="1">
      <c r="A49" s="72"/>
      <c r="B49" s="84"/>
      <c r="C49" s="91"/>
      <c r="D49" s="301">
        <v>29842</v>
      </c>
      <c r="E49" s="283">
        <v>868156</v>
      </c>
      <c r="F49" s="273">
        <v>17062</v>
      </c>
      <c r="G49" s="274" t="s">
        <v>1481</v>
      </c>
      <c r="H49" s="274" t="s">
        <v>420</v>
      </c>
      <c r="I49" s="274" t="s">
        <v>9</v>
      </c>
      <c r="J49" s="274" t="s">
        <v>398</v>
      </c>
      <c r="K49" s="275">
        <v>0.61111111111111105</v>
      </c>
      <c r="L49" s="275">
        <v>0.875</v>
      </c>
      <c r="M49" s="275">
        <v>0.26388888888888895</v>
      </c>
      <c r="N49" s="275">
        <v>0.65277777777777779</v>
      </c>
      <c r="O49" s="275">
        <v>0.77083333333333337</v>
      </c>
      <c r="P49" s="275">
        <v>0.83333333333333337</v>
      </c>
      <c r="Q49" s="276">
        <v>41983</v>
      </c>
      <c r="R49" s="284" t="s">
        <v>2</v>
      </c>
      <c r="S49" s="276">
        <v>42009</v>
      </c>
      <c r="T49" s="284" t="s">
        <v>2</v>
      </c>
      <c r="U49" s="274" t="s">
        <v>707</v>
      </c>
      <c r="V49" s="276">
        <v>42053</v>
      </c>
      <c r="W49" s="276" t="s">
        <v>2</v>
      </c>
      <c r="X49" s="276" t="s">
        <v>2</v>
      </c>
      <c r="Y49" s="274" t="s">
        <v>2198</v>
      </c>
      <c r="Z49" s="274" t="s">
        <v>2</v>
      </c>
      <c r="AA49" s="274" t="s">
        <v>2</v>
      </c>
      <c r="AB49" s="276" t="s">
        <v>2</v>
      </c>
      <c r="AC49" s="274" t="s">
        <v>2</v>
      </c>
      <c r="AD49" s="277">
        <v>2758020</v>
      </c>
      <c r="AE49" s="276"/>
      <c r="AF49" s="274" t="s">
        <v>2189</v>
      </c>
      <c r="AG49" s="274" t="s">
        <v>775</v>
      </c>
      <c r="AH49" s="274" t="s">
        <v>2197</v>
      </c>
      <c r="AI49" s="274" t="s">
        <v>89</v>
      </c>
      <c r="AJ49" s="281" t="s">
        <v>2</v>
      </c>
      <c r="AK49" s="152" t="s">
        <v>1829</v>
      </c>
      <c r="AL49" s="152" t="s">
        <v>1658</v>
      </c>
      <c r="AM49" s="152" t="s">
        <v>2</v>
      </c>
      <c r="AN49" s="152" t="s">
        <v>422</v>
      </c>
      <c r="AO49" s="152" t="s">
        <v>2000</v>
      </c>
      <c r="AP49" s="152" t="s">
        <v>2</v>
      </c>
      <c r="AQ49" s="302" t="s">
        <v>2</v>
      </c>
    </row>
    <row r="50" spans="1:43" ht="15" customHeight="1">
      <c r="A50" s="72"/>
      <c r="B50" s="84"/>
      <c r="C50" s="91"/>
      <c r="D50" s="301">
        <v>29858</v>
      </c>
      <c r="E50" s="283">
        <v>868174</v>
      </c>
      <c r="F50" s="273">
        <v>17096</v>
      </c>
      <c r="G50" s="274" t="s">
        <v>1482</v>
      </c>
      <c r="H50" s="274" t="s">
        <v>420</v>
      </c>
      <c r="I50" s="274" t="s">
        <v>16</v>
      </c>
      <c r="J50" s="274" t="s">
        <v>398</v>
      </c>
      <c r="K50" s="275">
        <v>0.63888888888888895</v>
      </c>
      <c r="L50" s="275">
        <v>0.90277777777777779</v>
      </c>
      <c r="M50" s="275">
        <v>0.26388888888888884</v>
      </c>
      <c r="N50" s="275">
        <v>0.68055555555555547</v>
      </c>
      <c r="O50" s="275">
        <v>0.80555555555555547</v>
      </c>
      <c r="P50" s="275">
        <v>0.86111111111111116</v>
      </c>
      <c r="Q50" s="276">
        <v>41983</v>
      </c>
      <c r="R50" s="284" t="s">
        <v>2</v>
      </c>
      <c r="S50" s="276">
        <v>42009</v>
      </c>
      <c r="T50" s="284" t="s">
        <v>2</v>
      </c>
      <c r="U50" s="274" t="s">
        <v>707</v>
      </c>
      <c r="V50" s="276">
        <v>42037</v>
      </c>
      <c r="W50" s="276">
        <v>42037</v>
      </c>
      <c r="X50" s="276" t="s">
        <v>2</v>
      </c>
      <c r="Y50" s="274" t="s">
        <v>2</v>
      </c>
      <c r="Z50" s="274" t="s">
        <v>2202</v>
      </c>
      <c r="AA50" s="274" t="s">
        <v>398</v>
      </c>
      <c r="AB50" s="276" t="s">
        <v>2204</v>
      </c>
      <c r="AC50" s="274">
        <v>42037</v>
      </c>
      <c r="AD50" s="277" t="s">
        <v>2149</v>
      </c>
      <c r="AE50" s="276"/>
      <c r="AF50" s="274" t="s">
        <v>2194</v>
      </c>
      <c r="AG50" s="274" t="s">
        <v>775</v>
      </c>
      <c r="AH50" s="274" t="s">
        <v>2197</v>
      </c>
      <c r="AI50" s="274" t="s">
        <v>89</v>
      </c>
      <c r="AJ50" s="281" t="s">
        <v>2</v>
      </c>
      <c r="AK50" s="152" t="s">
        <v>1830</v>
      </c>
      <c r="AL50" s="152" t="s">
        <v>1659</v>
      </c>
      <c r="AM50" s="152" t="s">
        <v>2</v>
      </c>
      <c r="AN50" s="152" t="s">
        <v>422</v>
      </c>
      <c r="AO50" s="152" t="s">
        <v>2001</v>
      </c>
      <c r="AP50" s="152" t="s">
        <v>2</v>
      </c>
      <c r="AQ50" s="302" t="s">
        <v>2</v>
      </c>
    </row>
    <row r="51" spans="1:43" ht="15" customHeight="1">
      <c r="A51" s="72"/>
      <c r="B51" s="84"/>
      <c r="C51" s="91"/>
      <c r="D51" s="301">
        <v>27859</v>
      </c>
      <c r="E51" s="283">
        <v>833813</v>
      </c>
      <c r="F51" s="273">
        <v>12439</v>
      </c>
      <c r="G51" s="274" t="s">
        <v>1483</v>
      </c>
      <c r="H51" s="274" t="s">
        <v>421</v>
      </c>
      <c r="I51" s="274" t="s">
        <v>9</v>
      </c>
      <c r="J51" s="274" t="s">
        <v>398</v>
      </c>
      <c r="K51" s="275">
        <v>0.35416666666666669</v>
      </c>
      <c r="L51" s="275">
        <v>0.6958333333333333</v>
      </c>
      <c r="M51" s="275">
        <v>0.34166666666666662</v>
      </c>
      <c r="N51" s="275">
        <v>0.41666666666666669</v>
      </c>
      <c r="O51" s="275">
        <v>0.54166666666666663</v>
      </c>
      <c r="P51" s="275">
        <v>0.65277777777777779</v>
      </c>
      <c r="Q51" s="276">
        <v>41704</v>
      </c>
      <c r="R51" s="284" t="s">
        <v>2</v>
      </c>
      <c r="S51" s="276">
        <v>41727</v>
      </c>
      <c r="T51" s="284" t="s">
        <v>2</v>
      </c>
      <c r="U51" s="274" t="s">
        <v>707</v>
      </c>
      <c r="V51" s="276">
        <v>42045</v>
      </c>
      <c r="W51" s="276">
        <v>42045</v>
      </c>
      <c r="X51" s="276" t="s">
        <v>2</v>
      </c>
      <c r="Y51" s="274" t="s">
        <v>1438</v>
      </c>
      <c r="Z51" s="274" t="s">
        <v>2</v>
      </c>
      <c r="AA51" s="274" t="s">
        <v>2</v>
      </c>
      <c r="AB51" s="276" t="s">
        <v>2</v>
      </c>
      <c r="AC51" s="274" t="s">
        <v>2</v>
      </c>
      <c r="AD51" s="277" t="s">
        <v>2150</v>
      </c>
      <c r="AE51" s="276"/>
      <c r="AF51" s="274" t="s">
        <v>2190</v>
      </c>
      <c r="AG51" s="274" t="s">
        <v>775</v>
      </c>
      <c r="AH51" s="274" t="s">
        <v>2197</v>
      </c>
      <c r="AI51" s="274" t="s">
        <v>89</v>
      </c>
      <c r="AJ51" s="281">
        <v>810153</v>
      </c>
      <c r="AK51" s="152" t="s">
        <v>1831</v>
      </c>
      <c r="AL51" s="152" t="s">
        <v>1660</v>
      </c>
      <c r="AM51" s="152" t="s">
        <v>2</v>
      </c>
      <c r="AN51" s="152" t="s">
        <v>422</v>
      </c>
      <c r="AO51" s="152" t="s">
        <v>2002</v>
      </c>
      <c r="AP51" s="152" t="s">
        <v>1249</v>
      </c>
      <c r="AQ51" s="302" t="s">
        <v>1249</v>
      </c>
    </row>
    <row r="52" spans="1:43" ht="15" customHeight="1">
      <c r="A52" s="72"/>
      <c r="B52" s="84"/>
      <c r="C52" s="91"/>
      <c r="D52" s="301">
        <v>29910</v>
      </c>
      <c r="E52" s="283">
        <v>869760</v>
      </c>
      <c r="F52" s="273">
        <v>17038</v>
      </c>
      <c r="G52" s="274" t="s">
        <v>1484</v>
      </c>
      <c r="H52" s="274" t="s">
        <v>421</v>
      </c>
      <c r="I52" s="274" t="s">
        <v>9</v>
      </c>
      <c r="J52" s="274" t="s">
        <v>398</v>
      </c>
      <c r="K52" s="275">
        <v>0.375</v>
      </c>
      <c r="L52" s="275">
        <v>0.63888888888888895</v>
      </c>
      <c r="M52" s="275">
        <v>0.2638888888888889</v>
      </c>
      <c r="N52" s="275">
        <v>0.4236111111111111</v>
      </c>
      <c r="O52" s="275">
        <v>0.52777777777777779</v>
      </c>
      <c r="P52" s="275">
        <v>0.59027777777777779</v>
      </c>
      <c r="Q52" s="276">
        <v>42010</v>
      </c>
      <c r="R52" s="284" t="s">
        <v>2</v>
      </c>
      <c r="S52" s="276">
        <v>42036</v>
      </c>
      <c r="T52" s="284" t="s">
        <v>2</v>
      </c>
      <c r="U52" s="274" t="s">
        <v>708</v>
      </c>
      <c r="V52" s="276">
        <v>42054</v>
      </c>
      <c r="W52" s="276">
        <v>42054</v>
      </c>
      <c r="X52" s="276" t="s">
        <v>2</v>
      </c>
      <c r="Y52" s="274" t="s">
        <v>2199</v>
      </c>
      <c r="Z52" s="274" t="s">
        <v>2</v>
      </c>
      <c r="AA52" s="274" t="s">
        <v>2</v>
      </c>
      <c r="AB52" s="276" t="s">
        <v>2</v>
      </c>
      <c r="AC52" s="274" t="s">
        <v>2</v>
      </c>
      <c r="AD52" s="277">
        <v>4429290</v>
      </c>
      <c r="AE52" s="276"/>
      <c r="AF52" s="274" t="s">
        <v>2188</v>
      </c>
      <c r="AG52" s="274" t="s">
        <v>775</v>
      </c>
      <c r="AH52" s="274" t="s">
        <v>2197</v>
      </c>
      <c r="AI52" s="274" t="s">
        <v>89</v>
      </c>
      <c r="AJ52" s="281" t="s">
        <v>2</v>
      </c>
      <c r="AK52" s="152" t="s">
        <v>1832</v>
      </c>
      <c r="AL52" s="152" t="s">
        <v>1661</v>
      </c>
      <c r="AM52" s="152" t="s">
        <v>2</v>
      </c>
      <c r="AN52" s="152" t="s">
        <v>422</v>
      </c>
      <c r="AO52" s="152" t="s">
        <v>2003</v>
      </c>
      <c r="AP52" s="152" t="s">
        <v>2</v>
      </c>
      <c r="AQ52" s="302" t="s">
        <v>2</v>
      </c>
    </row>
    <row r="53" spans="1:43" ht="15" customHeight="1">
      <c r="A53" s="72"/>
      <c r="B53" s="84"/>
      <c r="C53" s="91"/>
      <c r="D53" s="301">
        <v>29876</v>
      </c>
      <c r="E53" s="283">
        <v>868192</v>
      </c>
      <c r="F53" s="273">
        <v>17048</v>
      </c>
      <c r="G53" s="274" t="s">
        <v>1485</v>
      </c>
      <c r="H53" s="274" t="s">
        <v>421</v>
      </c>
      <c r="I53" s="274" t="s">
        <v>9</v>
      </c>
      <c r="J53" s="274" t="s">
        <v>398</v>
      </c>
      <c r="K53" s="275">
        <v>0.375</v>
      </c>
      <c r="L53" s="275">
        <v>0.63888888888888895</v>
      </c>
      <c r="M53" s="275">
        <v>0.26388888888888895</v>
      </c>
      <c r="N53" s="275">
        <v>0.4236111111111111</v>
      </c>
      <c r="O53" s="275">
        <v>0.52777777777777779</v>
      </c>
      <c r="P53" s="275">
        <v>0.59027777777777779</v>
      </c>
      <c r="Q53" s="276">
        <v>41983</v>
      </c>
      <c r="R53" s="284" t="s">
        <v>2</v>
      </c>
      <c r="S53" s="276">
        <v>42009</v>
      </c>
      <c r="T53" s="284" t="s">
        <v>2</v>
      </c>
      <c r="U53" s="274" t="s">
        <v>707</v>
      </c>
      <c r="V53" s="276">
        <v>42048</v>
      </c>
      <c r="W53" s="276">
        <v>42048</v>
      </c>
      <c r="X53" s="276" t="s">
        <v>2</v>
      </c>
      <c r="Y53" s="274" t="s">
        <v>2198</v>
      </c>
      <c r="Z53" s="274" t="s">
        <v>2</v>
      </c>
      <c r="AA53" s="274" t="s">
        <v>2</v>
      </c>
      <c r="AB53" s="276" t="s">
        <v>2</v>
      </c>
      <c r="AC53" s="274" t="s">
        <v>2</v>
      </c>
      <c r="AD53" s="277" t="s">
        <v>2151</v>
      </c>
      <c r="AE53" s="276"/>
      <c r="AF53" s="274" t="s">
        <v>2196</v>
      </c>
      <c r="AG53" s="274" t="s">
        <v>775</v>
      </c>
      <c r="AH53" s="274" t="s">
        <v>2197</v>
      </c>
      <c r="AI53" s="274" t="s">
        <v>89</v>
      </c>
      <c r="AJ53" s="281" t="s">
        <v>2</v>
      </c>
      <c r="AK53" s="152" t="s">
        <v>1833</v>
      </c>
      <c r="AL53" s="152" t="s">
        <v>1662</v>
      </c>
      <c r="AM53" s="152" t="s">
        <v>2</v>
      </c>
      <c r="AN53" s="152" t="s">
        <v>422</v>
      </c>
      <c r="AO53" s="152" t="s">
        <v>2004</v>
      </c>
      <c r="AP53" s="152" t="s">
        <v>2</v>
      </c>
      <c r="AQ53" s="302" t="s">
        <v>2</v>
      </c>
    </row>
    <row r="54" spans="1:43" ht="15" customHeight="1">
      <c r="A54" s="72"/>
      <c r="B54" s="84"/>
      <c r="C54" s="91"/>
      <c r="D54" s="301">
        <v>27535</v>
      </c>
      <c r="E54" s="283">
        <v>831273</v>
      </c>
      <c r="F54" s="273">
        <v>12156</v>
      </c>
      <c r="G54" s="274" t="s">
        <v>1486</v>
      </c>
      <c r="H54" s="274" t="s">
        <v>424</v>
      </c>
      <c r="I54" s="274" t="s">
        <v>9</v>
      </c>
      <c r="J54" s="274" t="s">
        <v>401</v>
      </c>
      <c r="K54" s="275">
        <v>0.375</v>
      </c>
      <c r="L54" s="275">
        <v>0.71666666666666656</v>
      </c>
      <c r="M54" s="275">
        <v>0.34166666666666662</v>
      </c>
      <c r="N54" s="275" t="s">
        <v>2</v>
      </c>
      <c r="O54" s="275" t="s">
        <v>2</v>
      </c>
      <c r="P54" s="275" t="s">
        <v>2</v>
      </c>
      <c r="Q54" s="276">
        <v>41676</v>
      </c>
      <c r="R54" s="284" t="s">
        <v>2</v>
      </c>
      <c r="S54" s="276">
        <v>41708</v>
      </c>
      <c r="T54" s="284" t="s">
        <v>2</v>
      </c>
      <c r="U54" s="274" t="s">
        <v>707</v>
      </c>
      <c r="V54" s="276">
        <v>42048</v>
      </c>
      <c r="W54" s="276">
        <v>42048</v>
      </c>
      <c r="X54" s="276" t="s">
        <v>2</v>
      </c>
      <c r="Y54" s="274" t="s">
        <v>1438</v>
      </c>
      <c r="Z54" s="274" t="s">
        <v>2</v>
      </c>
      <c r="AA54" s="274" t="s">
        <v>2</v>
      </c>
      <c r="AB54" s="276" t="s">
        <v>2</v>
      </c>
      <c r="AC54" s="274" t="s">
        <v>2</v>
      </c>
      <c r="AD54" s="277" t="s">
        <v>2152</v>
      </c>
      <c r="AE54" s="276"/>
      <c r="AF54" s="274" t="s">
        <v>2191</v>
      </c>
      <c r="AG54" s="274" t="s">
        <v>775</v>
      </c>
      <c r="AH54" s="274" t="s">
        <v>2197</v>
      </c>
      <c r="AI54" s="274" t="s">
        <v>89</v>
      </c>
      <c r="AJ54" s="281" t="s">
        <v>2</v>
      </c>
      <c r="AK54" s="152" t="s">
        <v>1834</v>
      </c>
      <c r="AL54" s="152" t="s">
        <v>1663</v>
      </c>
      <c r="AM54" s="152" t="s">
        <v>2</v>
      </c>
      <c r="AN54" s="152" t="s">
        <v>2</v>
      </c>
      <c r="AO54" s="152" t="s">
        <v>2005</v>
      </c>
      <c r="AP54" s="152" t="s">
        <v>2</v>
      </c>
      <c r="AQ54" s="302" t="s">
        <v>2</v>
      </c>
    </row>
    <row r="55" spans="1:43" ht="15" customHeight="1">
      <c r="A55" s="72"/>
      <c r="B55" s="84"/>
      <c r="C55" s="91"/>
      <c r="D55" s="301">
        <v>15262</v>
      </c>
      <c r="E55" s="283">
        <v>719377</v>
      </c>
      <c r="F55" s="273">
        <v>12739</v>
      </c>
      <c r="G55" s="274" t="s">
        <v>1487</v>
      </c>
      <c r="H55" s="274" t="s">
        <v>424</v>
      </c>
      <c r="I55" s="274" t="s">
        <v>9</v>
      </c>
      <c r="J55" s="274" t="s">
        <v>401</v>
      </c>
      <c r="K55" s="275">
        <v>0.3888888888888889</v>
      </c>
      <c r="L55" s="275">
        <v>0.76388888888888884</v>
      </c>
      <c r="M55" s="275">
        <v>0.37499999999999994</v>
      </c>
      <c r="N55" s="275" t="s">
        <v>2</v>
      </c>
      <c r="O55" s="275" t="s">
        <v>2</v>
      </c>
      <c r="P55" s="275" t="s">
        <v>2</v>
      </c>
      <c r="Q55" s="276">
        <v>40588</v>
      </c>
      <c r="R55" s="284" t="s">
        <v>2</v>
      </c>
      <c r="S55" s="276">
        <v>40611</v>
      </c>
      <c r="T55" s="284" t="s">
        <v>2</v>
      </c>
      <c r="U55" s="274" t="s">
        <v>707</v>
      </c>
      <c r="V55" s="276">
        <v>42037</v>
      </c>
      <c r="W55" s="276">
        <v>42037</v>
      </c>
      <c r="X55" s="276" t="s">
        <v>2</v>
      </c>
      <c r="Y55" s="274" t="s">
        <v>1438</v>
      </c>
      <c r="Z55" s="274" t="s">
        <v>2</v>
      </c>
      <c r="AA55" s="274" t="s">
        <v>2</v>
      </c>
      <c r="AB55" s="276" t="s">
        <v>2</v>
      </c>
      <c r="AC55" s="274" t="s">
        <v>2</v>
      </c>
      <c r="AD55" s="277">
        <v>3729130</v>
      </c>
      <c r="AE55" s="276"/>
      <c r="AF55" s="274" t="s">
        <v>2195</v>
      </c>
      <c r="AG55" s="274" t="s">
        <v>775</v>
      </c>
      <c r="AH55" s="274" t="s">
        <v>2197</v>
      </c>
      <c r="AI55" s="274" t="s">
        <v>89</v>
      </c>
      <c r="AJ55" s="281" t="s">
        <v>2</v>
      </c>
      <c r="AK55" s="152" t="s">
        <v>1835</v>
      </c>
      <c r="AL55" s="152" t="s">
        <v>1664</v>
      </c>
      <c r="AM55" s="152" t="s">
        <v>2</v>
      </c>
      <c r="AN55" s="152" t="s">
        <v>2</v>
      </c>
      <c r="AO55" s="152" t="s">
        <v>2006</v>
      </c>
      <c r="AP55" s="152" t="s">
        <v>2</v>
      </c>
      <c r="AQ55" s="302" t="s">
        <v>2</v>
      </c>
    </row>
    <row r="56" spans="1:43" ht="15" customHeight="1">
      <c r="A56" s="72"/>
      <c r="B56" s="84"/>
      <c r="C56" s="91"/>
      <c r="D56" s="301">
        <v>26925</v>
      </c>
      <c r="E56" s="283">
        <v>823975</v>
      </c>
      <c r="F56" s="273">
        <v>17035</v>
      </c>
      <c r="G56" s="274" t="s">
        <v>1488</v>
      </c>
      <c r="H56" s="274" t="s">
        <v>414</v>
      </c>
      <c r="I56" s="274" t="s">
        <v>9</v>
      </c>
      <c r="J56" s="274" t="s">
        <v>403</v>
      </c>
      <c r="K56" s="275">
        <v>0.35416666666666669</v>
      </c>
      <c r="L56" s="275">
        <v>0.6958333333333333</v>
      </c>
      <c r="M56" s="275">
        <v>0.34166666666666662</v>
      </c>
      <c r="N56" s="275">
        <v>0.43055555555555558</v>
      </c>
      <c r="O56" s="275">
        <v>0.52083333333333337</v>
      </c>
      <c r="P56" s="275">
        <v>0.625</v>
      </c>
      <c r="Q56" s="276">
        <v>41584</v>
      </c>
      <c r="R56" s="284" t="s">
        <v>2</v>
      </c>
      <c r="S56" s="276">
        <v>41619</v>
      </c>
      <c r="T56" s="284" t="s">
        <v>2</v>
      </c>
      <c r="U56" s="274" t="s">
        <v>707</v>
      </c>
      <c r="V56" s="276">
        <v>42044</v>
      </c>
      <c r="W56" s="276">
        <v>42044</v>
      </c>
      <c r="X56" s="276" t="s">
        <v>2</v>
      </c>
      <c r="Y56" s="274" t="s">
        <v>1438</v>
      </c>
      <c r="Z56" s="274" t="s">
        <v>2</v>
      </c>
      <c r="AA56" s="274" t="s">
        <v>2</v>
      </c>
      <c r="AB56" s="276" t="s">
        <v>2</v>
      </c>
      <c r="AC56" s="274" t="s">
        <v>2</v>
      </c>
      <c r="AD56" s="277" t="s">
        <v>2</v>
      </c>
      <c r="AE56" s="276"/>
      <c r="AF56" s="274" t="s">
        <v>2</v>
      </c>
      <c r="AG56" s="274" t="s">
        <v>775</v>
      </c>
      <c r="AH56" s="274" t="s">
        <v>2197</v>
      </c>
      <c r="AI56" s="274" t="s">
        <v>89</v>
      </c>
      <c r="AJ56" s="281">
        <v>810042</v>
      </c>
      <c r="AK56" s="152" t="s">
        <v>1836</v>
      </c>
      <c r="AL56" s="152" t="s">
        <v>1665</v>
      </c>
      <c r="AM56" s="152" t="s">
        <v>2</v>
      </c>
      <c r="AN56" s="152" t="s">
        <v>422</v>
      </c>
      <c r="AO56" s="152" t="s">
        <v>2007</v>
      </c>
      <c r="AP56" s="152" t="s">
        <v>2</v>
      </c>
      <c r="AQ56" s="302" t="s">
        <v>2</v>
      </c>
    </row>
    <row r="57" spans="1:43" ht="15" customHeight="1">
      <c r="A57" s="72"/>
      <c r="B57" s="84"/>
      <c r="C57" s="91"/>
      <c r="D57" s="301">
        <v>29841</v>
      </c>
      <c r="E57" s="283">
        <v>868155</v>
      </c>
      <c r="F57" s="273">
        <v>17064</v>
      </c>
      <c r="G57" s="274" t="s">
        <v>1489</v>
      </c>
      <c r="H57" s="274" t="s">
        <v>417</v>
      </c>
      <c r="I57" s="274" t="s">
        <v>9</v>
      </c>
      <c r="J57" s="274" t="s">
        <v>403</v>
      </c>
      <c r="K57" s="275">
        <v>0.63888888888888895</v>
      </c>
      <c r="L57" s="275">
        <v>0.90277777777777779</v>
      </c>
      <c r="M57" s="275">
        <v>0.26388888888888884</v>
      </c>
      <c r="N57" s="275">
        <v>0.68055555555555547</v>
      </c>
      <c r="O57" s="275">
        <v>0.77777777777777779</v>
      </c>
      <c r="P57" s="275">
        <v>0.86111111111111116</v>
      </c>
      <c r="Q57" s="276">
        <v>41983</v>
      </c>
      <c r="R57" s="284" t="s">
        <v>2</v>
      </c>
      <c r="S57" s="276">
        <v>42009</v>
      </c>
      <c r="T57" s="284" t="s">
        <v>2</v>
      </c>
      <c r="U57" s="274" t="s">
        <v>707</v>
      </c>
      <c r="V57" s="276">
        <v>42038</v>
      </c>
      <c r="W57" s="276">
        <v>42038</v>
      </c>
      <c r="X57" s="276" t="s">
        <v>2</v>
      </c>
      <c r="Y57" s="274" t="s">
        <v>1438</v>
      </c>
      <c r="Z57" s="274" t="s">
        <v>2</v>
      </c>
      <c r="AA57" s="274" t="s">
        <v>2</v>
      </c>
      <c r="AB57" s="276" t="s">
        <v>2</v>
      </c>
      <c r="AC57" s="274" t="s">
        <v>2</v>
      </c>
      <c r="AD57" s="277">
        <v>6535415</v>
      </c>
      <c r="AE57" s="276"/>
      <c r="AF57" s="274" t="s">
        <v>2193</v>
      </c>
      <c r="AG57" s="274" t="s">
        <v>775</v>
      </c>
      <c r="AH57" s="274" t="s">
        <v>2197</v>
      </c>
      <c r="AI57" s="274" t="s">
        <v>89</v>
      </c>
      <c r="AJ57" s="281" t="s">
        <v>2</v>
      </c>
      <c r="AK57" s="152" t="s">
        <v>1837</v>
      </c>
      <c r="AL57" s="152" t="s">
        <v>1666</v>
      </c>
      <c r="AM57" s="152" t="s">
        <v>2</v>
      </c>
      <c r="AN57" s="152" t="s">
        <v>422</v>
      </c>
      <c r="AO57" s="152" t="s">
        <v>2008</v>
      </c>
      <c r="AP57" s="152" t="s">
        <v>2</v>
      </c>
      <c r="AQ57" s="302" t="s">
        <v>2</v>
      </c>
    </row>
    <row r="58" spans="1:43" ht="15" customHeight="1">
      <c r="A58" s="72"/>
      <c r="B58" s="84"/>
      <c r="C58" s="91"/>
      <c r="D58" s="301">
        <v>23920</v>
      </c>
      <c r="E58" s="283">
        <v>792971</v>
      </c>
      <c r="F58" s="273">
        <v>12023</v>
      </c>
      <c r="G58" s="274" t="s">
        <v>1490</v>
      </c>
      <c r="H58" s="274" t="s">
        <v>417</v>
      </c>
      <c r="I58" s="274" t="s">
        <v>9</v>
      </c>
      <c r="J58" s="274" t="s">
        <v>403</v>
      </c>
      <c r="K58" s="275">
        <v>0.65277777777777779</v>
      </c>
      <c r="L58" s="275">
        <v>0.91666666666666663</v>
      </c>
      <c r="M58" s="275">
        <v>0.26388888888888884</v>
      </c>
      <c r="N58" s="275">
        <v>0.70833333333333337</v>
      </c>
      <c r="O58" s="275">
        <v>0.79166666666666663</v>
      </c>
      <c r="P58" s="275">
        <v>0.86805555555555547</v>
      </c>
      <c r="Q58" s="276">
        <v>41285</v>
      </c>
      <c r="R58" s="284" t="s">
        <v>2</v>
      </c>
      <c r="S58" s="276">
        <v>41308</v>
      </c>
      <c r="T58" s="284" t="s">
        <v>2</v>
      </c>
      <c r="U58" s="274" t="s">
        <v>707</v>
      </c>
      <c r="V58" s="276">
        <v>42059</v>
      </c>
      <c r="W58" s="276">
        <v>42059</v>
      </c>
      <c r="X58" s="276" t="s">
        <v>2</v>
      </c>
      <c r="Y58" s="274" t="s">
        <v>1438</v>
      </c>
      <c r="Z58" s="274" t="s">
        <v>2</v>
      </c>
      <c r="AA58" s="274" t="s">
        <v>2</v>
      </c>
      <c r="AB58" s="276" t="s">
        <v>2</v>
      </c>
      <c r="AC58" s="274" t="s">
        <v>2</v>
      </c>
      <c r="AD58" s="277">
        <v>5752600</v>
      </c>
      <c r="AE58" s="276"/>
      <c r="AF58" s="274" t="s">
        <v>2191</v>
      </c>
      <c r="AG58" s="274" t="s">
        <v>775</v>
      </c>
      <c r="AH58" s="274" t="s">
        <v>2197</v>
      </c>
      <c r="AI58" s="274" t="s">
        <v>89</v>
      </c>
      <c r="AJ58" s="281" t="s">
        <v>2</v>
      </c>
      <c r="AK58" s="152" t="s">
        <v>1838</v>
      </c>
      <c r="AL58" s="152" t="s">
        <v>1667</v>
      </c>
      <c r="AM58" s="152" t="s">
        <v>2</v>
      </c>
      <c r="AN58" s="152" t="s">
        <v>422</v>
      </c>
      <c r="AO58" s="152" t="s">
        <v>2009</v>
      </c>
      <c r="AP58" s="152" t="s">
        <v>1249</v>
      </c>
      <c r="AQ58" s="302" t="s">
        <v>2</v>
      </c>
    </row>
    <row r="59" spans="1:43" ht="15" customHeight="1">
      <c r="A59" s="72"/>
      <c r="B59" s="84"/>
      <c r="C59" s="91"/>
      <c r="D59" s="301">
        <v>29844</v>
      </c>
      <c r="E59" s="283">
        <v>868159</v>
      </c>
      <c r="F59" s="273">
        <v>17077</v>
      </c>
      <c r="G59" s="274" t="s">
        <v>1491</v>
      </c>
      <c r="H59" s="274" t="s">
        <v>417</v>
      </c>
      <c r="I59" s="274" t="s">
        <v>9</v>
      </c>
      <c r="J59" s="274" t="s">
        <v>403</v>
      </c>
      <c r="K59" s="275">
        <v>0.65277777777777779</v>
      </c>
      <c r="L59" s="275">
        <v>0.91666666666666663</v>
      </c>
      <c r="M59" s="275">
        <v>0.26388888888888884</v>
      </c>
      <c r="N59" s="275">
        <v>0.70833333333333337</v>
      </c>
      <c r="O59" s="275">
        <v>0.80555555555555547</v>
      </c>
      <c r="P59" s="275">
        <v>0.86805555555555547</v>
      </c>
      <c r="Q59" s="276">
        <v>41983</v>
      </c>
      <c r="R59" s="284" t="s">
        <v>2</v>
      </c>
      <c r="S59" s="276">
        <v>42009</v>
      </c>
      <c r="T59" s="284" t="s">
        <v>2</v>
      </c>
      <c r="U59" s="274" t="s">
        <v>707</v>
      </c>
      <c r="V59" s="276">
        <v>42053</v>
      </c>
      <c r="W59" s="276">
        <v>42059</v>
      </c>
      <c r="X59" s="276" t="s">
        <v>2</v>
      </c>
      <c r="Y59" s="274" t="s">
        <v>1438</v>
      </c>
      <c r="Z59" s="274" t="s">
        <v>2</v>
      </c>
      <c r="AA59" s="274" t="s">
        <v>2</v>
      </c>
      <c r="AB59" s="276" t="s">
        <v>2</v>
      </c>
      <c r="AC59" s="274" t="s">
        <v>2</v>
      </c>
      <c r="AD59" s="277">
        <v>4849065</v>
      </c>
      <c r="AE59" s="276"/>
      <c r="AF59" s="274" t="s">
        <v>2188</v>
      </c>
      <c r="AG59" s="274" t="s">
        <v>775</v>
      </c>
      <c r="AH59" s="274" t="s">
        <v>2197</v>
      </c>
      <c r="AI59" s="274" t="s">
        <v>89</v>
      </c>
      <c r="AJ59" s="281" t="s">
        <v>2</v>
      </c>
      <c r="AK59" s="152" t="s">
        <v>1839</v>
      </c>
      <c r="AL59" s="152" t="s">
        <v>1668</v>
      </c>
      <c r="AM59" s="152" t="s">
        <v>2</v>
      </c>
      <c r="AN59" s="152" t="s">
        <v>422</v>
      </c>
      <c r="AO59" s="152" t="s">
        <v>2010</v>
      </c>
      <c r="AP59" s="152" t="s">
        <v>2</v>
      </c>
      <c r="AQ59" s="302" t="s">
        <v>2</v>
      </c>
    </row>
    <row r="60" spans="1:43" ht="15" customHeight="1">
      <c r="A60" s="72"/>
      <c r="B60" s="84"/>
      <c r="C60" s="91"/>
      <c r="D60" s="301">
        <v>29899</v>
      </c>
      <c r="E60" s="283">
        <v>868215</v>
      </c>
      <c r="F60" s="273">
        <v>17040</v>
      </c>
      <c r="G60" s="274" t="s">
        <v>1492</v>
      </c>
      <c r="H60" s="274" t="s">
        <v>418</v>
      </c>
      <c r="I60" s="274" t="s">
        <v>9</v>
      </c>
      <c r="J60" s="274" t="s">
        <v>403</v>
      </c>
      <c r="K60" s="275">
        <v>0.33333333333333331</v>
      </c>
      <c r="L60" s="275">
        <v>0.59722222222222221</v>
      </c>
      <c r="M60" s="275">
        <v>0.2638888888888889</v>
      </c>
      <c r="N60" s="275">
        <v>0.3888888888888889</v>
      </c>
      <c r="O60" s="275">
        <v>0.5</v>
      </c>
      <c r="P60" s="275">
        <v>0.55555555555555558</v>
      </c>
      <c r="Q60" s="276">
        <v>41983</v>
      </c>
      <c r="R60" s="284" t="s">
        <v>2</v>
      </c>
      <c r="S60" s="276">
        <v>42009</v>
      </c>
      <c r="T60" s="284" t="s">
        <v>2</v>
      </c>
      <c r="U60" s="274" t="s">
        <v>707</v>
      </c>
      <c r="V60" s="276">
        <v>42041</v>
      </c>
      <c r="W60" s="276">
        <v>42041</v>
      </c>
      <c r="X60" s="276" t="s">
        <v>2</v>
      </c>
      <c r="Y60" s="274" t="s">
        <v>1438</v>
      </c>
      <c r="Z60" s="274" t="s">
        <v>2</v>
      </c>
      <c r="AA60" s="274" t="s">
        <v>2</v>
      </c>
      <c r="AB60" s="276" t="s">
        <v>2</v>
      </c>
      <c r="AC60" s="274" t="s">
        <v>2</v>
      </c>
      <c r="AD60" s="277">
        <v>3572000</v>
      </c>
      <c r="AE60" s="276"/>
      <c r="AF60" s="274" t="s">
        <v>2195</v>
      </c>
      <c r="AG60" s="274" t="s">
        <v>775</v>
      </c>
      <c r="AH60" s="274" t="s">
        <v>2197</v>
      </c>
      <c r="AI60" s="274" t="s">
        <v>89</v>
      </c>
      <c r="AJ60" s="281" t="s">
        <v>2</v>
      </c>
      <c r="AK60" s="152" t="s">
        <v>1840</v>
      </c>
      <c r="AL60" s="152" t="s">
        <v>1669</v>
      </c>
      <c r="AM60" s="152" t="s">
        <v>2</v>
      </c>
      <c r="AN60" s="152" t="s">
        <v>422</v>
      </c>
      <c r="AO60" s="152" t="s">
        <v>2011</v>
      </c>
      <c r="AP60" s="152" t="s">
        <v>2</v>
      </c>
      <c r="AQ60" s="302" t="s">
        <v>2</v>
      </c>
    </row>
    <row r="61" spans="1:43" ht="15" customHeight="1">
      <c r="A61" s="72"/>
      <c r="B61" s="84"/>
      <c r="C61" s="91"/>
      <c r="D61" s="301">
        <v>24186</v>
      </c>
      <c r="E61" s="283">
        <v>795220</v>
      </c>
      <c r="F61" s="273">
        <v>17080</v>
      </c>
      <c r="G61" s="274" t="s">
        <v>1493</v>
      </c>
      <c r="H61" s="274" t="s">
        <v>418</v>
      </c>
      <c r="I61" s="274" t="s">
        <v>9</v>
      </c>
      <c r="J61" s="274" t="s">
        <v>403</v>
      </c>
      <c r="K61" s="275">
        <v>0.41666666666666669</v>
      </c>
      <c r="L61" s="275">
        <v>0.68055555555555558</v>
      </c>
      <c r="M61" s="275">
        <v>0.2638888888888889</v>
      </c>
      <c r="N61" s="275">
        <v>0.47916666666666669</v>
      </c>
      <c r="O61" s="275">
        <v>0.58333333333333337</v>
      </c>
      <c r="P61" s="275">
        <v>0.63888888888888895</v>
      </c>
      <c r="Q61" s="276">
        <v>41306</v>
      </c>
      <c r="R61" s="284" t="s">
        <v>2</v>
      </c>
      <c r="S61" s="276">
        <v>41329</v>
      </c>
      <c r="T61" s="284" t="s">
        <v>2</v>
      </c>
      <c r="U61" s="274" t="s">
        <v>707</v>
      </c>
      <c r="V61" s="276">
        <v>42045</v>
      </c>
      <c r="W61" s="276">
        <v>42044</v>
      </c>
      <c r="X61" s="276" t="s">
        <v>2</v>
      </c>
      <c r="Y61" s="274" t="s">
        <v>1438</v>
      </c>
      <c r="Z61" s="274" t="s">
        <v>2</v>
      </c>
      <c r="AA61" s="274" t="s">
        <v>2</v>
      </c>
      <c r="AB61" s="276" t="s">
        <v>2</v>
      </c>
      <c r="AC61" s="274" t="s">
        <v>2</v>
      </c>
      <c r="AD61" s="277">
        <v>3810120</v>
      </c>
      <c r="AE61" s="276"/>
      <c r="AF61" s="274" t="s">
        <v>2195</v>
      </c>
      <c r="AG61" s="274" t="s">
        <v>775</v>
      </c>
      <c r="AH61" s="274" t="s">
        <v>2197</v>
      </c>
      <c r="AI61" s="274" t="s">
        <v>89</v>
      </c>
      <c r="AJ61" s="281">
        <v>810091</v>
      </c>
      <c r="AK61" s="152" t="s">
        <v>1841</v>
      </c>
      <c r="AL61" s="152" t="s">
        <v>1670</v>
      </c>
      <c r="AM61" s="152" t="s">
        <v>2</v>
      </c>
      <c r="AN61" s="152" t="s">
        <v>422</v>
      </c>
      <c r="AO61" s="152" t="s">
        <v>2012</v>
      </c>
      <c r="AP61" s="152" t="s">
        <v>2</v>
      </c>
      <c r="AQ61" s="302" t="s">
        <v>2</v>
      </c>
    </row>
    <row r="62" spans="1:43" ht="15" customHeight="1">
      <c r="A62" s="72"/>
      <c r="B62" s="84"/>
      <c r="C62" s="91"/>
      <c r="D62" s="301">
        <v>25536</v>
      </c>
      <c r="E62" s="283">
        <v>805665</v>
      </c>
      <c r="F62" s="273">
        <v>12475</v>
      </c>
      <c r="G62" s="274" t="s">
        <v>1494</v>
      </c>
      <c r="H62" s="274" t="s">
        <v>408</v>
      </c>
      <c r="I62" s="274" t="s">
        <v>9</v>
      </c>
      <c r="J62" s="274" t="s">
        <v>404</v>
      </c>
      <c r="K62" s="275">
        <v>0.33333333333333331</v>
      </c>
      <c r="L62" s="275">
        <v>0.59722222222222221</v>
      </c>
      <c r="M62" s="275">
        <v>0.2638888888888889</v>
      </c>
      <c r="N62" s="275">
        <v>0.39583333333333331</v>
      </c>
      <c r="O62" s="275">
        <v>0.49305555555555558</v>
      </c>
      <c r="P62" s="275">
        <v>0.55555555555555558</v>
      </c>
      <c r="Q62" s="276">
        <v>41410</v>
      </c>
      <c r="R62" s="284" t="s">
        <v>2</v>
      </c>
      <c r="S62" s="276">
        <v>41433</v>
      </c>
      <c r="T62" s="284" t="s">
        <v>2</v>
      </c>
      <c r="U62" s="274" t="s">
        <v>707</v>
      </c>
      <c r="V62" s="276">
        <v>42053</v>
      </c>
      <c r="W62" s="276">
        <v>42053</v>
      </c>
      <c r="X62" s="276" t="s">
        <v>2</v>
      </c>
      <c r="Y62" s="274" t="s">
        <v>1438</v>
      </c>
      <c r="Z62" s="274" t="s">
        <v>2</v>
      </c>
      <c r="AA62" s="274" t="s">
        <v>2</v>
      </c>
      <c r="AB62" s="276" t="s">
        <v>2</v>
      </c>
      <c r="AC62" s="274" t="s">
        <v>2</v>
      </c>
      <c r="AD62" s="277">
        <v>5141010</v>
      </c>
      <c r="AE62" s="276"/>
      <c r="AF62" s="274" t="s">
        <v>2191</v>
      </c>
      <c r="AG62" s="274" t="s">
        <v>775</v>
      </c>
      <c r="AH62" s="274" t="s">
        <v>2197</v>
      </c>
      <c r="AI62" s="274" t="s">
        <v>89</v>
      </c>
      <c r="AJ62" s="281" t="s">
        <v>2</v>
      </c>
      <c r="AK62" s="152" t="s">
        <v>1842</v>
      </c>
      <c r="AL62" s="152" t="s">
        <v>1671</v>
      </c>
      <c r="AM62" s="152" t="s">
        <v>2</v>
      </c>
      <c r="AN62" s="152" t="s">
        <v>2</v>
      </c>
      <c r="AO62" s="152" t="s">
        <v>2013</v>
      </c>
      <c r="AP62" s="152" t="s">
        <v>1249</v>
      </c>
      <c r="AQ62" s="302" t="s">
        <v>2</v>
      </c>
    </row>
    <row r="63" spans="1:43" ht="15" customHeight="1">
      <c r="A63" s="72"/>
      <c r="B63" s="84"/>
      <c r="C63" s="91"/>
      <c r="D63" s="301">
        <v>27007</v>
      </c>
      <c r="E63" s="283">
        <v>824995</v>
      </c>
      <c r="F63" s="273">
        <v>12323</v>
      </c>
      <c r="G63" s="274" t="s">
        <v>1495</v>
      </c>
      <c r="H63" s="274" t="s">
        <v>408</v>
      </c>
      <c r="I63" s="274" t="s">
        <v>9</v>
      </c>
      <c r="J63" s="274" t="s">
        <v>404</v>
      </c>
      <c r="K63" s="275">
        <v>0.59722222222222221</v>
      </c>
      <c r="L63" s="275">
        <v>0.86111111111111105</v>
      </c>
      <c r="M63" s="275">
        <v>0.26388888888888884</v>
      </c>
      <c r="N63" s="275">
        <v>0.65972222222222221</v>
      </c>
      <c r="O63" s="275">
        <v>0.75694444444444453</v>
      </c>
      <c r="P63" s="275">
        <v>0.8125</v>
      </c>
      <c r="Q63" s="276">
        <v>41596</v>
      </c>
      <c r="R63" s="284" t="s">
        <v>2</v>
      </c>
      <c r="S63" s="276">
        <v>41606</v>
      </c>
      <c r="T63" s="284" t="s">
        <v>2</v>
      </c>
      <c r="U63" s="274" t="s">
        <v>707</v>
      </c>
      <c r="V63" s="276">
        <v>42055</v>
      </c>
      <c r="W63" s="276">
        <v>42055</v>
      </c>
      <c r="X63" s="276" t="s">
        <v>2</v>
      </c>
      <c r="Y63" s="274" t="s">
        <v>1438</v>
      </c>
      <c r="Z63" s="274" t="s">
        <v>2</v>
      </c>
      <c r="AA63" s="274" t="s">
        <v>2</v>
      </c>
      <c r="AB63" s="276" t="s">
        <v>2</v>
      </c>
      <c r="AC63" s="274" t="s">
        <v>2</v>
      </c>
      <c r="AD63" s="277" t="s">
        <v>2</v>
      </c>
      <c r="AE63" s="276"/>
      <c r="AF63" s="274" t="s">
        <v>2</v>
      </c>
      <c r="AG63" s="274" t="s">
        <v>775</v>
      </c>
      <c r="AH63" s="274" t="s">
        <v>2197</v>
      </c>
      <c r="AI63" s="274" t="s">
        <v>89</v>
      </c>
      <c r="AJ63" s="281" t="s">
        <v>2</v>
      </c>
      <c r="AK63" s="152" t="s">
        <v>1843</v>
      </c>
      <c r="AL63" s="152" t="s">
        <v>1672</v>
      </c>
      <c r="AM63" s="152" t="s">
        <v>2</v>
      </c>
      <c r="AN63" s="152" t="s">
        <v>2</v>
      </c>
      <c r="AO63" s="152" t="s">
        <v>2014</v>
      </c>
      <c r="AP63" s="152" t="s">
        <v>1249</v>
      </c>
      <c r="AQ63" s="302" t="s">
        <v>2</v>
      </c>
    </row>
    <row r="64" spans="1:43" ht="15" customHeight="1">
      <c r="A64" s="72"/>
      <c r="B64" s="84"/>
      <c r="C64" s="91"/>
      <c r="D64" s="301">
        <v>23663</v>
      </c>
      <c r="E64" s="283">
        <v>790329</v>
      </c>
      <c r="F64" s="273">
        <v>12003</v>
      </c>
      <c r="G64" s="274" t="s">
        <v>1496</v>
      </c>
      <c r="H64" s="274" t="s">
        <v>423</v>
      </c>
      <c r="I64" s="274" t="s">
        <v>9</v>
      </c>
      <c r="J64" s="274" t="s">
        <v>405</v>
      </c>
      <c r="K64" s="275">
        <v>0.4916666666666667</v>
      </c>
      <c r="L64" s="275">
        <v>0.83333333333333326</v>
      </c>
      <c r="M64" s="275">
        <v>0.34166666666666656</v>
      </c>
      <c r="N64" s="275" t="s">
        <v>2</v>
      </c>
      <c r="O64" s="275" t="s">
        <v>2</v>
      </c>
      <c r="P64" s="275" t="s">
        <v>2</v>
      </c>
      <c r="Q64" s="276">
        <v>41253</v>
      </c>
      <c r="R64" s="284" t="s">
        <v>2</v>
      </c>
      <c r="S64" s="276">
        <v>41276</v>
      </c>
      <c r="T64" s="284" t="s">
        <v>2</v>
      </c>
      <c r="U64" s="274" t="s">
        <v>707</v>
      </c>
      <c r="V64" s="276">
        <v>41644</v>
      </c>
      <c r="W64" s="276" t="s">
        <v>2</v>
      </c>
      <c r="X64" s="276" t="s">
        <v>2</v>
      </c>
      <c r="Y64" s="274" t="s">
        <v>1438</v>
      </c>
      <c r="Z64" s="274" t="s">
        <v>2</v>
      </c>
      <c r="AA64" s="274" t="s">
        <v>2</v>
      </c>
      <c r="AB64" s="276" t="s">
        <v>2</v>
      </c>
      <c r="AC64" s="274" t="s">
        <v>2</v>
      </c>
      <c r="AD64" s="277">
        <v>3707150</v>
      </c>
      <c r="AE64" s="276"/>
      <c r="AF64" s="274" t="s">
        <v>2195</v>
      </c>
      <c r="AG64" s="274" t="s">
        <v>775</v>
      </c>
      <c r="AH64" s="274" t="s">
        <v>2197</v>
      </c>
      <c r="AI64" s="274" t="s">
        <v>89</v>
      </c>
      <c r="AJ64" s="281" t="s">
        <v>2</v>
      </c>
      <c r="AK64" s="152" t="s">
        <v>1844</v>
      </c>
      <c r="AL64" s="152" t="s">
        <v>1673</v>
      </c>
      <c r="AM64" s="152" t="s">
        <v>2</v>
      </c>
      <c r="AN64" s="152" t="s">
        <v>2</v>
      </c>
      <c r="AO64" s="152" t="s">
        <v>2015</v>
      </c>
      <c r="AP64" s="152" t="s">
        <v>1249</v>
      </c>
      <c r="AQ64" s="302" t="s">
        <v>2</v>
      </c>
    </row>
    <row r="65" spans="1:43" ht="15" customHeight="1">
      <c r="A65" s="72"/>
      <c r="B65" s="84"/>
      <c r="C65" s="91"/>
      <c r="D65" s="301">
        <v>27212</v>
      </c>
      <c r="E65" s="283">
        <v>827437</v>
      </c>
      <c r="F65" s="273">
        <v>17149</v>
      </c>
      <c r="G65" s="274" t="s">
        <v>1497</v>
      </c>
      <c r="H65" s="274" t="s">
        <v>421</v>
      </c>
      <c r="I65" s="274" t="s">
        <v>9</v>
      </c>
      <c r="J65" s="274" t="s">
        <v>398</v>
      </c>
      <c r="K65" s="275">
        <v>0.39583333333333331</v>
      </c>
      <c r="L65" s="275">
        <v>0.73749999999999993</v>
      </c>
      <c r="M65" s="275">
        <v>0.34166666666666662</v>
      </c>
      <c r="N65" s="275">
        <v>0.52777777777777779</v>
      </c>
      <c r="O65" s="275">
        <v>0.58333333333333337</v>
      </c>
      <c r="P65" s="275">
        <v>0.67361111111111116</v>
      </c>
      <c r="Q65" s="276">
        <v>41620</v>
      </c>
      <c r="R65" s="284" t="s">
        <v>2</v>
      </c>
      <c r="S65" s="276">
        <v>41653</v>
      </c>
      <c r="T65" s="284" t="s">
        <v>2</v>
      </c>
      <c r="U65" s="274" t="s">
        <v>707</v>
      </c>
      <c r="V65" s="276">
        <v>42062</v>
      </c>
      <c r="W65" s="276" t="s">
        <v>2</v>
      </c>
      <c r="X65" s="276" t="s">
        <v>2</v>
      </c>
      <c r="Y65" s="274" t="s">
        <v>1438</v>
      </c>
      <c r="Z65" s="274" t="s">
        <v>2</v>
      </c>
      <c r="AA65" s="274" t="s">
        <v>2</v>
      </c>
      <c r="AB65" s="276" t="s">
        <v>2</v>
      </c>
      <c r="AC65" s="274" t="s">
        <v>2</v>
      </c>
      <c r="AD65" s="277" t="s">
        <v>2</v>
      </c>
      <c r="AE65" s="276"/>
      <c r="AF65" s="274" t="s">
        <v>2</v>
      </c>
      <c r="AG65" s="274" t="s">
        <v>775</v>
      </c>
      <c r="AH65" s="274" t="s">
        <v>2197</v>
      </c>
      <c r="AI65" s="274" t="s">
        <v>89</v>
      </c>
      <c r="AJ65" s="281">
        <v>810159</v>
      </c>
      <c r="AK65" s="152" t="s">
        <v>1845</v>
      </c>
      <c r="AL65" s="152" t="s">
        <v>1674</v>
      </c>
      <c r="AM65" s="152" t="s">
        <v>2</v>
      </c>
      <c r="AN65" s="152" t="s">
        <v>422</v>
      </c>
      <c r="AO65" s="152" t="s">
        <v>2016</v>
      </c>
      <c r="AP65" s="152" t="s">
        <v>2</v>
      </c>
      <c r="AQ65" s="302" t="s">
        <v>2</v>
      </c>
    </row>
    <row r="66" spans="1:43" ht="15" customHeight="1">
      <c r="A66" s="72"/>
      <c r="B66" s="84"/>
      <c r="C66" s="91"/>
      <c r="D66" s="301">
        <v>26945</v>
      </c>
      <c r="E66" s="283">
        <v>823995</v>
      </c>
      <c r="F66" s="273">
        <v>12718</v>
      </c>
      <c r="G66" s="274" t="s">
        <v>1498</v>
      </c>
      <c r="H66" s="274" t="s">
        <v>412</v>
      </c>
      <c r="I66" s="274" t="s">
        <v>16</v>
      </c>
      <c r="J66" s="274" t="s">
        <v>395</v>
      </c>
      <c r="K66" s="275">
        <v>0.59722222222222221</v>
      </c>
      <c r="L66" s="275">
        <v>0.86111111111111116</v>
      </c>
      <c r="M66" s="275">
        <v>0.26388888888888895</v>
      </c>
      <c r="N66" s="275" t="s">
        <v>2</v>
      </c>
      <c r="O66" s="275" t="s">
        <v>2</v>
      </c>
      <c r="P66" s="275" t="s">
        <v>2</v>
      </c>
      <c r="Q66" s="276">
        <v>41584</v>
      </c>
      <c r="R66" s="284" t="s">
        <v>2</v>
      </c>
      <c r="S66" s="276">
        <v>41619</v>
      </c>
      <c r="T66" s="284" t="s">
        <v>2</v>
      </c>
      <c r="U66" s="274" t="s">
        <v>707</v>
      </c>
      <c r="V66" s="276">
        <v>42076</v>
      </c>
      <c r="W66" s="276">
        <v>42076</v>
      </c>
      <c r="X66" s="276" t="s">
        <v>2</v>
      </c>
      <c r="Y66" s="274" t="s">
        <v>2</v>
      </c>
      <c r="Z66" s="274" t="s">
        <v>2202</v>
      </c>
      <c r="AA66" s="274" t="s">
        <v>395</v>
      </c>
      <c r="AB66" s="276" t="s">
        <v>2206</v>
      </c>
      <c r="AC66" s="274">
        <v>42076</v>
      </c>
      <c r="AD66" s="277" t="s">
        <v>1437</v>
      </c>
      <c r="AE66" s="276"/>
      <c r="AF66" s="274" t="s">
        <v>2190</v>
      </c>
      <c r="AG66" s="274" t="s">
        <v>775</v>
      </c>
      <c r="AH66" s="274" t="s">
        <v>2197</v>
      </c>
      <c r="AI66" s="274" t="s">
        <v>89</v>
      </c>
      <c r="AJ66" s="281" t="s">
        <v>2</v>
      </c>
      <c r="AK66" s="152" t="s">
        <v>1846</v>
      </c>
      <c r="AL66" s="152" t="s">
        <v>1675</v>
      </c>
      <c r="AM66" s="152" t="s">
        <v>2</v>
      </c>
      <c r="AN66" s="152" t="s">
        <v>2</v>
      </c>
      <c r="AO66" s="152" t="s">
        <v>2017</v>
      </c>
      <c r="AP66" s="152" t="s">
        <v>2</v>
      </c>
      <c r="AQ66" s="302" t="s">
        <v>2</v>
      </c>
    </row>
    <row r="67" spans="1:43" ht="15" customHeight="1">
      <c r="A67" s="72"/>
      <c r="B67" s="84"/>
      <c r="C67" s="91"/>
      <c r="D67" s="301">
        <v>28076</v>
      </c>
      <c r="E67" s="283">
        <v>836150</v>
      </c>
      <c r="F67" s="273" t="s">
        <v>2</v>
      </c>
      <c r="G67" s="274" t="s">
        <v>1499</v>
      </c>
      <c r="H67" s="274" t="s">
        <v>412</v>
      </c>
      <c r="I67" s="274" t="s">
        <v>16</v>
      </c>
      <c r="J67" s="274" t="s">
        <v>395</v>
      </c>
      <c r="K67" s="275">
        <v>0.3611111111111111</v>
      </c>
      <c r="L67" s="275">
        <v>0.625</v>
      </c>
      <c r="M67" s="275">
        <v>0.2638888888888889</v>
      </c>
      <c r="N67" s="275" t="s">
        <v>2</v>
      </c>
      <c r="O67" s="275" t="s">
        <v>2</v>
      </c>
      <c r="P67" s="275" t="s">
        <v>2</v>
      </c>
      <c r="Q67" s="276">
        <v>41731</v>
      </c>
      <c r="R67" s="284" t="s">
        <v>2</v>
      </c>
      <c r="S67" s="276">
        <v>41761</v>
      </c>
      <c r="T67" s="284" t="s">
        <v>2</v>
      </c>
      <c r="U67" s="274" t="s">
        <v>707</v>
      </c>
      <c r="V67" s="276">
        <v>42076</v>
      </c>
      <c r="W67" s="276">
        <v>42076</v>
      </c>
      <c r="X67" s="276" t="s">
        <v>2</v>
      </c>
      <c r="Y67" s="274" t="s">
        <v>2</v>
      </c>
      <c r="Z67" s="274" t="s">
        <v>2202</v>
      </c>
      <c r="AA67" s="274" t="s">
        <v>395</v>
      </c>
      <c r="AB67" s="276" t="s">
        <v>2206</v>
      </c>
      <c r="AC67" s="274">
        <v>42076</v>
      </c>
      <c r="AD67" s="277" t="s">
        <v>2</v>
      </c>
      <c r="AE67" s="276"/>
      <c r="AF67" s="274" t="s">
        <v>2</v>
      </c>
      <c r="AG67" s="274" t="s">
        <v>775</v>
      </c>
      <c r="AH67" s="274" t="s">
        <v>2197</v>
      </c>
      <c r="AI67" s="274" t="s">
        <v>89</v>
      </c>
      <c r="AJ67" s="281" t="s">
        <v>2</v>
      </c>
      <c r="AK67" s="152" t="s">
        <v>1847</v>
      </c>
      <c r="AL67" s="152" t="s">
        <v>1676</v>
      </c>
      <c r="AM67" s="152" t="s">
        <v>2</v>
      </c>
      <c r="AN67" s="152" t="s">
        <v>2</v>
      </c>
      <c r="AO67" s="152" t="s">
        <v>2018</v>
      </c>
      <c r="AP67" s="152" t="s">
        <v>2</v>
      </c>
      <c r="AQ67" s="302" t="s">
        <v>2</v>
      </c>
    </row>
    <row r="68" spans="1:43" ht="15" customHeight="1">
      <c r="B68" s="84"/>
      <c r="D68" s="301">
        <v>24193</v>
      </c>
      <c r="E68" s="283">
        <v>795227</v>
      </c>
      <c r="F68" s="273">
        <v>12336</v>
      </c>
      <c r="G68" s="274" t="s">
        <v>1500</v>
      </c>
      <c r="H68" s="274" t="s">
        <v>419</v>
      </c>
      <c r="I68" s="274" t="s">
        <v>1614</v>
      </c>
      <c r="J68" s="274" t="s">
        <v>398</v>
      </c>
      <c r="K68" s="275">
        <v>0.53333333333333333</v>
      </c>
      <c r="L68" s="275">
        <v>0.875</v>
      </c>
      <c r="M68" s="275">
        <v>0.34166666666666656</v>
      </c>
      <c r="N68" s="275">
        <v>0.625</v>
      </c>
      <c r="O68" s="275">
        <v>0.67361111111111116</v>
      </c>
      <c r="P68" s="275">
        <v>0.83333333333333337</v>
      </c>
      <c r="Q68" s="276">
        <v>41306</v>
      </c>
      <c r="R68" s="284" t="s">
        <v>2</v>
      </c>
      <c r="S68" s="276">
        <v>41329</v>
      </c>
      <c r="T68" s="284" t="s">
        <v>2</v>
      </c>
      <c r="U68" s="274" t="s">
        <v>707</v>
      </c>
      <c r="V68" s="276">
        <v>42074</v>
      </c>
      <c r="W68" s="276">
        <v>42074</v>
      </c>
      <c r="X68" s="276" t="s">
        <v>2</v>
      </c>
      <c r="Y68" s="274" t="s">
        <v>1438</v>
      </c>
      <c r="Z68" s="274" t="s">
        <v>2</v>
      </c>
      <c r="AA68" s="274" t="s">
        <v>2</v>
      </c>
      <c r="AB68" s="276" t="s">
        <v>2</v>
      </c>
      <c r="AC68" s="274" t="s">
        <v>2</v>
      </c>
      <c r="AD68" s="277">
        <v>8696070</v>
      </c>
      <c r="AE68" s="276"/>
      <c r="AF68" s="274" t="s">
        <v>2194</v>
      </c>
      <c r="AG68" s="274" t="s">
        <v>775</v>
      </c>
      <c r="AH68" s="274" t="s">
        <v>2197</v>
      </c>
      <c r="AI68" s="274" t="s">
        <v>89</v>
      </c>
      <c r="AJ68" s="281">
        <v>810096</v>
      </c>
      <c r="AK68" s="281" t="s">
        <v>1848</v>
      </c>
      <c r="AL68" s="281" t="s">
        <v>1677</v>
      </c>
      <c r="AM68" s="281" t="s">
        <v>2</v>
      </c>
      <c r="AN68" s="281" t="s">
        <v>422</v>
      </c>
      <c r="AO68" s="281" t="s">
        <v>2019</v>
      </c>
      <c r="AP68" s="281" t="s">
        <v>2</v>
      </c>
      <c r="AQ68" s="302" t="s">
        <v>1249</v>
      </c>
    </row>
    <row r="69" spans="1:43" ht="15" customHeight="1">
      <c r="B69" s="84"/>
      <c r="D69" s="301">
        <v>29304</v>
      </c>
      <c r="E69" s="283">
        <v>858682</v>
      </c>
      <c r="F69" s="273">
        <v>12127</v>
      </c>
      <c r="G69" s="274" t="s">
        <v>1501</v>
      </c>
      <c r="H69" s="274" t="s">
        <v>419</v>
      </c>
      <c r="I69" s="274" t="s">
        <v>1614</v>
      </c>
      <c r="J69" s="274" t="s">
        <v>398</v>
      </c>
      <c r="K69" s="275">
        <v>0.61111111111111105</v>
      </c>
      <c r="L69" s="275">
        <v>0.875</v>
      </c>
      <c r="M69" s="275">
        <v>0.26388888888888895</v>
      </c>
      <c r="N69" s="275">
        <v>0.65277777777777779</v>
      </c>
      <c r="O69" s="275">
        <v>0.77083333333333337</v>
      </c>
      <c r="P69" s="275">
        <v>0.82638888888888884</v>
      </c>
      <c r="Q69" s="276">
        <v>41918</v>
      </c>
      <c r="R69" s="284" t="s">
        <v>2</v>
      </c>
      <c r="S69" s="276">
        <v>41944</v>
      </c>
      <c r="T69" s="284" t="s">
        <v>2</v>
      </c>
      <c r="U69" s="274" t="s">
        <v>707</v>
      </c>
      <c r="V69" s="276">
        <v>42081</v>
      </c>
      <c r="W69" s="276">
        <v>42080</v>
      </c>
      <c r="X69" s="276" t="s">
        <v>2</v>
      </c>
      <c r="Y69" s="274" t="s">
        <v>1438</v>
      </c>
      <c r="Z69" s="274" t="s">
        <v>2</v>
      </c>
      <c r="AA69" s="274" t="s">
        <v>2</v>
      </c>
      <c r="AB69" s="276" t="s">
        <v>2</v>
      </c>
      <c r="AC69" s="274" t="s">
        <v>2</v>
      </c>
      <c r="AD69" s="277" t="s">
        <v>2153</v>
      </c>
      <c r="AE69" s="276"/>
      <c r="AF69" s="274" t="s">
        <v>2194</v>
      </c>
      <c r="AG69" s="274" t="s">
        <v>775</v>
      </c>
      <c r="AH69" s="274" t="s">
        <v>2197</v>
      </c>
      <c r="AI69" s="274" t="s">
        <v>89</v>
      </c>
      <c r="AJ69" s="281">
        <v>810123</v>
      </c>
      <c r="AK69" s="281" t="s">
        <v>1849</v>
      </c>
      <c r="AL69" s="281" t="s">
        <v>1678</v>
      </c>
      <c r="AM69" s="281" t="s">
        <v>2</v>
      </c>
      <c r="AN69" s="281" t="s">
        <v>422</v>
      </c>
      <c r="AO69" s="281" t="s">
        <v>2020</v>
      </c>
      <c r="AP69" s="281" t="s">
        <v>2</v>
      </c>
      <c r="AQ69" s="302" t="s">
        <v>2</v>
      </c>
    </row>
    <row r="70" spans="1:43" ht="15" customHeight="1">
      <c r="B70" s="84"/>
      <c r="D70" s="301">
        <v>29918</v>
      </c>
      <c r="E70" s="283">
        <v>869822</v>
      </c>
      <c r="F70" s="273">
        <v>17108</v>
      </c>
      <c r="G70" s="274" t="s">
        <v>1502</v>
      </c>
      <c r="H70" s="274" t="s">
        <v>420</v>
      </c>
      <c r="I70" s="274" t="s">
        <v>1614</v>
      </c>
      <c r="J70" s="274" t="s">
        <v>398</v>
      </c>
      <c r="K70" s="275">
        <v>0.65277777777777779</v>
      </c>
      <c r="L70" s="275">
        <v>0.91666666666666663</v>
      </c>
      <c r="M70" s="275">
        <v>0.26388888888888884</v>
      </c>
      <c r="N70" s="275">
        <v>0.72916666666666663</v>
      </c>
      <c r="O70" s="275">
        <v>0.81944444444444453</v>
      </c>
      <c r="P70" s="275">
        <v>0.875</v>
      </c>
      <c r="Q70" s="276">
        <v>42010</v>
      </c>
      <c r="R70" s="284" t="s">
        <v>2</v>
      </c>
      <c r="S70" s="276">
        <v>42036</v>
      </c>
      <c r="T70" s="284" t="s">
        <v>2</v>
      </c>
      <c r="U70" s="274" t="s">
        <v>708</v>
      </c>
      <c r="V70" s="276">
        <v>42081</v>
      </c>
      <c r="W70" s="276">
        <v>42081</v>
      </c>
      <c r="X70" s="276" t="s">
        <v>2</v>
      </c>
      <c r="Y70" s="274" t="s">
        <v>1438</v>
      </c>
      <c r="Z70" s="274" t="s">
        <v>2</v>
      </c>
      <c r="AA70" s="274" t="s">
        <v>2</v>
      </c>
      <c r="AB70" s="276" t="s">
        <v>2</v>
      </c>
      <c r="AC70" s="274" t="s">
        <v>2</v>
      </c>
      <c r="AD70" s="274">
        <v>8220300</v>
      </c>
      <c r="AE70" s="276"/>
      <c r="AF70" s="274" t="s">
        <v>2194</v>
      </c>
      <c r="AG70" s="274" t="s">
        <v>775</v>
      </c>
      <c r="AH70" s="274" t="s">
        <v>2197</v>
      </c>
      <c r="AI70" s="274" t="s">
        <v>89</v>
      </c>
      <c r="AJ70" s="281">
        <v>810218</v>
      </c>
      <c r="AK70" s="281" t="s">
        <v>1850</v>
      </c>
      <c r="AL70" s="281" t="s">
        <v>1679</v>
      </c>
      <c r="AM70" s="281" t="s">
        <v>2</v>
      </c>
      <c r="AN70" s="281" t="s">
        <v>422</v>
      </c>
      <c r="AO70" s="281" t="s">
        <v>2021</v>
      </c>
      <c r="AP70" s="281" t="s">
        <v>2</v>
      </c>
      <c r="AQ70" s="302" t="s">
        <v>2</v>
      </c>
    </row>
    <row r="71" spans="1:43" ht="15" customHeight="1">
      <c r="B71" s="84"/>
      <c r="D71" s="301">
        <v>29921</v>
      </c>
      <c r="E71" s="283">
        <v>869825</v>
      </c>
      <c r="F71" s="273">
        <v>17113</v>
      </c>
      <c r="G71" s="274" t="s">
        <v>1503</v>
      </c>
      <c r="H71" s="274" t="s">
        <v>420</v>
      </c>
      <c r="I71" s="274" t="s">
        <v>1614</v>
      </c>
      <c r="J71" s="274" t="s">
        <v>398</v>
      </c>
      <c r="K71" s="275">
        <v>0.65277777777777779</v>
      </c>
      <c r="L71" s="275">
        <v>0.91666666666666663</v>
      </c>
      <c r="M71" s="275">
        <v>0.26388888888888884</v>
      </c>
      <c r="N71" s="275">
        <v>0.72916666666666663</v>
      </c>
      <c r="O71" s="275">
        <v>0.81944444444444453</v>
      </c>
      <c r="P71" s="275">
        <v>0.875</v>
      </c>
      <c r="Q71" s="276">
        <v>42010</v>
      </c>
      <c r="R71" s="284" t="s">
        <v>2</v>
      </c>
      <c r="S71" s="276">
        <v>42036</v>
      </c>
      <c r="T71" s="284" t="s">
        <v>2</v>
      </c>
      <c r="U71" s="274" t="s">
        <v>708</v>
      </c>
      <c r="V71" s="276">
        <v>42080</v>
      </c>
      <c r="W71" s="276">
        <v>42080</v>
      </c>
      <c r="X71" s="276" t="s">
        <v>2</v>
      </c>
      <c r="Y71" s="274" t="s">
        <v>1438</v>
      </c>
      <c r="Z71" s="274" t="s">
        <v>2</v>
      </c>
      <c r="AA71" s="274" t="s">
        <v>2</v>
      </c>
      <c r="AB71" s="276" t="s">
        <v>2</v>
      </c>
      <c r="AC71" s="274" t="s">
        <v>2</v>
      </c>
      <c r="AD71" s="277">
        <v>6341700</v>
      </c>
      <c r="AE71" s="276"/>
      <c r="AF71" s="274" t="s">
        <v>2193</v>
      </c>
      <c r="AG71" s="274" t="s">
        <v>775</v>
      </c>
      <c r="AH71" s="274" t="s">
        <v>2197</v>
      </c>
      <c r="AI71" s="274" t="s">
        <v>89</v>
      </c>
      <c r="AJ71" s="281">
        <v>810217</v>
      </c>
      <c r="AK71" s="281" t="s">
        <v>1851</v>
      </c>
      <c r="AL71" s="281" t="s">
        <v>1680</v>
      </c>
      <c r="AM71" s="281" t="s">
        <v>2</v>
      </c>
      <c r="AN71" s="281" t="s">
        <v>422</v>
      </c>
      <c r="AO71" s="281" t="s">
        <v>2022</v>
      </c>
      <c r="AP71" s="281" t="s">
        <v>2</v>
      </c>
      <c r="AQ71" s="302" t="s">
        <v>2</v>
      </c>
    </row>
    <row r="72" spans="1:43" ht="15" customHeight="1">
      <c r="A72" s="90"/>
      <c r="B72" s="84"/>
      <c r="C72" s="91"/>
      <c r="D72" s="301">
        <v>29922</v>
      </c>
      <c r="E72" s="283">
        <v>869826</v>
      </c>
      <c r="F72" s="273">
        <v>17115</v>
      </c>
      <c r="G72" s="274" t="s">
        <v>1504</v>
      </c>
      <c r="H72" s="274" t="s">
        <v>420</v>
      </c>
      <c r="I72" s="274" t="s">
        <v>1614</v>
      </c>
      <c r="J72" s="274" t="s">
        <v>398</v>
      </c>
      <c r="K72" s="275">
        <v>0.65277777777777779</v>
      </c>
      <c r="L72" s="275">
        <v>0.91666666666666663</v>
      </c>
      <c r="M72" s="275">
        <v>0.26388888888888884</v>
      </c>
      <c r="N72" s="275">
        <v>0.77083333333333337</v>
      </c>
      <c r="O72" s="275">
        <v>0.81944444444444453</v>
      </c>
      <c r="P72" s="275">
        <v>0.875</v>
      </c>
      <c r="Q72" s="276">
        <v>42010</v>
      </c>
      <c r="R72" s="284" t="s">
        <v>2</v>
      </c>
      <c r="S72" s="276">
        <v>42036</v>
      </c>
      <c r="T72" s="284" t="s">
        <v>2</v>
      </c>
      <c r="U72" s="274" t="s">
        <v>708</v>
      </c>
      <c r="V72" s="276">
        <v>42068</v>
      </c>
      <c r="W72" s="276">
        <v>42068</v>
      </c>
      <c r="X72" s="276" t="s">
        <v>2</v>
      </c>
      <c r="Y72" s="274" t="s">
        <v>1438</v>
      </c>
      <c r="Z72" s="274" t="s">
        <v>2</v>
      </c>
      <c r="AA72" s="274" t="s">
        <v>2</v>
      </c>
      <c r="AB72" s="276" t="s">
        <v>2</v>
      </c>
      <c r="AC72" s="274" t="s">
        <v>2</v>
      </c>
      <c r="AD72" s="277">
        <v>6226180</v>
      </c>
      <c r="AE72" s="276"/>
      <c r="AF72" s="274" t="s">
        <v>2193</v>
      </c>
      <c r="AG72" s="274" t="s">
        <v>775</v>
      </c>
      <c r="AH72" s="274" t="s">
        <v>2197</v>
      </c>
      <c r="AI72" s="274" t="s">
        <v>89</v>
      </c>
      <c r="AJ72" s="281">
        <v>810219</v>
      </c>
      <c r="AK72" s="281" t="s">
        <v>1852</v>
      </c>
      <c r="AL72" s="281" t="s">
        <v>1681</v>
      </c>
      <c r="AM72" s="281" t="s">
        <v>2</v>
      </c>
      <c r="AN72" s="281" t="s">
        <v>422</v>
      </c>
      <c r="AO72" s="281" t="s">
        <v>2023</v>
      </c>
      <c r="AP72" s="281" t="s">
        <v>2</v>
      </c>
      <c r="AQ72" s="302" t="s">
        <v>2</v>
      </c>
    </row>
    <row r="73" spans="1:43" ht="15" customHeight="1">
      <c r="B73" s="84"/>
      <c r="D73" s="301">
        <v>30184</v>
      </c>
      <c r="E73" s="283">
        <v>873190</v>
      </c>
      <c r="F73" s="273">
        <v>17068</v>
      </c>
      <c r="G73" s="274" t="s">
        <v>1505</v>
      </c>
      <c r="H73" s="274" t="s">
        <v>420</v>
      </c>
      <c r="I73" s="274" t="s">
        <v>1614</v>
      </c>
      <c r="J73" s="274" t="s">
        <v>398</v>
      </c>
      <c r="K73" s="275">
        <v>0.61111111111111105</v>
      </c>
      <c r="L73" s="275">
        <v>0.875</v>
      </c>
      <c r="M73" s="275">
        <v>0.26388888888888895</v>
      </c>
      <c r="N73" s="275">
        <v>0.65972222222222221</v>
      </c>
      <c r="O73" s="275">
        <v>0.77777777777777779</v>
      </c>
      <c r="P73" s="275">
        <v>0.83333333333333337</v>
      </c>
      <c r="Q73" s="276">
        <v>42044</v>
      </c>
      <c r="R73" s="284" t="s">
        <v>2</v>
      </c>
      <c r="S73" s="276">
        <v>42068</v>
      </c>
      <c r="T73" s="284" t="s">
        <v>2</v>
      </c>
      <c r="U73" s="274" t="s">
        <v>707</v>
      </c>
      <c r="V73" s="276">
        <v>42068</v>
      </c>
      <c r="W73" s="276">
        <v>42068</v>
      </c>
      <c r="X73" s="276" t="s">
        <v>2</v>
      </c>
      <c r="Y73" s="274" t="s">
        <v>1438</v>
      </c>
      <c r="Z73" s="274" t="s">
        <v>2</v>
      </c>
      <c r="AA73" s="274" t="s">
        <v>2</v>
      </c>
      <c r="AB73" s="276" t="s">
        <v>2</v>
      </c>
      <c r="AC73" s="274" t="s">
        <v>2</v>
      </c>
      <c r="AD73" s="274" t="s">
        <v>2154</v>
      </c>
      <c r="AE73" s="276"/>
      <c r="AF73" s="274" t="s">
        <v>2189</v>
      </c>
      <c r="AG73" s="274" t="s">
        <v>775</v>
      </c>
      <c r="AH73" s="274" t="s">
        <v>2197</v>
      </c>
      <c r="AI73" s="274" t="s">
        <v>89</v>
      </c>
      <c r="AJ73" s="281">
        <v>810206</v>
      </c>
      <c r="AK73" s="281" t="s">
        <v>1853</v>
      </c>
      <c r="AL73" s="281" t="s">
        <v>1682</v>
      </c>
      <c r="AM73" s="281" t="s">
        <v>2</v>
      </c>
      <c r="AN73" s="281" t="s">
        <v>422</v>
      </c>
      <c r="AO73" s="281" t="s">
        <v>2024</v>
      </c>
      <c r="AP73" s="281" t="s">
        <v>2</v>
      </c>
      <c r="AQ73" s="302" t="s">
        <v>2</v>
      </c>
    </row>
    <row r="74" spans="1:43" ht="15" customHeight="1">
      <c r="B74" s="84"/>
      <c r="D74" s="301">
        <v>10787</v>
      </c>
      <c r="E74" s="283">
        <v>689511</v>
      </c>
      <c r="F74" s="273">
        <v>12544</v>
      </c>
      <c r="G74" s="274" t="s">
        <v>1506</v>
      </c>
      <c r="H74" s="274" t="s">
        <v>424</v>
      </c>
      <c r="I74" s="274" t="s">
        <v>1614</v>
      </c>
      <c r="J74" s="274" t="s">
        <v>401</v>
      </c>
      <c r="K74" s="275">
        <v>0.41666666666666669</v>
      </c>
      <c r="L74" s="275">
        <v>0.79166666666666663</v>
      </c>
      <c r="M74" s="275">
        <v>0.37499999999999994</v>
      </c>
      <c r="N74" s="275" t="s">
        <v>2</v>
      </c>
      <c r="O74" s="275" t="s">
        <v>2</v>
      </c>
      <c r="P74" s="275" t="s">
        <v>2</v>
      </c>
      <c r="Q74" s="276">
        <v>39939</v>
      </c>
      <c r="R74" s="284" t="s">
        <v>2</v>
      </c>
      <c r="S74" s="276">
        <v>39962</v>
      </c>
      <c r="T74" s="284" t="s">
        <v>2</v>
      </c>
      <c r="U74" s="274" t="s">
        <v>707</v>
      </c>
      <c r="V74" s="276">
        <v>42067</v>
      </c>
      <c r="W74" s="276">
        <v>42068</v>
      </c>
      <c r="X74" s="276" t="s">
        <v>2</v>
      </c>
      <c r="Y74" s="274" t="s">
        <v>2199</v>
      </c>
      <c r="Z74" s="274" t="s">
        <v>2</v>
      </c>
      <c r="AA74" s="274" t="s">
        <v>2</v>
      </c>
      <c r="AB74" s="276" t="s">
        <v>2</v>
      </c>
      <c r="AC74" s="274" t="s">
        <v>2</v>
      </c>
      <c r="AD74" s="274">
        <v>7096030</v>
      </c>
      <c r="AE74" s="276"/>
      <c r="AF74" s="274" t="s">
        <v>2196</v>
      </c>
      <c r="AG74" s="274" t="s">
        <v>775</v>
      </c>
      <c r="AH74" s="274" t="s">
        <v>2197</v>
      </c>
      <c r="AI74" s="274" t="s">
        <v>89</v>
      </c>
      <c r="AJ74" s="281" t="s">
        <v>2</v>
      </c>
      <c r="AK74" s="281" t="s">
        <v>1854</v>
      </c>
      <c r="AL74" s="281" t="s">
        <v>1683</v>
      </c>
      <c r="AM74" s="281" t="s">
        <v>2</v>
      </c>
      <c r="AN74" s="281" t="s">
        <v>2</v>
      </c>
      <c r="AO74" s="281" t="s">
        <v>2025</v>
      </c>
      <c r="AP74" s="281" t="s">
        <v>1249</v>
      </c>
      <c r="AQ74" s="302" t="s">
        <v>2</v>
      </c>
    </row>
    <row r="75" spans="1:43" ht="15" customHeight="1">
      <c r="B75" s="84"/>
      <c r="D75" s="301">
        <v>13106</v>
      </c>
      <c r="E75" s="283">
        <v>701107</v>
      </c>
      <c r="F75" s="273">
        <v>12412</v>
      </c>
      <c r="G75" s="274" t="s">
        <v>1507</v>
      </c>
      <c r="H75" s="274" t="s">
        <v>424</v>
      </c>
      <c r="I75" s="274" t="s">
        <v>1614</v>
      </c>
      <c r="J75" s="274" t="s">
        <v>401</v>
      </c>
      <c r="K75" s="275">
        <v>0.375</v>
      </c>
      <c r="L75" s="275">
        <v>0.75</v>
      </c>
      <c r="M75" s="275">
        <v>0.375</v>
      </c>
      <c r="N75" s="275" t="s">
        <v>2</v>
      </c>
      <c r="O75" s="275" t="s">
        <v>2</v>
      </c>
      <c r="P75" s="275" t="s">
        <v>2</v>
      </c>
      <c r="Q75" s="276">
        <v>40360</v>
      </c>
      <c r="R75" s="284" t="s">
        <v>2</v>
      </c>
      <c r="S75" s="276">
        <v>40383</v>
      </c>
      <c r="T75" s="284" t="s">
        <v>2</v>
      </c>
      <c r="U75" s="274" t="s">
        <v>707</v>
      </c>
      <c r="V75" s="276">
        <v>42067</v>
      </c>
      <c r="W75" s="276">
        <v>42068</v>
      </c>
      <c r="X75" s="276" t="s">
        <v>2</v>
      </c>
      <c r="Y75" s="274" t="s">
        <v>2199</v>
      </c>
      <c r="Z75" s="274" t="s">
        <v>2</v>
      </c>
      <c r="AA75" s="274" t="s">
        <v>2</v>
      </c>
      <c r="AB75" s="276" t="s">
        <v>2</v>
      </c>
      <c r="AC75" s="274" t="s">
        <v>2</v>
      </c>
      <c r="AD75" s="274">
        <v>6447370</v>
      </c>
      <c r="AE75" s="276"/>
      <c r="AF75" s="274" t="s">
        <v>2193</v>
      </c>
      <c r="AG75" s="274" t="s">
        <v>775</v>
      </c>
      <c r="AH75" s="274" t="s">
        <v>2197</v>
      </c>
      <c r="AI75" s="274" t="s">
        <v>89</v>
      </c>
      <c r="AJ75" s="281" t="s">
        <v>2</v>
      </c>
      <c r="AK75" s="281" t="s">
        <v>1855</v>
      </c>
      <c r="AL75" s="281" t="s">
        <v>1684</v>
      </c>
      <c r="AM75" s="281" t="s">
        <v>2</v>
      </c>
      <c r="AN75" s="281" t="s">
        <v>2</v>
      </c>
      <c r="AO75" s="281" t="s">
        <v>2026</v>
      </c>
      <c r="AP75" s="281" t="s">
        <v>1249</v>
      </c>
      <c r="AQ75" s="302" t="s">
        <v>2</v>
      </c>
    </row>
    <row r="76" spans="1:43" ht="15" customHeight="1">
      <c r="B76" s="84"/>
      <c r="D76" s="301">
        <v>13356</v>
      </c>
      <c r="E76" s="283">
        <v>703746</v>
      </c>
      <c r="F76" s="273">
        <v>12160</v>
      </c>
      <c r="G76" s="274" t="s">
        <v>1508</v>
      </c>
      <c r="H76" s="274" t="s">
        <v>424</v>
      </c>
      <c r="I76" s="274" t="s">
        <v>1614</v>
      </c>
      <c r="J76" s="274" t="s">
        <v>401</v>
      </c>
      <c r="K76" s="275">
        <v>0.375</v>
      </c>
      <c r="L76" s="275">
        <v>0.75</v>
      </c>
      <c r="M76" s="275">
        <v>0.375</v>
      </c>
      <c r="N76" s="275" t="s">
        <v>2</v>
      </c>
      <c r="O76" s="275" t="s">
        <v>2</v>
      </c>
      <c r="P76" s="275" t="s">
        <v>2</v>
      </c>
      <c r="Q76" s="276">
        <v>40396</v>
      </c>
      <c r="R76" s="284" t="s">
        <v>2</v>
      </c>
      <c r="S76" s="276">
        <v>40419</v>
      </c>
      <c r="T76" s="284" t="s">
        <v>2</v>
      </c>
      <c r="U76" s="274" t="s">
        <v>707</v>
      </c>
      <c r="V76" s="276">
        <v>42067</v>
      </c>
      <c r="W76" s="276">
        <v>42068</v>
      </c>
      <c r="X76" s="276" t="s">
        <v>2</v>
      </c>
      <c r="Y76" s="274" t="s">
        <v>2199</v>
      </c>
      <c r="Z76" s="274" t="s">
        <v>2</v>
      </c>
      <c r="AA76" s="274" t="s">
        <v>2</v>
      </c>
      <c r="AB76" s="276" t="s">
        <v>2</v>
      </c>
      <c r="AC76" s="274" t="s">
        <v>2</v>
      </c>
      <c r="AD76" s="274">
        <v>3926000</v>
      </c>
      <c r="AE76" s="276"/>
      <c r="AF76" s="274" t="s">
        <v>2195</v>
      </c>
      <c r="AG76" s="274" t="s">
        <v>775</v>
      </c>
      <c r="AH76" s="274" t="s">
        <v>2197</v>
      </c>
      <c r="AI76" s="274" t="s">
        <v>89</v>
      </c>
      <c r="AJ76" s="281" t="s">
        <v>2</v>
      </c>
      <c r="AK76" s="281" t="s">
        <v>1856</v>
      </c>
      <c r="AL76" s="281" t="s">
        <v>1685</v>
      </c>
      <c r="AM76" s="281" t="s">
        <v>2</v>
      </c>
      <c r="AN76" s="281" t="s">
        <v>2</v>
      </c>
      <c r="AO76" s="281" t="s">
        <v>2027</v>
      </c>
      <c r="AP76" s="281" t="s">
        <v>2</v>
      </c>
      <c r="AQ76" s="302" t="s">
        <v>2</v>
      </c>
    </row>
    <row r="77" spans="1:43" ht="15" customHeight="1">
      <c r="B77" s="84"/>
      <c r="D77" s="301">
        <v>16678</v>
      </c>
      <c r="E77" s="283">
        <v>725620</v>
      </c>
      <c r="F77" s="273">
        <v>12341</v>
      </c>
      <c r="G77" s="274" t="s">
        <v>1509</v>
      </c>
      <c r="H77" s="274" t="s">
        <v>424</v>
      </c>
      <c r="I77" s="274" t="s">
        <v>1614</v>
      </c>
      <c r="J77" s="274" t="s">
        <v>401</v>
      </c>
      <c r="K77" s="275">
        <v>0.375</v>
      </c>
      <c r="L77" s="275">
        <v>0.75</v>
      </c>
      <c r="M77" s="275">
        <v>0.375</v>
      </c>
      <c r="N77" s="275" t="s">
        <v>2</v>
      </c>
      <c r="O77" s="275" t="s">
        <v>2</v>
      </c>
      <c r="P77" s="275" t="s">
        <v>2</v>
      </c>
      <c r="Q77" s="276">
        <v>40648</v>
      </c>
      <c r="R77" s="284" t="s">
        <v>2</v>
      </c>
      <c r="S77" s="276">
        <v>40671</v>
      </c>
      <c r="T77" s="284" t="s">
        <v>2</v>
      </c>
      <c r="U77" s="274" t="s">
        <v>707</v>
      </c>
      <c r="V77" s="276">
        <v>42128</v>
      </c>
      <c r="W77" s="276">
        <v>42068</v>
      </c>
      <c r="X77" s="276" t="s">
        <v>2</v>
      </c>
      <c r="Y77" s="274" t="s">
        <v>2199</v>
      </c>
      <c r="Z77" s="274" t="s">
        <v>2</v>
      </c>
      <c r="AA77" s="274" t="s">
        <v>2</v>
      </c>
      <c r="AB77" s="276" t="s">
        <v>2</v>
      </c>
      <c r="AC77" s="274" t="s">
        <v>2</v>
      </c>
      <c r="AD77" s="274">
        <v>6444000</v>
      </c>
      <c r="AE77" s="276"/>
      <c r="AF77" s="274" t="s">
        <v>2193</v>
      </c>
      <c r="AG77" s="274" t="s">
        <v>775</v>
      </c>
      <c r="AH77" s="274" t="s">
        <v>2197</v>
      </c>
      <c r="AI77" s="274" t="s">
        <v>89</v>
      </c>
      <c r="AJ77" s="281" t="s">
        <v>2</v>
      </c>
      <c r="AK77" s="281" t="s">
        <v>1857</v>
      </c>
      <c r="AL77" s="281" t="s">
        <v>1686</v>
      </c>
      <c r="AM77" s="281" t="s">
        <v>2</v>
      </c>
      <c r="AN77" s="281" t="s">
        <v>2</v>
      </c>
      <c r="AO77" s="281" t="s">
        <v>2028</v>
      </c>
      <c r="AP77" s="281" t="s">
        <v>1249</v>
      </c>
      <c r="AQ77" s="302" t="s">
        <v>2</v>
      </c>
    </row>
    <row r="78" spans="1:43" ht="15" customHeight="1">
      <c r="B78" s="84"/>
      <c r="D78" s="301">
        <v>24602</v>
      </c>
      <c r="E78" s="283">
        <v>797827</v>
      </c>
      <c r="F78" s="273">
        <v>12555</v>
      </c>
      <c r="G78" s="274" t="s">
        <v>1510</v>
      </c>
      <c r="H78" s="274" t="s">
        <v>414</v>
      </c>
      <c r="I78" s="274" t="s">
        <v>1614</v>
      </c>
      <c r="J78" s="274" t="s">
        <v>403</v>
      </c>
      <c r="K78" s="275">
        <v>0.375</v>
      </c>
      <c r="L78" s="275">
        <v>0.71666666666666667</v>
      </c>
      <c r="M78" s="275">
        <v>0.34166666666666662</v>
      </c>
      <c r="N78" s="275">
        <v>0.41666666666666669</v>
      </c>
      <c r="O78" s="275">
        <v>0.52083333333333337</v>
      </c>
      <c r="P78" s="275">
        <v>0.61111111111111105</v>
      </c>
      <c r="Q78" s="276">
        <v>41334</v>
      </c>
      <c r="R78" s="284" t="s">
        <v>2</v>
      </c>
      <c r="S78" s="276">
        <v>41357</v>
      </c>
      <c r="T78" s="284" t="s">
        <v>2</v>
      </c>
      <c r="U78" s="274" t="s">
        <v>707</v>
      </c>
      <c r="V78" s="276">
        <v>42066</v>
      </c>
      <c r="W78" s="276">
        <v>42066</v>
      </c>
      <c r="X78" s="276" t="s">
        <v>2</v>
      </c>
      <c r="Y78" s="274" t="s">
        <v>1438</v>
      </c>
      <c r="Z78" s="274" t="s">
        <v>2</v>
      </c>
      <c r="AA78" s="274" t="s">
        <v>2</v>
      </c>
      <c r="AB78" s="276" t="s">
        <v>2</v>
      </c>
      <c r="AC78" s="274" t="s">
        <v>2</v>
      </c>
      <c r="AD78" s="274">
        <v>8451260</v>
      </c>
      <c r="AE78" s="276"/>
      <c r="AF78" s="274" t="s">
        <v>2194</v>
      </c>
      <c r="AG78" s="274" t="s">
        <v>775</v>
      </c>
      <c r="AH78" s="274" t="s">
        <v>2197</v>
      </c>
      <c r="AI78" s="274" t="s">
        <v>89</v>
      </c>
      <c r="AJ78" s="281">
        <v>810079</v>
      </c>
      <c r="AK78" s="281" t="s">
        <v>1858</v>
      </c>
      <c r="AL78" s="281" t="s">
        <v>1687</v>
      </c>
      <c r="AM78" s="281" t="s">
        <v>2</v>
      </c>
      <c r="AN78" s="281" t="s">
        <v>422</v>
      </c>
      <c r="AO78" s="281" t="s">
        <v>2029</v>
      </c>
      <c r="AP78" s="281" t="s">
        <v>2</v>
      </c>
      <c r="AQ78" s="302" t="s">
        <v>2</v>
      </c>
    </row>
    <row r="79" spans="1:43" ht="15" customHeight="1">
      <c r="B79" s="84"/>
      <c r="D79" s="301">
        <v>28072</v>
      </c>
      <c r="E79" s="283">
        <v>836146</v>
      </c>
      <c r="F79" s="273">
        <v>12840</v>
      </c>
      <c r="G79" s="274" t="s">
        <v>1511</v>
      </c>
      <c r="H79" s="274" t="s">
        <v>414</v>
      </c>
      <c r="I79" s="274" t="s">
        <v>1614</v>
      </c>
      <c r="J79" s="274" t="s">
        <v>403</v>
      </c>
      <c r="K79" s="275">
        <v>0.41666666666666669</v>
      </c>
      <c r="L79" s="275">
        <v>0.7583333333333333</v>
      </c>
      <c r="M79" s="275">
        <v>0.34166666666666662</v>
      </c>
      <c r="N79" s="275">
        <v>0.52083333333333337</v>
      </c>
      <c r="O79" s="275">
        <v>0.58333333333333337</v>
      </c>
      <c r="P79" s="275">
        <v>0.67361111111111116</v>
      </c>
      <c r="Q79" s="276">
        <v>41731</v>
      </c>
      <c r="R79" s="284" t="s">
        <v>2</v>
      </c>
      <c r="S79" s="276">
        <v>41762</v>
      </c>
      <c r="T79" s="284" t="s">
        <v>2</v>
      </c>
      <c r="U79" s="274" t="s">
        <v>707</v>
      </c>
      <c r="V79" s="276">
        <v>42072</v>
      </c>
      <c r="W79" s="276">
        <v>42072</v>
      </c>
      <c r="X79" s="276" t="s">
        <v>2</v>
      </c>
      <c r="Y79" s="274" t="s">
        <v>1438</v>
      </c>
      <c r="Z79" s="274" t="s">
        <v>2</v>
      </c>
      <c r="AA79" s="274" t="s">
        <v>2</v>
      </c>
      <c r="AB79" s="276" t="s">
        <v>2</v>
      </c>
      <c r="AC79" s="274" t="s">
        <v>2</v>
      </c>
      <c r="AD79" s="274" t="s">
        <v>2</v>
      </c>
      <c r="AE79" s="276"/>
      <c r="AF79" s="274" t="s">
        <v>2</v>
      </c>
      <c r="AG79" s="274" t="s">
        <v>775</v>
      </c>
      <c r="AH79" s="274" t="s">
        <v>2197</v>
      </c>
      <c r="AI79" s="274" t="s">
        <v>89</v>
      </c>
      <c r="AJ79" s="281">
        <v>810087</v>
      </c>
      <c r="AK79" s="281" t="s">
        <v>1859</v>
      </c>
      <c r="AL79" s="281" t="s">
        <v>1688</v>
      </c>
      <c r="AM79" s="281" t="s">
        <v>2</v>
      </c>
      <c r="AN79" s="281" t="s">
        <v>422</v>
      </c>
      <c r="AO79" s="281" t="s">
        <v>2030</v>
      </c>
      <c r="AP79" s="281" t="s">
        <v>2</v>
      </c>
      <c r="AQ79" s="302" t="s">
        <v>2</v>
      </c>
    </row>
    <row r="80" spans="1:43" ht="15" customHeight="1">
      <c r="B80" s="84"/>
      <c r="D80" s="301">
        <v>29860</v>
      </c>
      <c r="E80" s="283">
        <v>868176</v>
      </c>
      <c r="F80" s="273">
        <v>17026</v>
      </c>
      <c r="G80" s="274" t="s">
        <v>1512</v>
      </c>
      <c r="H80" s="274" t="s">
        <v>414</v>
      </c>
      <c r="I80" s="274" t="s">
        <v>1614</v>
      </c>
      <c r="J80" s="274" t="s">
        <v>403</v>
      </c>
      <c r="K80" s="275">
        <v>0.41666666666666669</v>
      </c>
      <c r="L80" s="275">
        <v>0.68055555555555558</v>
      </c>
      <c r="M80" s="275">
        <v>0.2638888888888889</v>
      </c>
      <c r="N80" s="275">
        <v>0.52777777777777779</v>
      </c>
      <c r="O80" s="275">
        <v>0.58333333333333337</v>
      </c>
      <c r="P80" s="275">
        <v>0.63888888888888895</v>
      </c>
      <c r="Q80" s="276">
        <v>41983</v>
      </c>
      <c r="R80" s="284" t="s">
        <v>2</v>
      </c>
      <c r="S80" s="276">
        <v>42009</v>
      </c>
      <c r="T80" s="284" t="s">
        <v>2</v>
      </c>
      <c r="U80" s="274" t="s">
        <v>707</v>
      </c>
      <c r="V80" s="276">
        <v>42072</v>
      </c>
      <c r="W80" s="276">
        <v>42072</v>
      </c>
      <c r="X80" s="276" t="s">
        <v>2</v>
      </c>
      <c r="Y80" s="274" t="s">
        <v>2199</v>
      </c>
      <c r="Z80" s="274" t="s">
        <v>2</v>
      </c>
      <c r="AA80" s="274" t="s">
        <v>2</v>
      </c>
      <c r="AB80" s="276" t="s">
        <v>2</v>
      </c>
      <c r="AC80" s="274" t="s">
        <v>2</v>
      </c>
      <c r="AD80" s="274">
        <v>7724065</v>
      </c>
      <c r="AE80" s="276"/>
      <c r="AF80" s="274" t="s">
        <v>2196</v>
      </c>
      <c r="AG80" s="274" t="s">
        <v>775</v>
      </c>
      <c r="AH80" s="274" t="s">
        <v>2197</v>
      </c>
      <c r="AI80" s="274" t="s">
        <v>89</v>
      </c>
      <c r="AJ80" s="281">
        <v>810195</v>
      </c>
      <c r="AK80" s="281" t="s">
        <v>1860</v>
      </c>
      <c r="AL80" s="281" t="s">
        <v>1689</v>
      </c>
      <c r="AM80" s="281" t="s">
        <v>2</v>
      </c>
      <c r="AN80" s="281" t="s">
        <v>422</v>
      </c>
      <c r="AO80" s="281" t="s">
        <v>2031</v>
      </c>
      <c r="AP80" s="281" t="s">
        <v>2</v>
      </c>
      <c r="AQ80" s="302" t="s">
        <v>2</v>
      </c>
    </row>
    <row r="81" spans="1:43" ht="15" customHeight="1">
      <c r="B81" s="84"/>
      <c r="D81" s="301">
        <v>28085</v>
      </c>
      <c r="E81" s="283">
        <v>836288</v>
      </c>
      <c r="F81" s="273">
        <v>12814</v>
      </c>
      <c r="G81" s="274" t="s">
        <v>1513</v>
      </c>
      <c r="H81" s="274" t="s">
        <v>417</v>
      </c>
      <c r="I81" s="274" t="s">
        <v>1614</v>
      </c>
      <c r="J81" s="274" t="s">
        <v>403</v>
      </c>
      <c r="K81" s="275">
        <v>0.57500000000000007</v>
      </c>
      <c r="L81" s="275">
        <v>0.91666666666666663</v>
      </c>
      <c r="M81" s="275">
        <v>0.34166666666666656</v>
      </c>
      <c r="N81" s="275">
        <v>0.65277777777777779</v>
      </c>
      <c r="O81" s="275">
        <v>0.77083333333333337</v>
      </c>
      <c r="P81" s="275">
        <v>0.85416666666666663</v>
      </c>
      <c r="Q81" s="276">
        <v>41731</v>
      </c>
      <c r="R81" s="284" t="s">
        <v>2</v>
      </c>
      <c r="S81" s="276">
        <v>41762</v>
      </c>
      <c r="T81" s="284" t="s">
        <v>2</v>
      </c>
      <c r="U81" s="274" t="s">
        <v>707</v>
      </c>
      <c r="V81" s="276">
        <v>42069</v>
      </c>
      <c r="W81" s="276">
        <v>42069</v>
      </c>
      <c r="X81" s="276" t="s">
        <v>2</v>
      </c>
      <c r="Y81" s="274" t="s">
        <v>1438</v>
      </c>
      <c r="Z81" s="274" t="s">
        <v>2</v>
      </c>
      <c r="AA81" s="274" t="s">
        <v>2</v>
      </c>
      <c r="AB81" s="276" t="s">
        <v>2</v>
      </c>
      <c r="AC81" s="274" t="s">
        <v>2</v>
      </c>
      <c r="AD81" s="274" t="s">
        <v>2</v>
      </c>
      <c r="AE81" s="276"/>
      <c r="AF81" s="274" t="s">
        <v>2</v>
      </c>
      <c r="AG81" s="274" t="s">
        <v>775</v>
      </c>
      <c r="AH81" s="274" t="s">
        <v>2197</v>
      </c>
      <c r="AI81" s="274" t="s">
        <v>89</v>
      </c>
      <c r="AJ81" s="281">
        <v>810040</v>
      </c>
      <c r="AK81" s="281" t="s">
        <v>1861</v>
      </c>
      <c r="AL81" s="281" t="s">
        <v>1690</v>
      </c>
      <c r="AM81" s="281" t="s">
        <v>2</v>
      </c>
      <c r="AN81" s="281" t="s">
        <v>422</v>
      </c>
      <c r="AO81" s="281" t="s">
        <v>2032</v>
      </c>
      <c r="AP81" s="281" t="s">
        <v>2</v>
      </c>
      <c r="AQ81" s="302" t="s">
        <v>2</v>
      </c>
    </row>
    <row r="82" spans="1:43" ht="15" customHeight="1">
      <c r="B82" s="84"/>
      <c r="D82" s="301">
        <v>29889</v>
      </c>
      <c r="E82" s="283">
        <v>868205</v>
      </c>
      <c r="F82" s="273">
        <v>17054</v>
      </c>
      <c r="G82" s="274" t="s">
        <v>1514</v>
      </c>
      <c r="H82" s="274" t="s">
        <v>418</v>
      </c>
      <c r="I82" s="274" t="s">
        <v>1614</v>
      </c>
      <c r="J82" s="274" t="s">
        <v>403</v>
      </c>
      <c r="K82" s="275">
        <v>0.35416666666666669</v>
      </c>
      <c r="L82" s="275">
        <v>0.61805555555555558</v>
      </c>
      <c r="M82" s="275">
        <v>0.26388888888888895</v>
      </c>
      <c r="N82" s="275">
        <v>0.40972222222222227</v>
      </c>
      <c r="O82" s="275">
        <v>0.52083333333333337</v>
      </c>
      <c r="P82" s="275">
        <v>0.57638888888888895</v>
      </c>
      <c r="Q82" s="276">
        <v>41983</v>
      </c>
      <c r="R82" s="284" t="s">
        <v>2</v>
      </c>
      <c r="S82" s="276">
        <v>42009</v>
      </c>
      <c r="T82" s="284" t="s">
        <v>2</v>
      </c>
      <c r="U82" s="274" t="s">
        <v>707</v>
      </c>
      <c r="V82" s="276">
        <v>42068</v>
      </c>
      <c r="W82" s="276">
        <v>42068</v>
      </c>
      <c r="X82" s="276" t="s">
        <v>2</v>
      </c>
      <c r="Y82" s="274" t="s">
        <v>1438</v>
      </c>
      <c r="Z82" s="274" t="s">
        <v>2</v>
      </c>
      <c r="AA82" s="274" t="s">
        <v>2</v>
      </c>
      <c r="AB82" s="276" t="s">
        <v>2</v>
      </c>
      <c r="AC82" s="274" t="s">
        <v>2</v>
      </c>
      <c r="AD82" s="274">
        <v>6266040</v>
      </c>
      <c r="AE82" s="276"/>
      <c r="AF82" s="274" t="s">
        <v>2193</v>
      </c>
      <c r="AG82" s="274" t="s">
        <v>775</v>
      </c>
      <c r="AH82" s="274" t="s">
        <v>2197</v>
      </c>
      <c r="AI82" s="274" t="s">
        <v>89</v>
      </c>
      <c r="AJ82" s="281">
        <v>410246</v>
      </c>
      <c r="AK82" s="281" t="s">
        <v>1862</v>
      </c>
      <c r="AL82" s="281" t="s">
        <v>1691</v>
      </c>
      <c r="AM82" s="281" t="s">
        <v>2</v>
      </c>
      <c r="AN82" s="281" t="s">
        <v>422</v>
      </c>
      <c r="AO82" s="281" t="s">
        <v>2033</v>
      </c>
      <c r="AP82" s="281" t="s">
        <v>2</v>
      </c>
      <c r="AQ82" s="302" t="s">
        <v>2</v>
      </c>
    </row>
    <row r="83" spans="1:43" ht="15" customHeight="1">
      <c r="B83" s="84"/>
      <c r="D83" s="301">
        <v>29897</v>
      </c>
      <c r="E83" s="283">
        <v>868213</v>
      </c>
      <c r="F83" s="273">
        <v>17082</v>
      </c>
      <c r="G83" s="274" t="s">
        <v>1515</v>
      </c>
      <c r="H83" s="274" t="s">
        <v>418</v>
      </c>
      <c r="I83" s="274" t="s">
        <v>1614</v>
      </c>
      <c r="J83" s="274" t="s">
        <v>403</v>
      </c>
      <c r="K83" s="275">
        <v>0.41666666666666669</v>
      </c>
      <c r="L83" s="275">
        <v>0.68055555555555558</v>
      </c>
      <c r="M83" s="275">
        <v>0.2638888888888889</v>
      </c>
      <c r="N83" s="275">
        <v>0.52777777777777779</v>
      </c>
      <c r="O83" s="275">
        <v>0.58333333333333337</v>
      </c>
      <c r="P83" s="275">
        <v>0.63888888888888895</v>
      </c>
      <c r="Q83" s="276">
        <v>41983</v>
      </c>
      <c r="R83" s="284" t="s">
        <v>2</v>
      </c>
      <c r="S83" s="276">
        <v>42009</v>
      </c>
      <c r="T83" s="284" t="s">
        <v>2</v>
      </c>
      <c r="U83" s="274" t="s">
        <v>707</v>
      </c>
      <c r="V83" s="276">
        <v>42072</v>
      </c>
      <c r="W83" s="276">
        <v>42072</v>
      </c>
      <c r="X83" s="276" t="s">
        <v>2</v>
      </c>
      <c r="Y83" s="274" t="s">
        <v>2198</v>
      </c>
      <c r="Z83" s="274" t="s">
        <v>2</v>
      </c>
      <c r="AA83" s="274" t="s">
        <v>2</v>
      </c>
      <c r="AB83" s="276" t="s">
        <v>2</v>
      </c>
      <c r="AC83" s="274" t="s">
        <v>2</v>
      </c>
      <c r="AD83" s="274">
        <v>90450000</v>
      </c>
      <c r="AE83" s="276"/>
      <c r="AF83" s="274" t="s">
        <v>2190</v>
      </c>
      <c r="AG83" s="274" t="s">
        <v>775</v>
      </c>
      <c r="AH83" s="274" t="s">
        <v>2197</v>
      </c>
      <c r="AI83" s="274" t="s">
        <v>89</v>
      </c>
      <c r="AJ83" s="281">
        <v>810267</v>
      </c>
      <c r="AK83" s="281" t="s">
        <v>1863</v>
      </c>
      <c r="AL83" s="281" t="s">
        <v>1692</v>
      </c>
      <c r="AM83" s="281" t="s">
        <v>2</v>
      </c>
      <c r="AN83" s="281" t="s">
        <v>422</v>
      </c>
      <c r="AO83" s="281" t="s">
        <v>2034</v>
      </c>
      <c r="AP83" s="281" t="s">
        <v>2</v>
      </c>
      <c r="AQ83" s="302" t="s">
        <v>2</v>
      </c>
    </row>
    <row r="84" spans="1:43" ht="15" customHeight="1">
      <c r="B84" s="84"/>
      <c r="D84" s="301">
        <v>23065</v>
      </c>
      <c r="E84" s="283">
        <v>779683</v>
      </c>
      <c r="F84" s="273">
        <v>12395</v>
      </c>
      <c r="G84" s="274" t="s">
        <v>1516</v>
      </c>
      <c r="H84" s="274" t="s">
        <v>409</v>
      </c>
      <c r="I84" s="274" t="s">
        <v>16</v>
      </c>
      <c r="J84" s="274" t="s">
        <v>392</v>
      </c>
      <c r="K84" s="275">
        <v>0.33333333333333331</v>
      </c>
      <c r="L84" s="275">
        <v>0.67499999999999993</v>
      </c>
      <c r="M84" s="275">
        <v>0.34166666666666662</v>
      </c>
      <c r="N84" s="275">
        <v>0.40972222222222227</v>
      </c>
      <c r="O84" s="275">
        <v>0.52083333333333337</v>
      </c>
      <c r="P84" s="275">
        <v>0.60416666666666663</v>
      </c>
      <c r="Q84" s="276">
        <v>41162</v>
      </c>
      <c r="R84" s="284" t="s">
        <v>2</v>
      </c>
      <c r="S84" s="276">
        <v>41185</v>
      </c>
      <c r="T84" s="284" t="s">
        <v>2</v>
      </c>
      <c r="U84" s="274" t="s">
        <v>707</v>
      </c>
      <c r="V84" s="276">
        <v>42093</v>
      </c>
      <c r="W84" s="276">
        <v>42090</v>
      </c>
      <c r="X84" s="276" t="s">
        <v>2</v>
      </c>
      <c r="Y84" s="274" t="s">
        <v>2</v>
      </c>
      <c r="Z84" s="274" t="s">
        <v>2202</v>
      </c>
      <c r="AA84" s="274" t="s">
        <v>392</v>
      </c>
      <c r="AB84" s="276" t="s">
        <v>2207</v>
      </c>
      <c r="AC84" s="274">
        <v>42090</v>
      </c>
      <c r="AD84" s="274">
        <v>3278140</v>
      </c>
      <c r="AE84" s="276"/>
      <c r="AF84" s="274" t="s">
        <v>2195</v>
      </c>
      <c r="AG84" s="274" t="s">
        <v>775</v>
      </c>
      <c r="AH84" s="274" t="s">
        <v>2197</v>
      </c>
      <c r="AI84" s="274" t="s">
        <v>89</v>
      </c>
      <c r="AJ84" s="281">
        <v>810004</v>
      </c>
      <c r="AK84" s="281" t="s">
        <v>1864</v>
      </c>
      <c r="AL84" s="281" t="s">
        <v>1693</v>
      </c>
      <c r="AM84" s="281" t="s">
        <v>2</v>
      </c>
      <c r="AN84" s="281" t="s">
        <v>2</v>
      </c>
      <c r="AO84" s="281" t="s">
        <v>2035</v>
      </c>
      <c r="AP84" s="281" t="s">
        <v>1249</v>
      </c>
      <c r="AQ84" s="302" t="s">
        <v>1249</v>
      </c>
    </row>
    <row r="85" spans="1:43" ht="15" customHeight="1">
      <c r="B85" s="84"/>
      <c r="D85" s="301">
        <v>26945</v>
      </c>
      <c r="E85" s="283">
        <v>823995</v>
      </c>
      <c r="F85" s="273">
        <v>12718</v>
      </c>
      <c r="G85" s="274" t="s">
        <v>1498</v>
      </c>
      <c r="H85" s="274" t="s">
        <v>412</v>
      </c>
      <c r="I85" s="274" t="s">
        <v>16</v>
      </c>
      <c r="J85" s="274" t="s">
        <v>395</v>
      </c>
      <c r="K85" s="275">
        <v>0.59722222222222221</v>
      </c>
      <c r="L85" s="275">
        <v>0.86111111111111116</v>
      </c>
      <c r="M85" s="275">
        <v>0.26388888888888895</v>
      </c>
      <c r="N85" s="275" t="s">
        <v>2</v>
      </c>
      <c r="O85" s="275" t="s">
        <v>2</v>
      </c>
      <c r="P85" s="275" t="s">
        <v>2</v>
      </c>
      <c r="Q85" s="276">
        <v>41584</v>
      </c>
      <c r="R85" s="284" t="s">
        <v>2</v>
      </c>
      <c r="S85" s="276">
        <v>41619</v>
      </c>
      <c r="T85" s="284" t="s">
        <v>2</v>
      </c>
      <c r="U85" s="274" t="s">
        <v>707</v>
      </c>
      <c r="V85" s="276">
        <v>42076</v>
      </c>
      <c r="W85" s="276">
        <v>42076</v>
      </c>
      <c r="X85" s="276" t="s">
        <v>2</v>
      </c>
      <c r="Y85" s="274" t="s">
        <v>2</v>
      </c>
      <c r="Z85" s="274" t="s">
        <v>2202</v>
      </c>
      <c r="AA85" s="274" t="s">
        <v>395</v>
      </c>
      <c r="AB85" s="276" t="s">
        <v>2206</v>
      </c>
      <c r="AC85" s="274">
        <v>42076</v>
      </c>
      <c r="AD85" s="274" t="s">
        <v>1437</v>
      </c>
      <c r="AE85" s="276"/>
      <c r="AF85" s="274" t="s">
        <v>2190</v>
      </c>
      <c r="AG85" s="274" t="s">
        <v>775</v>
      </c>
      <c r="AH85" s="274" t="s">
        <v>2197</v>
      </c>
      <c r="AI85" s="274" t="s">
        <v>89</v>
      </c>
      <c r="AJ85" s="281" t="s">
        <v>2</v>
      </c>
      <c r="AK85" s="281" t="s">
        <v>1846</v>
      </c>
      <c r="AL85" s="281" t="s">
        <v>1675</v>
      </c>
      <c r="AM85" s="281" t="s">
        <v>2</v>
      </c>
      <c r="AN85" s="281" t="s">
        <v>2</v>
      </c>
      <c r="AO85" s="281" t="s">
        <v>2017</v>
      </c>
      <c r="AP85" s="281" t="s">
        <v>2</v>
      </c>
      <c r="AQ85" s="302" t="s">
        <v>2</v>
      </c>
    </row>
    <row r="86" spans="1:43" ht="15" customHeight="1">
      <c r="B86" s="84"/>
      <c r="D86" s="301">
        <v>28076</v>
      </c>
      <c r="E86" s="283">
        <v>836150</v>
      </c>
      <c r="F86" s="273" t="s">
        <v>2</v>
      </c>
      <c r="G86" s="274" t="s">
        <v>1499</v>
      </c>
      <c r="H86" s="274" t="s">
        <v>412</v>
      </c>
      <c r="I86" s="274" t="s">
        <v>16</v>
      </c>
      <c r="J86" s="274" t="s">
        <v>395</v>
      </c>
      <c r="K86" s="275">
        <v>0.3611111111111111</v>
      </c>
      <c r="L86" s="275">
        <v>0.625</v>
      </c>
      <c r="M86" s="275">
        <v>0.2638888888888889</v>
      </c>
      <c r="N86" s="275" t="s">
        <v>2</v>
      </c>
      <c r="O86" s="275" t="s">
        <v>2</v>
      </c>
      <c r="P86" s="275" t="s">
        <v>2</v>
      </c>
      <c r="Q86" s="276">
        <v>41731</v>
      </c>
      <c r="R86" s="284" t="s">
        <v>2</v>
      </c>
      <c r="S86" s="276">
        <v>41761</v>
      </c>
      <c r="T86" s="284" t="s">
        <v>2</v>
      </c>
      <c r="U86" s="274" t="s">
        <v>707</v>
      </c>
      <c r="V86" s="276">
        <v>42076</v>
      </c>
      <c r="W86" s="276">
        <v>42076</v>
      </c>
      <c r="X86" s="276" t="s">
        <v>2</v>
      </c>
      <c r="Y86" s="274" t="s">
        <v>2</v>
      </c>
      <c r="Z86" s="274" t="s">
        <v>2202</v>
      </c>
      <c r="AA86" s="274" t="s">
        <v>395</v>
      </c>
      <c r="AB86" s="276" t="s">
        <v>2206</v>
      </c>
      <c r="AC86" s="274">
        <v>42076</v>
      </c>
      <c r="AD86" s="274" t="s">
        <v>2</v>
      </c>
      <c r="AE86" s="276"/>
      <c r="AF86" s="274" t="s">
        <v>2</v>
      </c>
      <c r="AG86" s="274" t="s">
        <v>775</v>
      </c>
      <c r="AH86" s="274" t="s">
        <v>2197</v>
      </c>
      <c r="AI86" s="274" t="s">
        <v>89</v>
      </c>
      <c r="AJ86" s="281" t="s">
        <v>2</v>
      </c>
      <c r="AK86" s="281" t="s">
        <v>1847</v>
      </c>
      <c r="AL86" s="281" t="s">
        <v>1676</v>
      </c>
      <c r="AM86" s="281" t="s">
        <v>2</v>
      </c>
      <c r="AN86" s="281" t="s">
        <v>2</v>
      </c>
      <c r="AO86" s="281" t="s">
        <v>2018</v>
      </c>
      <c r="AP86" s="281" t="s">
        <v>2</v>
      </c>
      <c r="AQ86" s="302" t="s">
        <v>2</v>
      </c>
    </row>
    <row r="87" spans="1:43" ht="15" customHeight="1">
      <c r="B87" s="84"/>
      <c r="D87" s="301">
        <v>26026</v>
      </c>
      <c r="E87" s="283">
        <v>813599</v>
      </c>
      <c r="F87" s="273">
        <v>12076</v>
      </c>
      <c r="G87" s="274" t="s">
        <v>1517</v>
      </c>
      <c r="H87" s="274" t="s">
        <v>415</v>
      </c>
      <c r="I87" s="274" t="s">
        <v>1614</v>
      </c>
      <c r="J87" s="274" t="s">
        <v>398</v>
      </c>
      <c r="K87" s="275">
        <v>0.39583333333333331</v>
      </c>
      <c r="L87" s="275">
        <v>0.73749999999999993</v>
      </c>
      <c r="M87" s="275">
        <v>0.34166666666666662</v>
      </c>
      <c r="N87" s="275">
        <v>0.46527777777777773</v>
      </c>
      <c r="O87" s="275">
        <v>0.54166666666666663</v>
      </c>
      <c r="P87" s="275">
        <v>0.66666666666666663</v>
      </c>
      <c r="Q87" s="276">
        <v>41494</v>
      </c>
      <c r="R87" s="284" t="s">
        <v>2</v>
      </c>
      <c r="S87" s="276">
        <v>41517</v>
      </c>
      <c r="T87" s="284" t="s">
        <v>2</v>
      </c>
      <c r="U87" s="274" t="s">
        <v>707</v>
      </c>
      <c r="V87" s="276">
        <v>42086</v>
      </c>
      <c r="W87" s="276">
        <v>42086</v>
      </c>
      <c r="X87" s="276" t="s">
        <v>2</v>
      </c>
      <c r="Y87" s="274" t="s">
        <v>1438</v>
      </c>
      <c r="Z87" s="274" t="s">
        <v>2</v>
      </c>
      <c r="AA87" s="274" t="s">
        <v>2</v>
      </c>
      <c r="AB87" s="276" t="s">
        <v>2</v>
      </c>
      <c r="AC87" s="274" t="s">
        <v>2</v>
      </c>
      <c r="AD87" s="274" t="s">
        <v>2</v>
      </c>
      <c r="AE87" s="276"/>
      <c r="AF87" s="274" t="s">
        <v>2</v>
      </c>
      <c r="AG87" s="274" t="s">
        <v>775</v>
      </c>
      <c r="AH87" s="274" t="s">
        <v>2197</v>
      </c>
      <c r="AI87" s="274" t="s">
        <v>89</v>
      </c>
      <c r="AJ87" s="281">
        <v>810127</v>
      </c>
      <c r="AK87" s="281" t="s">
        <v>1865</v>
      </c>
      <c r="AL87" s="281" t="s">
        <v>1694</v>
      </c>
      <c r="AM87" s="281" t="s">
        <v>2</v>
      </c>
      <c r="AN87" s="281" t="s">
        <v>422</v>
      </c>
      <c r="AO87" s="281" t="s">
        <v>2036</v>
      </c>
      <c r="AP87" s="281" t="s">
        <v>2</v>
      </c>
      <c r="AQ87" s="302" t="s">
        <v>2</v>
      </c>
    </row>
    <row r="88" spans="1:43" ht="15" customHeight="1">
      <c r="B88" s="84"/>
      <c r="D88" s="301">
        <v>29915</v>
      </c>
      <c r="E88" s="283">
        <v>869819</v>
      </c>
      <c r="F88" s="273">
        <v>17103</v>
      </c>
      <c r="G88" s="274" t="s">
        <v>1518</v>
      </c>
      <c r="H88" s="274" t="s">
        <v>415</v>
      </c>
      <c r="I88" s="274" t="s">
        <v>1614</v>
      </c>
      <c r="J88" s="274" t="s">
        <v>398</v>
      </c>
      <c r="K88" s="275">
        <v>0.375</v>
      </c>
      <c r="L88" s="275">
        <v>0.71666666666666667</v>
      </c>
      <c r="M88" s="275">
        <v>0.34166666666666667</v>
      </c>
      <c r="N88" s="275">
        <v>0.45833333333333331</v>
      </c>
      <c r="O88" s="275">
        <v>0.54166666666666663</v>
      </c>
      <c r="P88" s="275">
        <v>0.66666666666666663</v>
      </c>
      <c r="Q88" s="276">
        <v>42010</v>
      </c>
      <c r="R88" s="284" t="s">
        <v>2</v>
      </c>
      <c r="S88" s="276">
        <v>42036</v>
      </c>
      <c r="T88" s="284" t="s">
        <v>2</v>
      </c>
      <c r="U88" s="274" t="s">
        <v>708</v>
      </c>
      <c r="V88" s="276">
        <v>42084</v>
      </c>
      <c r="W88" s="276">
        <v>42083</v>
      </c>
      <c r="X88" s="276" t="s">
        <v>2</v>
      </c>
      <c r="Y88" s="274" t="s">
        <v>1438</v>
      </c>
      <c r="Z88" s="274" t="s">
        <v>2</v>
      </c>
      <c r="AA88" s="274" t="s">
        <v>2</v>
      </c>
      <c r="AB88" s="276" t="s">
        <v>2</v>
      </c>
      <c r="AC88" s="274" t="s">
        <v>2</v>
      </c>
      <c r="AD88" s="274">
        <v>5328140</v>
      </c>
      <c r="AE88" s="276"/>
      <c r="AF88" s="274" t="s">
        <v>2191</v>
      </c>
      <c r="AG88" s="274" t="s">
        <v>775</v>
      </c>
      <c r="AH88" s="274" t="s">
        <v>2197</v>
      </c>
      <c r="AI88" s="274" t="s">
        <v>89</v>
      </c>
      <c r="AJ88" s="281">
        <v>810196</v>
      </c>
      <c r="AK88" s="281" t="s">
        <v>1866</v>
      </c>
      <c r="AL88" s="281" t="s">
        <v>1695</v>
      </c>
      <c r="AM88" s="281" t="s">
        <v>2</v>
      </c>
      <c r="AN88" s="281" t="s">
        <v>422</v>
      </c>
      <c r="AO88" s="281" t="s">
        <v>2037</v>
      </c>
      <c r="AP88" s="281" t="s">
        <v>2</v>
      </c>
      <c r="AQ88" s="302" t="s">
        <v>2</v>
      </c>
    </row>
    <row r="89" spans="1:43" ht="15" customHeight="1">
      <c r="B89" s="84"/>
      <c r="D89" s="301">
        <v>29307</v>
      </c>
      <c r="E89" s="283">
        <v>858685</v>
      </c>
      <c r="F89" s="273">
        <v>12660</v>
      </c>
      <c r="G89" s="274" t="s">
        <v>1519</v>
      </c>
      <c r="H89" s="274" t="s">
        <v>416</v>
      </c>
      <c r="I89" s="274" t="s">
        <v>1614</v>
      </c>
      <c r="J89" s="274" t="s">
        <v>398</v>
      </c>
      <c r="K89" s="275">
        <v>0.35416666666666669</v>
      </c>
      <c r="L89" s="275">
        <v>0.6958333333333333</v>
      </c>
      <c r="M89" s="275">
        <v>0.34166666666666662</v>
      </c>
      <c r="N89" s="275">
        <v>0.41666666666666669</v>
      </c>
      <c r="O89" s="275">
        <v>0.52777777777777779</v>
      </c>
      <c r="P89" s="275">
        <v>0.61805555555555558</v>
      </c>
      <c r="Q89" s="276">
        <v>41918</v>
      </c>
      <c r="R89" s="284" t="s">
        <v>2</v>
      </c>
      <c r="S89" s="276">
        <v>41944</v>
      </c>
      <c r="T89" s="284" t="s">
        <v>2</v>
      </c>
      <c r="U89" s="274" t="s">
        <v>707</v>
      </c>
      <c r="V89" s="276">
        <v>42086</v>
      </c>
      <c r="W89" s="276">
        <v>42086</v>
      </c>
      <c r="X89" s="276" t="s">
        <v>2</v>
      </c>
      <c r="Y89" s="274" t="s">
        <v>1438</v>
      </c>
      <c r="Z89" s="274" t="s">
        <v>2</v>
      </c>
      <c r="AA89" s="274" t="s">
        <v>2</v>
      </c>
      <c r="AB89" s="276" t="s">
        <v>2</v>
      </c>
      <c r="AC89" s="274" t="s">
        <v>2</v>
      </c>
      <c r="AD89" s="274" t="s">
        <v>2155</v>
      </c>
      <c r="AE89" s="276"/>
      <c r="AF89" s="274" t="s">
        <v>2189</v>
      </c>
      <c r="AG89" s="274" t="s">
        <v>775</v>
      </c>
      <c r="AH89" s="274" t="s">
        <v>2197</v>
      </c>
      <c r="AI89" s="274" t="s">
        <v>89</v>
      </c>
      <c r="AJ89" s="281">
        <v>810143</v>
      </c>
      <c r="AK89" s="281" t="s">
        <v>1867</v>
      </c>
      <c r="AL89" s="281" t="s">
        <v>1696</v>
      </c>
      <c r="AM89" s="281" t="s">
        <v>2</v>
      </c>
      <c r="AN89" s="281" t="s">
        <v>422</v>
      </c>
      <c r="AO89" s="281" t="s">
        <v>2038</v>
      </c>
      <c r="AP89" s="281" t="s">
        <v>1249</v>
      </c>
      <c r="AQ89" s="302" t="s">
        <v>2</v>
      </c>
    </row>
    <row r="90" spans="1:43" ht="15" customHeight="1">
      <c r="B90" s="84"/>
      <c r="D90" s="301">
        <v>24193</v>
      </c>
      <c r="E90" s="283">
        <v>795227</v>
      </c>
      <c r="F90" s="273">
        <v>12336</v>
      </c>
      <c r="G90" s="274" t="s">
        <v>1500</v>
      </c>
      <c r="H90" s="274" t="s">
        <v>419</v>
      </c>
      <c r="I90" s="274" t="s">
        <v>1614</v>
      </c>
      <c r="J90" s="274" t="s">
        <v>398</v>
      </c>
      <c r="K90" s="275">
        <v>0.53333333333333333</v>
      </c>
      <c r="L90" s="275">
        <v>0.875</v>
      </c>
      <c r="M90" s="275">
        <v>0.34166666666666656</v>
      </c>
      <c r="N90" s="275">
        <v>0.625</v>
      </c>
      <c r="O90" s="275">
        <v>0.67361111111111116</v>
      </c>
      <c r="P90" s="275">
        <v>0.83333333333333337</v>
      </c>
      <c r="Q90" s="276">
        <v>41306</v>
      </c>
      <c r="R90" s="284" t="s">
        <v>2</v>
      </c>
      <c r="S90" s="276">
        <v>41329</v>
      </c>
      <c r="T90" s="284" t="s">
        <v>2</v>
      </c>
      <c r="U90" s="274" t="s">
        <v>707</v>
      </c>
      <c r="V90" s="276">
        <v>42074</v>
      </c>
      <c r="W90" s="276">
        <v>42074</v>
      </c>
      <c r="X90" s="276" t="s">
        <v>2</v>
      </c>
      <c r="Y90" s="274" t="s">
        <v>1438</v>
      </c>
      <c r="Z90" s="274" t="s">
        <v>2</v>
      </c>
      <c r="AA90" s="274" t="s">
        <v>2</v>
      </c>
      <c r="AB90" s="276" t="s">
        <v>2</v>
      </c>
      <c r="AC90" s="274" t="s">
        <v>2</v>
      </c>
      <c r="AD90" s="274">
        <v>8696070</v>
      </c>
      <c r="AE90" s="276"/>
      <c r="AF90" s="274" t="s">
        <v>2194</v>
      </c>
      <c r="AG90" s="274" t="s">
        <v>775</v>
      </c>
      <c r="AH90" s="274" t="s">
        <v>2197</v>
      </c>
      <c r="AI90" s="274" t="s">
        <v>89</v>
      </c>
      <c r="AJ90" s="281">
        <v>810096</v>
      </c>
      <c r="AK90" s="281" t="s">
        <v>1848</v>
      </c>
      <c r="AL90" s="281" t="s">
        <v>1677</v>
      </c>
      <c r="AM90" s="281" t="s">
        <v>2</v>
      </c>
      <c r="AN90" s="281" t="s">
        <v>422</v>
      </c>
      <c r="AO90" s="281" t="s">
        <v>2019</v>
      </c>
      <c r="AP90" s="281" t="s">
        <v>2</v>
      </c>
      <c r="AQ90" s="302" t="s">
        <v>1249</v>
      </c>
    </row>
    <row r="91" spans="1:43" ht="15" customHeight="1">
      <c r="B91" s="84"/>
      <c r="D91" s="301">
        <v>24194</v>
      </c>
      <c r="E91" s="283">
        <v>795228</v>
      </c>
      <c r="F91" s="273">
        <v>12337</v>
      </c>
      <c r="G91" s="274" t="s">
        <v>1520</v>
      </c>
      <c r="H91" s="274" t="s">
        <v>419</v>
      </c>
      <c r="I91" s="274" t="s">
        <v>1614</v>
      </c>
      <c r="J91" s="274" t="s">
        <v>398</v>
      </c>
      <c r="K91" s="275">
        <v>0.53333333333333333</v>
      </c>
      <c r="L91" s="275">
        <v>0.875</v>
      </c>
      <c r="M91" s="275">
        <v>0.34166666666666656</v>
      </c>
      <c r="N91" s="275">
        <v>0.61805555555555558</v>
      </c>
      <c r="O91" s="275">
        <v>0.66666666666666663</v>
      </c>
      <c r="P91" s="275">
        <v>0.83333333333333337</v>
      </c>
      <c r="Q91" s="276">
        <v>41306</v>
      </c>
      <c r="R91" s="284" t="s">
        <v>2</v>
      </c>
      <c r="S91" s="276">
        <v>41329</v>
      </c>
      <c r="T91" s="284" t="s">
        <v>2</v>
      </c>
      <c r="U91" s="274" t="s">
        <v>707</v>
      </c>
      <c r="V91" s="276">
        <v>42086</v>
      </c>
      <c r="W91" s="276">
        <v>42086</v>
      </c>
      <c r="X91" s="276" t="s">
        <v>2</v>
      </c>
      <c r="Y91" s="274" t="s">
        <v>1438</v>
      </c>
      <c r="Z91" s="274" t="s">
        <v>2</v>
      </c>
      <c r="AA91" s="274" t="s">
        <v>2</v>
      </c>
      <c r="AB91" s="276" t="s">
        <v>2</v>
      </c>
      <c r="AC91" s="274" t="s">
        <v>2</v>
      </c>
      <c r="AD91" s="274">
        <v>8110440</v>
      </c>
      <c r="AE91" s="276"/>
      <c r="AF91" s="274" t="s">
        <v>2194</v>
      </c>
      <c r="AG91" s="274" t="s">
        <v>775</v>
      </c>
      <c r="AH91" s="274" t="s">
        <v>2197</v>
      </c>
      <c r="AI91" s="274" t="s">
        <v>89</v>
      </c>
      <c r="AJ91" s="281">
        <v>810100</v>
      </c>
      <c r="AK91" s="281" t="s">
        <v>1868</v>
      </c>
      <c r="AL91" s="281" t="s">
        <v>1697</v>
      </c>
      <c r="AM91" s="281" t="s">
        <v>2</v>
      </c>
      <c r="AN91" s="281" t="s">
        <v>422</v>
      </c>
      <c r="AO91" s="281" t="s">
        <v>2039</v>
      </c>
      <c r="AP91" s="281" t="s">
        <v>2</v>
      </c>
      <c r="AQ91" s="302" t="s">
        <v>1249</v>
      </c>
    </row>
    <row r="92" spans="1:43" ht="15" customHeight="1">
      <c r="A92" s="90"/>
      <c r="B92" s="84"/>
      <c r="C92" s="91"/>
      <c r="D92" s="301">
        <v>26375</v>
      </c>
      <c r="E92" s="283">
        <v>816979</v>
      </c>
      <c r="F92" s="273">
        <v>17079</v>
      </c>
      <c r="G92" s="274" t="s">
        <v>1521</v>
      </c>
      <c r="H92" s="274" t="s">
        <v>419</v>
      </c>
      <c r="I92" s="274" t="s">
        <v>16</v>
      </c>
      <c r="J92" s="274" t="s">
        <v>398</v>
      </c>
      <c r="K92" s="275">
        <v>0.4916666666666667</v>
      </c>
      <c r="L92" s="275">
        <v>0.83333333333333337</v>
      </c>
      <c r="M92" s="275">
        <v>0.34166666666666667</v>
      </c>
      <c r="N92" s="275">
        <v>0.53472222222222221</v>
      </c>
      <c r="O92" s="275">
        <v>0.625</v>
      </c>
      <c r="P92" s="275">
        <v>0.70833333333333337</v>
      </c>
      <c r="Q92" s="276">
        <v>41528</v>
      </c>
      <c r="R92" s="284" t="s">
        <v>2</v>
      </c>
      <c r="S92" s="276">
        <v>41551</v>
      </c>
      <c r="T92" s="284" t="s">
        <v>2</v>
      </c>
      <c r="U92" s="274" t="s">
        <v>707</v>
      </c>
      <c r="V92" s="276">
        <v>42090</v>
      </c>
      <c r="W92" s="276" t="s">
        <v>2</v>
      </c>
      <c r="X92" s="276" t="s">
        <v>2</v>
      </c>
      <c r="Y92" s="274" t="s">
        <v>2</v>
      </c>
      <c r="Z92" s="274" t="s">
        <v>2202</v>
      </c>
      <c r="AA92" s="274" t="s">
        <v>398</v>
      </c>
      <c r="AB92" s="276" t="s">
        <v>2207</v>
      </c>
      <c r="AC92" s="274">
        <v>42090</v>
      </c>
      <c r="AD92" s="274" t="s">
        <v>2</v>
      </c>
      <c r="AE92" s="276"/>
      <c r="AF92" s="274" t="s">
        <v>2</v>
      </c>
      <c r="AG92" s="274" t="s">
        <v>775</v>
      </c>
      <c r="AH92" s="274" t="s">
        <v>2197</v>
      </c>
      <c r="AI92" s="274" t="s">
        <v>89</v>
      </c>
      <c r="AJ92" s="281">
        <v>810110</v>
      </c>
      <c r="AK92" s="281" t="s">
        <v>1869</v>
      </c>
      <c r="AL92" s="281" t="s">
        <v>1698</v>
      </c>
      <c r="AM92" s="281" t="s">
        <v>2</v>
      </c>
      <c r="AN92" s="281" t="s">
        <v>422</v>
      </c>
      <c r="AO92" s="281" t="s">
        <v>2040</v>
      </c>
      <c r="AP92" s="281" t="s">
        <v>2</v>
      </c>
      <c r="AQ92" s="302" t="s">
        <v>1249</v>
      </c>
    </row>
    <row r="93" spans="1:43" ht="15" customHeight="1">
      <c r="A93" s="90"/>
      <c r="B93" s="84"/>
      <c r="C93" s="91"/>
      <c r="D93" s="301">
        <v>29304</v>
      </c>
      <c r="E93" s="283">
        <v>858682</v>
      </c>
      <c r="F93" s="273">
        <v>12127</v>
      </c>
      <c r="G93" s="274" t="s">
        <v>1501</v>
      </c>
      <c r="H93" s="274" t="s">
        <v>419</v>
      </c>
      <c r="I93" s="274" t="s">
        <v>1614</v>
      </c>
      <c r="J93" s="274" t="s">
        <v>398</v>
      </c>
      <c r="K93" s="275">
        <v>0.61111111111111105</v>
      </c>
      <c r="L93" s="275">
        <v>0.875</v>
      </c>
      <c r="M93" s="275">
        <v>0.26388888888888895</v>
      </c>
      <c r="N93" s="275">
        <v>0.65277777777777779</v>
      </c>
      <c r="O93" s="275">
        <v>0.77083333333333337</v>
      </c>
      <c r="P93" s="275">
        <v>0.82638888888888884</v>
      </c>
      <c r="Q93" s="276">
        <v>41918</v>
      </c>
      <c r="R93" s="284" t="s">
        <v>2</v>
      </c>
      <c r="S93" s="276">
        <v>41944</v>
      </c>
      <c r="T93" s="284" t="s">
        <v>2</v>
      </c>
      <c r="U93" s="274" t="s">
        <v>707</v>
      </c>
      <c r="V93" s="276">
        <v>42081</v>
      </c>
      <c r="W93" s="276">
        <v>42080</v>
      </c>
      <c r="X93" s="276" t="s">
        <v>2</v>
      </c>
      <c r="Y93" s="274" t="s">
        <v>1438</v>
      </c>
      <c r="Z93" s="274" t="s">
        <v>2</v>
      </c>
      <c r="AA93" s="274" t="s">
        <v>2</v>
      </c>
      <c r="AB93" s="276" t="s">
        <v>2</v>
      </c>
      <c r="AC93" s="274" t="s">
        <v>2</v>
      </c>
      <c r="AD93" s="274" t="s">
        <v>2153</v>
      </c>
      <c r="AE93" s="276"/>
      <c r="AF93" s="274" t="s">
        <v>2194</v>
      </c>
      <c r="AG93" s="274" t="s">
        <v>775</v>
      </c>
      <c r="AH93" s="274" t="s">
        <v>2197</v>
      </c>
      <c r="AI93" s="274" t="s">
        <v>89</v>
      </c>
      <c r="AJ93" s="281">
        <v>810123</v>
      </c>
      <c r="AK93" s="281" t="s">
        <v>1849</v>
      </c>
      <c r="AL93" s="281" t="s">
        <v>1678</v>
      </c>
      <c r="AM93" s="281" t="s">
        <v>2</v>
      </c>
      <c r="AN93" s="281" t="s">
        <v>422</v>
      </c>
      <c r="AO93" s="281" t="s">
        <v>2020</v>
      </c>
      <c r="AP93" s="281" t="s">
        <v>2</v>
      </c>
      <c r="AQ93" s="302" t="s">
        <v>2</v>
      </c>
    </row>
    <row r="94" spans="1:43" ht="15" customHeight="1">
      <c r="A94" s="90"/>
      <c r="B94" s="84"/>
      <c r="C94" s="91"/>
      <c r="D94" s="301">
        <v>29310</v>
      </c>
      <c r="E94" s="283">
        <v>858688</v>
      </c>
      <c r="F94" s="273">
        <v>17002</v>
      </c>
      <c r="G94" s="274" t="s">
        <v>1522</v>
      </c>
      <c r="H94" s="274" t="s">
        <v>419</v>
      </c>
      <c r="I94" s="274" t="s">
        <v>1614</v>
      </c>
      <c r="J94" s="274" t="s">
        <v>398</v>
      </c>
      <c r="K94" s="275">
        <v>0.5</v>
      </c>
      <c r="L94" s="275">
        <v>0.84166666666666667</v>
      </c>
      <c r="M94" s="275">
        <v>0.34166666666666667</v>
      </c>
      <c r="N94" s="275">
        <v>0.55555555555555558</v>
      </c>
      <c r="O94" s="275">
        <v>0.625</v>
      </c>
      <c r="P94" s="275">
        <v>0.72916666666666663</v>
      </c>
      <c r="Q94" s="276">
        <v>41918</v>
      </c>
      <c r="R94" s="284" t="s">
        <v>2</v>
      </c>
      <c r="S94" s="276">
        <v>41944</v>
      </c>
      <c r="T94" s="284" t="s">
        <v>2</v>
      </c>
      <c r="U94" s="274" t="s">
        <v>707</v>
      </c>
      <c r="V94" s="276">
        <v>42089</v>
      </c>
      <c r="W94" s="276">
        <v>42089</v>
      </c>
      <c r="X94" s="276" t="s">
        <v>2</v>
      </c>
      <c r="Y94" s="274" t="s">
        <v>1438</v>
      </c>
      <c r="Z94" s="274" t="s">
        <v>2</v>
      </c>
      <c r="AA94" s="274" t="s">
        <v>2</v>
      </c>
      <c r="AB94" s="276" t="s">
        <v>2</v>
      </c>
      <c r="AC94" s="274" t="s">
        <v>2</v>
      </c>
      <c r="AD94" s="274" t="s">
        <v>2156</v>
      </c>
      <c r="AE94" s="276"/>
      <c r="AF94" s="274" t="s">
        <v>2190</v>
      </c>
      <c r="AG94" s="274" t="s">
        <v>775</v>
      </c>
      <c r="AH94" s="274" t="s">
        <v>2197</v>
      </c>
      <c r="AI94" s="274" t="s">
        <v>89</v>
      </c>
      <c r="AJ94" s="281">
        <v>810167</v>
      </c>
      <c r="AK94" s="281" t="s">
        <v>1870</v>
      </c>
      <c r="AL94" s="281" t="s">
        <v>1699</v>
      </c>
      <c r="AM94" s="281" t="s">
        <v>2</v>
      </c>
      <c r="AN94" s="281" t="s">
        <v>422</v>
      </c>
      <c r="AO94" s="281" t="s">
        <v>2041</v>
      </c>
      <c r="AP94" s="281" t="s">
        <v>1249</v>
      </c>
      <c r="AQ94" s="302" t="s">
        <v>2</v>
      </c>
    </row>
    <row r="95" spans="1:43" ht="15" customHeight="1">
      <c r="A95" s="90"/>
      <c r="B95" s="84"/>
      <c r="C95" s="91"/>
      <c r="D95" s="301">
        <v>29918</v>
      </c>
      <c r="E95" s="283">
        <v>869822</v>
      </c>
      <c r="F95" s="273">
        <v>17108</v>
      </c>
      <c r="G95" s="274" t="s">
        <v>1502</v>
      </c>
      <c r="H95" s="274" t="s">
        <v>420</v>
      </c>
      <c r="I95" s="274" t="s">
        <v>1614</v>
      </c>
      <c r="J95" s="274" t="s">
        <v>398</v>
      </c>
      <c r="K95" s="275">
        <v>0.65277777777777779</v>
      </c>
      <c r="L95" s="275">
        <v>0.91666666666666663</v>
      </c>
      <c r="M95" s="275">
        <v>0.26388888888888884</v>
      </c>
      <c r="N95" s="275">
        <v>0.72916666666666663</v>
      </c>
      <c r="O95" s="275">
        <v>0.81944444444444453</v>
      </c>
      <c r="P95" s="275">
        <v>0.875</v>
      </c>
      <c r="Q95" s="276">
        <v>42010</v>
      </c>
      <c r="R95" s="284" t="s">
        <v>2</v>
      </c>
      <c r="S95" s="276">
        <v>42036</v>
      </c>
      <c r="T95" s="284" t="s">
        <v>2</v>
      </c>
      <c r="U95" s="274" t="s">
        <v>708</v>
      </c>
      <c r="V95" s="276">
        <v>42081</v>
      </c>
      <c r="W95" s="276">
        <v>42081</v>
      </c>
      <c r="X95" s="276" t="s">
        <v>2</v>
      </c>
      <c r="Y95" s="274" t="s">
        <v>1438</v>
      </c>
      <c r="Z95" s="274" t="s">
        <v>2</v>
      </c>
      <c r="AA95" s="274" t="s">
        <v>2</v>
      </c>
      <c r="AB95" s="276" t="s">
        <v>2</v>
      </c>
      <c r="AC95" s="274" t="s">
        <v>2</v>
      </c>
      <c r="AD95" s="274">
        <v>8220300</v>
      </c>
      <c r="AE95" s="276"/>
      <c r="AF95" s="274" t="s">
        <v>2194</v>
      </c>
      <c r="AG95" s="274" t="s">
        <v>775</v>
      </c>
      <c r="AH95" s="274" t="s">
        <v>2197</v>
      </c>
      <c r="AI95" s="274" t="s">
        <v>89</v>
      </c>
      <c r="AJ95" s="281">
        <v>810218</v>
      </c>
      <c r="AK95" s="281" t="s">
        <v>1850</v>
      </c>
      <c r="AL95" s="281" t="s">
        <v>1679</v>
      </c>
      <c r="AM95" s="281" t="s">
        <v>2</v>
      </c>
      <c r="AN95" s="281" t="s">
        <v>422</v>
      </c>
      <c r="AO95" s="281" t="s">
        <v>2021</v>
      </c>
      <c r="AP95" s="281" t="s">
        <v>2</v>
      </c>
      <c r="AQ95" s="302" t="s">
        <v>2</v>
      </c>
    </row>
    <row r="96" spans="1:43" ht="15" customHeight="1">
      <c r="A96" s="90"/>
      <c r="B96" s="84"/>
      <c r="C96" s="91"/>
      <c r="D96" s="301">
        <v>29921</v>
      </c>
      <c r="E96" s="283">
        <v>869825</v>
      </c>
      <c r="F96" s="273">
        <v>17113</v>
      </c>
      <c r="G96" s="274" t="s">
        <v>1503</v>
      </c>
      <c r="H96" s="274" t="s">
        <v>420</v>
      </c>
      <c r="I96" s="274" t="s">
        <v>1614</v>
      </c>
      <c r="J96" s="274" t="s">
        <v>398</v>
      </c>
      <c r="K96" s="275">
        <v>0.65277777777777779</v>
      </c>
      <c r="L96" s="275">
        <v>0.91666666666666663</v>
      </c>
      <c r="M96" s="275">
        <v>0.26388888888888884</v>
      </c>
      <c r="N96" s="275">
        <v>0.72916666666666663</v>
      </c>
      <c r="O96" s="275">
        <v>0.81944444444444453</v>
      </c>
      <c r="P96" s="275">
        <v>0.875</v>
      </c>
      <c r="Q96" s="276">
        <v>42010</v>
      </c>
      <c r="R96" s="284" t="s">
        <v>2</v>
      </c>
      <c r="S96" s="276">
        <v>42036</v>
      </c>
      <c r="T96" s="284" t="s">
        <v>2</v>
      </c>
      <c r="U96" s="274" t="s">
        <v>708</v>
      </c>
      <c r="V96" s="276">
        <v>42080</v>
      </c>
      <c r="W96" s="276">
        <v>42080</v>
      </c>
      <c r="X96" s="276" t="s">
        <v>2</v>
      </c>
      <c r="Y96" s="274" t="s">
        <v>1438</v>
      </c>
      <c r="Z96" s="274" t="s">
        <v>2</v>
      </c>
      <c r="AA96" s="274" t="s">
        <v>2</v>
      </c>
      <c r="AB96" s="276" t="s">
        <v>2</v>
      </c>
      <c r="AC96" s="274" t="s">
        <v>2</v>
      </c>
      <c r="AD96" s="274">
        <v>6341700</v>
      </c>
      <c r="AE96" s="276"/>
      <c r="AF96" s="274" t="s">
        <v>2193</v>
      </c>
      <c r="AG96" s="274" t="s">
        <v>775</v>
      </c>
      <c r="AH96" s="274" t="s">
        <v>2197</v>
      </c>
      <c r="AI96" s="274" t="s">
        <v>89</v>
      </c>
      <c r="AJ96" s="281">
        <v>810217</v>
      </c>
      <c r="AK96" s="281" t="s">
        <v>1851</v>
      </c>
      <c r="AL96" s="281" t="s">
        <v>1680</v>
      </c>
      <c r="AM96" s="281" t="s">
        <v>2</v>
      </c>
      <c r="AN96" s="281" t="s">
        <v>422</v>
      </c>
      <c r="AO96" s="281" t="s">
        <v>2022</v>
      </c>
      <c r="AP96" s="281" t="s">
        <v>2</v>
      </c>
      <c r="AQ96" s="302" t="s">
        <v>2</v>
      </c>
    </row>
    <row r="97" spans="1:43" ht="15" customHeight="1">
      <c r="A97" s="90"/>
      <c r="B97" s="84"/>
      <c r="C97" s="91"/>
      <c r="D97" s="301">
        <v>29922</v>
      </c>
      <c r="E97" s="283">
        <v>869826</v>
      </c>
      <c r="F97" s="273">
        <v>17115</v>
      </c>
      <c r="G97" s="274" t="s">
        <v>1504</v>
      </c>
      <c r="H97" s="274" t="s">
        <v>420</v>
      </c>
      <c r="I97" s="274" t="s">
        <v>1614</v>
      </c>
      <c r="J97" s="274" t="s">
        <v>398</v>
      </c>
      <c r="K97" s="275">
        <v>0.65277777777777779</v>
      </c>
      <c r="L97" s="275">
        <v>0.91666666666666663</v>
      </c>
      <c r="M97" s="275">
        <v>0.26388888888888884</v>
      </c>
      <c r="N97" s="275">
        <v>0.77083333333333337</v>
      </c>
      <c r="O97" s="275">
        <v>0.81944444444444453</v>
      </c>
      <c r="P97" s="275">
        <v>0.875</v>
      </c>
      <c r="Q97" s="276">
        <v>42010</v>
      </c>
      <c r="R97" s="284" t="s">
        <v>2</v>
      </c>
      <c r="S97" s="276">
        <v>42036</v>
      </c>
      <c r="T97" s="284" t="s">
        <v>2</v>
      </c>
      <c r="U97" s="274" t="s">
        <v>708</v>
      </c>
      <c r="V97" s="276">
        <v>42068</v>
      </c>
      <c r="W97" s="276">
        <v>42068</v>
      </c>
      <c r="X97" s="276" t="s">
        <v>2</v>
      </c>
      <c r="Y97" s="274" t="s">
        <v>1438</v>
      </c>
      <c r="Z97" s="274" t="s">
        <v>2</v>
      </c>
      <c r="AA97" s="274" t="s">
        <v>2</v>
      </c>
      <c r="AB97" s="276" t="s">
        <v>2</v>
      </c>
      <c r="AC97" s="274" t="s">
        <v>2</v>
      </c>
      <c r="AD97" s="274">
        <v>6226180</v>
      </c>
      <c r="AE97" s="276"/>
      <c r="AF97" s="274" t="s">
        <v>2193</v>
      </c>
      <c r="AG97" s="274" t="s">
        <v>775</v>
      </c>
      <c r="AH97" s="274" t="s">
        <v>2197</v>
      </c>
      <c r="AI97" s="274" t="s">
        <v>89</v>
      </c>
      <c r="AJ97" s="281">
        <v>810219</v>
      </c>
      <c r="AK97" s="281" t="s">
        <v>1852</v>
      </c>
      <c r="AL97" s="281" t="s">
        <v>1681</v>
      </c>
      <c r="AM97" s="281" t="s">
        <v>2</v>
      </c>
      <c r="AN97" s="281" t="s">
        <v>422</v>
      </c>
      <c r="AO97" s="281" t="s">
        <v>2023</v>
      </c>
      <c r="AP97" s="281" t="s">
        <v>2</v>
      </c>
      <c r="AQ97" s="302" t="s">
        <v>2</v>
      </c>
    </row>
    <row r="98" spans="1:43" ht="15" customHeight="1">
      <c r="A98" s="90"/>
      <c r="B98" s="84"/>
      <c r="C98" s="91"/>
      <c r="D98" s="301">
        <v>30184</v>
      </c>
      <c r="E98" s="283">
        <v>873190</v>
      </c>
      <c r="F98" s="273">
        <v>17068</v>
      </c>
      <c r="G98" s="274" t="s">
        <v>1505</v>
      </c>
      <c r="H98" s="274" t="s">
        <v>420</v>
      </c>
      <c r="I98" s="274" t="s">
        <v>1614</v>
      </c>
      <c r="J98" s="274" t="s">
        <v>398</v>
      </c>
      <c r="K98" s="275">
        <v>0.61111111111111105</v>
      </c>
      <c r="L98" s="275">
        <v>0.875</v>
      </c>
      <c r="M98" s="275">
        <v>0.26388888888888895</v>
      </c>
      <c r="N98" s="275">
        <v>0.65972222222222221</v>
      </c>
      <c r="O98" s="275">
        <v>0.77777777777777779</v>
      </c>
      <c r="P98" s="275">
        <v>0.83333333333333337</v>
      </c>
      <c r="Q98" s="276">
        <v>42044</v>
      </c>
      <c r="R98" s="284" t="s">
        <v>2</v>
      </c>
      <c r="S98" s="276">
        <v>42068</v>
      </c>
      <c r="T98" s="284" t="s">
        <v>2</v>
      </c>
      <c r="U98" s="274" t="s">
        <v>707</v>
      </c>
      <c r="V98" s="276">
        <v>42068</v>
      </c>
      <c r="W98" s="276">
        <v>42068</v>
      </c>
      <c r="X98" s="276" t="s">
        <v>2</v>
      </c>
      <c r="Y98" s="274" t="s">
        <v>1438</v>
      </c>
      <c r="Z98" s="274" t="s">
        <v>2</v>
      </c>
      <c r="AA98" s="274" t="s">
        <v>2</v>
      </c>
      <c r="AB98" s="276" t="s">
        <v>2</v>
      </c>
      <c r="AC98" s="274" t="s">
        <v>2</v>
      </c>
      <c r="AD98" s="274" t="s">
        <v>2154</v>
      </c>
      <c r="AE98" s="276"/>
      <c r="AF98" s="274" t="s">
        <v>2189</v>
      </c>
      <c r="AG98" s="274" t="s">
        <v>775</v>
      </c>
      <c r="AH98" s="274" t="s">
        <v>2197</v>
      </c>
      <c r="AI98" s="274" t="s">
        <v>89</v>
      </c>
      <c r="AJ98" s="281">
        <v>810206</v>
      </c>
      <c r="AK98" s="281" t="s">
        <v>1853</v>
      </c>
      <c r="AL98" s="281" t="s">
        <v>1682</v>
      </c>
      <c r="AM98" s="281" t="s">
        <v>2</v>
      </c>
      <c r="AN98" s="281" t="s">
        <v>422</v>
      </c>
      <c r="AO98" s="281" t="s">
        <v>2024</v>
      </c>
      <c r="AP98" s="281" t="s">
        <v>2</v>
      </c>
      <c r="AQ98" s="302" t="s">
        <v>2</v>
      </c>
    </row>
    <row r="99" spans="1:43" ht="15" customHeight="1">
      <c r="A99" s="90"/>
      <c r="B99" s="84"/>
      <c r="C99" s="91"/>
      <c r="D99" s="301">
        <v>10787</v>
      </c>
      <c r="E99" s="283">
        <v>689511</v>
      </c>
      <c r="F99" s="273">
        <v>12544</v>
      </c>
      <c r="G99" s="274" t="s">
        <v>1506</v>
      </c>
      <c r="H99" s="274" t="s">
        <v>424</v>
      </c>
      <c r="I99" s="274" t="s">
        <v>1614</v>
      </c>
      <c r="J99" s="274" t="s">
        <v>401</v>
      </c>
      <c r="K99" s="275">
        <v>0.41666666666666669</v>
      </c>
      <c r="L99" s="275">
        <v>0.79166666666666663</v>
      </c>
      <c r="M99" s="275">
        <v>0.37499999999999994</v>
      </c>
      <c r="N99" s="275" t="s">
        <v>2</v>
      </c>
      <c r="O99" s="275" t="s">
        <v>2</v>
      </c>
      <c r="P99" s="275" t="s">
        <v>2</v>
      </c>
      <c r="Q99" s="276">
        <v>39939</v>
      </c>
      <c r="R99" s="284" t="s">
        <v>2</v>
      </c>
      <c r="S99" s="276">
        <v>39962</v>
      </c>
      <c r="T99" s="284" t="s">
        <v>2</v>
      </c>
      <c r="U99" s="274" t="s">
        <v>707</v>
      </c>
      <c r="V99" s="276">
        <v>42067</v>
      </c>
      <c r="W99" s="276">
        <v>42068</v>
      </c>
      <c r="X99" s="276" t="s">
        <v>2</v>
      </c>
      <c r="Y99" s="274" t="s">
        <v>2199</v>
      </c>
      <c r="Z99" s="274" t="s">
        <v>2</v>
      </c>
      <c r="AA99" s="274" t="s">
        <v>2</v>
      </c>
      <c r="AB99" s="276" t="s">
        <v>2</v>
      </c>
      <c r="AC99" s="274" t="s">
        <v>2</v>
      </c>
      <c r="AD99" s="274">
        <v>7096030</v>
      </c>
      <c r="AE99" s="276"/>
      <c r="AF99" s="274" t="s">
        <v>2196</v>
      </c>
      <c r="AG99" s="274" t="s">
        <v>775</v>
      </c>
      <c r="AH99" s="274" t="s">
        <v>2197</v>
      </c>
      <c r="AI99" s="274" t="s">
        <v>89</v>
      </c>
      <c r="AJ99" s="281" t="s">
        <v>2</v>
      </c>
      <c r="AK99" s="281" t="s">
        <v>1854</v>
      </c>
      <c r="AL99" s="281" t="s">
        <v>1683</v>
      </c>
      <c r="AM99" s="281" t="s">
        <v>2</v>
      </c>
      <c r="AN99" s="281" t="s">
        <v>2</v>
      </c>
      <c r="AO99" s="281" t="s">
        <v>2025</v>
      </c>
      <c r="AP99" s="281" t="s">
        <v>1249</v>
      </c>
      <c r="AQ99" s="302" t="s">
        <v>2</v>
      </c>
    </row>
    <row r="100" spans="1:43" ht="15" customHeight="1">
      <c r="A100" s="90"/>
      <c r="B100" s="84"/>
      <c r="C100" s="91"/>
      <c r="D100" s="301">
        <v>13106</v>
      </c>
      <c r="E100" s="283">
        <v>701107</v>
      </c>
      <c r="F100" s="273">
        <v>12412</v>
      </c>
      <c r="G100" s="274" t="s">
        <v>1507</v>
      </c>
      <c r="H100" s="274" t="s">
        <v>424</v>
      </c>
      <c r="I100" s="274" t="s">
        <v>1614</v>
      </c>
      <c r="J100" s="274" t="s">
        <v>401</v>
      </c>
      <c r="K100" s="275">
        <v>0.375</v>
      </c>
      <c r="L100" s="275">
        <v>0.75</v>
      </c>
      <c r="M100" s="275">
        <v>0.375</v>
      </c>
      <c r="N100" s="275" t="s">
        <v>2</v>
      </c>
      <c r="O100" s="275" t="s">
        <v>2</v>
      </c>
      <c r="P100" s="275" t="s">
        <v>2</v>
      </c>
      <c r="Q100" s="276">
        <v>40360</v>
      </c>
      <c r="R100" s="284" t="s">
        <v>2</v>
      </c>
      <c r="S100" s="276">
        <v>40383</v>
      </c>
      <c r="T100" s="284" t="s">
        <v>2</v>
      </c>
      <c r="U100" s="274" t="s">
        <v>707</v>
      </c>
      <c r="V100" s="276">
        <v>42067</v>
      </c>
      <c r="W100" s="276">
        <v>42068</v>
      </c>
      <c r="X100" s="276" t="s">
        <v>2</v>
      </c>
      <c r="Y100" s="274" t="s">
        <v>2199</v>
      </c>
      <c r="Z100" s="274" t="s">
        <v>2</v>
      </c>
      <c r="AA100" s="274" t="s">
        <v>2</v>
      </c>
      <c r="AB100" s="276" t="s">
        <v>2</v>
      </c>
      <c r="AC100" s="274" t="s">
        <v>2</v>
      </c>
      <c r="AD100" s="274">
        <v>6447370</v>
      </c>
      <c r="AE100" s="276"/>
      <c r="AF100" s="274" t="s">
        <v>2193</v>
      </c>
      <c r="AG100" s="274" t="s">
        <v>775</v>
      </c>
      <c r="AH100" s="274" t="s">
        <v>2197</v>
      </c>
      <c r="AI100" s="274" t="s">
        <v>89</v>
      </c>
      <c r="AJ100" s="281" t="s">
        <v>2</v>
      </c>
      <c r="AK100" s="281" t="s">
        <v>1855</v>
      </c>
      <c r="AL100" s="281" t="s">
        <v>1684</v>
      </c>
      <c r="AM100" s="281" t="s">
        <v>2</v>
      </c>
      <c r="AN100" s="281" t="s">
        <v>2</v>
      </c>
      <c r="AO100" s="281" t="s">
        <v>2026</v>
      </c>
      <c r="AP100" s="281" t="s">
        <v>1249</v>
      </c>
      <c r="AQ100" s="302" t="s">
        <v>2</v>
      </c>
    </row>
    <row r="101" spans="1:43" ht="15" customHeight="1">
      <c r="A101" s="90"/>
      <c r="B101" s="84"/>
      <c r="C101" s="91"/>
      <c r="D101" s="301">
        <v>13356</v>
      </c>
      <c r="E101" s="283">
        <v>703746</v>
      </c>
      <c r="F101" s="273">
        <v>12160</v>
      </c>
      <c r="G101" s="274" t="s">
        <v>1508</v>
      </c>
      <c r="H101" s="274" t="s">
        <v>424</v>
      </c>
      <c r="I101" s="274" t="s">
        <v>1614</v>
      </c>
      <c r="J101" s="274" t="s">
        <v>401</v>
      </c>
      <c r="K101" s="275">
        <v>0.375</v>
      </c>
      <c r="L101" s="275">
        <v>0.75</v>
      </c>
      <c r="M101" s="275">
        <v>0.375</v>
      </c>
      <c r="N101" s="275" t="s">
        <v>2</v>
      </c>
      <c r="O101" s="275" t="s">
        <v>2</v>
      </c>
      <c r="P101" s="275" t="s">
        <v>2</v>
      </c>
      <c r="Q101" s="276">
        <v>40396</v>
      </c>
      <c r="R101" s="284" t="s">
        <v>2</v>
      </c>
      <c r="S101" s="276">
        <v>40419</v>
      </c>
      <c r="T101" s="284" t="s">
        <v>2</v>
      </c>
      <c r="U101" s="274" t="s">
        <v>707</v>
      </c>
      <c r="V101" s="276">
        <v>42067</v>
      </c>
      <c r="W101" s="276">
        <v>42068</v>
      </c>
      <c r="X101" s="276" t="s">
        <v>2</v>
      </c>
      <c r="Y101" s="274" t="s">
        <v>2199</v>
      </c>
      <c r="Z101" s="274" t="s">
        <v>2</v>
      </c>
      <c r="AA101" s="274" t="s">
        <v>2</v>
      </c>
      <c r="AB101" s="276" t="s">
        <v>2</v>
      </c>
      <c r="AC101" s="274" t="s">
        <v>2</v>
      </c>
      <c r="AD101" s="274">
        <v>3926000</v>
      </c>
      <c r="AE101" s="276"/>
      <c r="AF101" s="274" t="s">
        <v>2195</v>
      </c>
      <c r="AG101" s="274" t="s">
        <v>775</v>
      </c>
      <c r="AH101" s="274" t="s">
        <v>2197</v>
      </c>
      <c r="AI101" s="274" t="s">
        <v>89</v>
      </c>
      <c r="AJ101" s="281" t="s">
        <v>2</v>
      </c>
      <c r="AK101" s="281" t="s">
        <v>1856</v>
      </c>
      <c r="AL101" s="281" t="s">
        <v>1685</v>
      </c>
      <c r="AM101" s="281" t="s">
        <v>2</v>
      </c>
      <c r="AN101" s="281" t="s">
        <v>2</v>
      </c>
      <c r="AO101" s="281" t="s">
        <v>2027</v>
      </c>
      <c r="AP101" s="281" t="s">
        <v>2</v>
      </c>
      <c r="AQ101" s="302" t="s">
        <v>2</v>
      </c>
    </row>
    <row r="102" spans="1:43" ht="15" customHeight="1">
      <c r="A102" s="90"/>
      <c r="B102" s="84"/>
      <c r="C102" s="91"/>
      <c r="D102" s="301">
        <v>16678</v>
      </c>
      <c r="E102" s="283">
        <v>725620</v>
      </c>
      <c r="F102" s="273">
        <v>12341</v>
      </c>
      <c r="G102" s="274" t="s">
        <v>1509</v>
      </c>
      <c r="H102" s="274" t="s">
        <v>424</v>
      </c>
      <c r="I102" s="274" t="s">
        <v>1614</v>
      </c>
      <c r="J102" s="274" t="s">
        <v>401</v>
      </c>
      <c r="K102" s="275">
        <v>0.375</v>
      </c>
      <c r="L102" s="275">
        <v>0.75</v>
      </c>
      <c r="M102" s="275">
        <v>0.375</v>
      </c>
      <c r="N102" s="275" t="s">
        <v>2</v>
      </c>
      <c r="O102" s="275" t="s">
        <v>2</v>
      </c>
      <c r="P102" s="275" t="s">
        <v>2</v>
      </c>
      <c r="Q102" s="276">
        <v>40648</v>
      </c>
      <c r="R102" s="284" t="s">
        <v>2</v>
      </c>
      <c r="S102" s="276">
        <v>40671</v>
      </c>
      <c r="T102" s="284" t="s">
        <v>2</v>
      </c>
      <c r="U102" s="274" t="s">
        <v>707</v>
      </c>
      <c r="V102" s="276">
        <v>42128</v>
      </c>
      <c r="W102" s="276">
        <v>42068</v>
      </c>
      <c r="X102" s="276" t="s">
        <v>2</v>
      </c>
      <c r="Y102" s="274" t="s">
        <v>2199</v>
      </c>
      <c r="Z102" s="274" t="s">
        <v>2</v>
      </c>
      <c r="AA102" s="274" t="s">
        <v>2</v>
      </c>
      <c r="AB102" s="276" t="s">
        <v>2</v>
      </c>
      <c r="AC102" s="274" t="s">
        <v>2</v>
      </c>
      <c r="AD102" s="274">
        <v>6444000</v>
      </c>
      <c r="AE102" s="276"/>
      <c r="AF102" s="274" t="s">
        <v>2193</v>
      </c>
      <c r="AG102" s="274" t="s">
        <v>775</v>
      </c>
      <c r="AH102" s="274" t="s">
        <v>2197</v>
      </c>
      <c r="AI102" s="274" t="s">
        <v>89</v>
      </c>
      <c r="AJ102" s="281" t="s">
        <v>2</v>
      </c>
      <c r="AK102" s="281" t="s">
        <v>1857</v>
      </c>
      <c r="AL102" s="281" t="s">
        <v>1686</v>
      </c>
      <c r="AM102" s="281" t="s">
        <v>2</v>
      </c>
      <c r="AN102" s="281" t="s">
        <v>2</v>
      </c>
      <c r="AO102" s="281" t="s">
        <v>2028</v>
      </c>
      <c r="AP102" s="281" t="s">
        <v>1249</v>
      </c>
      <c r="AQ102" s="302" t="s">
        <v>2</v>
      </c>
    </row>
    <row r="103" spans="1:43" ht="15" customHeight="1">
      <c r="A103" s="90"/>
      <c r="B103" s="84"/>
      <c r="C103" s="91"/>
      <c r="D103" s="301">
        <v>24602</v>
      </c>
      <c r="E103" s="283">
        <v>797827</v>
      </c>
      <c r="F103" s="273">
        <v>12555</v>
      </c>
      <c r="G103" s="274" t="s">
        <v>1510</v>
      </c>
      <c r="H103" s="274" t="s">
        <v>414</v>
      </c>
      <c r="I103" s="274" t="s">
        <v>1614</v>
      </c>
      <c r="J103" s="274" t="s">
        <v>403</v>
      </c>
      <c r="K103" s="275">
        <v>0.375</v>
      </c>
      <c r="L103" s="275">
        <v>0.71666666666666667</v>
      </c>
      <c r="M103" s="275">
        <v>0.34166666666666662</v>
      </c>
      <c r="N103" s="275">
        <v>0.41666666666666669</v>
      </c>
      <c r="O103" s="275">
        <v>0.52083333333333337</v>
      </c>
      <c r="P103" s="275">
        <v>0.61111111111111105</v>
      </c>
      <c r="Q103" s="276">
        <v>41334</v>
      </c>
      <c r="R103" s="284" t="s">
        <v>2</v>
      </c>
      <c r="S103" s="276">
        <v>41357</v>
      </c>
      <c r="T103" s="284" t="s">
        <v>2</v>
      </c>
      <c r="U103" s="274" t="s">
        <v>707</v>
      </c>
      <c r="V103" s="276">
        <v>42066</v>
      </c>
      <c r="W103" s="276">
        <v>42066</v>
      </c>
      <c r="X103" s="276" t="s">
        <v>2</v>
      </c>
      <c r="Y103" s="274" t="s">
        <v>1438</v>
      </c>
      <c r="Z103" s="274" t="s">
        <v>2</v>
      </c>
      <c r="AA103" s="274" t="s">
        <v>2</v>
      </c>
      <c r="AB103" s="276" t="s">
        <v>2</v>
      </c>
      <c r="AC103" s="274" t="s">
        <v>2</v>
      </c>
      <c r="AD103" s="274">
        <v>8451260</v>
      </c>
      <c r="AE103" s="276"/>
      <c r="AF103" s="274" t="s">
        <v>2194</v>
      </c>
      <c r="AG103" s="274" t="s">
        <v>775</v>
      </c>
      <c r="AH103" s="274" t="s">
        <v>2197</v>
      </c>
      <c r="AI103" s="274" t="s">
        <v>89</v>
      </c>
      <c r="AJ103" s="281">
        <v>810079</v>
      </c>
      <c r="AK103" s="281" t="s">
        <v>1858</v>
      </c>
      <c r="AL103" s="281" t="s">
        <v>1687</v>
      </c>
      <c r="AM103" s="281" t="s">
        <v>2</v>
      </c>
      <c r="AN103" s="281" t="s">
        <v>422</v>
      </c>
      <c r="AO103" s="281" t="s">
        <v>2029</v>
      </c>
      <c r="AP103" s="281" t="s">
        <v>2</v>
      </c>
      <c r="AQ103" s="302" t="s">
        <v>2</v>
      </c>
    </row>
    <row r="104" spans="1:43" ht="15" customHeight="1">
      <c r="A104" s="90"/>
      <c r="B104" s="84"/>
      <c r="C104" s="91"/>
      <c r="D104" s="301">
        <v>27239</v>
      </c>
      <c r="E104" s="283">
        <v>827464</v>
      </c>
      <c r="F104" s="273">
        <v>12093</v>
      </c>
      <c r="G104" s="274" t="s">
        <v>1523</v>
      </c>
      <c r="H104" s="274" t="s">
        <v>414</v>
      </c>
      <c r="I104" s="274" t="s">
        <v>16</v>
      </c>
      <c r="J104" s="274" t="s">
        <v>403</v>
      </c>
      <c r="K104" s="275">
        <v>0.375</v>
      </c>
      <c r="L104" s="275">
        <v>0.71666666666666656</v>
      </c>
      <c r="M104" s="275">
        <v>0.34166666666666656</v>
      </c>
      <c r="N104" s="275">
        <v>0.4236111111111111</v>
      </c>
      <c r="O104" s="275">
        <v>0.5625</v>
      </c>
      <c r="P104" s="275">
        <v>0.65972222222222221</v>
      </c>
      <c r="Q104" s="276">
        <v>41620</v>
      </c>
      <c r="R104" s="284" t="s">
        <v>2</v>
      </c>
      <c r="S104" s="276">
        <v>41653</v>
      </c>
      <c r="T104" s="284" t="s">
        <v>2</v>
      </c>
      <c r="U104" s="274" t="s">
        <v>707</v>
      </c>
      <c r="V104" s="276">
        <v>42074</v>
      </c>
      <c r="W104" s="276">
        <v>42074</v>
      </c>
      <c r="X104" s="276" t="s">
        <v>2</v>
      </c>
      <c r="Y104" s="274" t="s">
        <v>2</v>
      </c>
      <c r="Z104" s="274" t="s">
        <v>2</v>
      </c>
      <c r="AA104" s="274" t="s">
        <v>2</v>
      </c>
      <c r="AB104" s="276" t="s">
        <v>2</v>
      </c>
      <c r="AC104" s="274" t="s">
        <v>2</v>
      </c>
      <c r="AD104" s="274" t="s">
        <v>2</v>
      </c>
      <c r="AE104" s="276"/>
      <c r="AF104" s="274" t="s">
        <v>2</v>
      </c>
      <c r="AG104" s="274" t="s">
        <v>775</v>
      </c>
      <c r="AH104" s="274" t="s">
        <v>2197</v>
      </c>
      <c r="AI104" s="274" t="s">
        <v>89</v>
      </c>
      <c r="AJ104" s="281">
        <v>810081</v>
      </c>
      <c r="AK104" s="281" t="s">
        <v>1871</v>
      </c>
      <c r="AL104" s="281" t="s">
        <v>1700</v>
      </c>
      <c r="AM104" s="281" t="s">
        <v>2</v>
      </c>
      <c r="AN104" s="281" t="s">
        <v>422</v>
      </c>
      <c r="AO104" s="281" t="s">
        <v>2042</v>
      </c>
      <c r="AP104" s="281" t="s">
        <v>2</v>
      </c>
      <c r="AQ104" s="302" t="s">
        <v>2</v>
      </c>
    </row>
    <row r="105" spans="1:43" ht="15" customHeight="1">
      <c r="A105" s="90"/>
      <c r="B105" s="84"/>
      <c r="C105" s="91"/>
      <c r="D105" s="301">
        <v>28072</v>
      </c>
      <c r="E105" s="283">
        <v>836146</v>
      </c>
      <c r="F105" s="273">
        <v>12840</v>
      </c>
      <c r="G105" s="274" t="s">
        <v>1511</v>
      </c>
      <c r="H105" s="274" t="s">
        <v>414</v>
      </c>
      <c r="I105" s="274" t="s">
        <v>1614</v>
      </c>
      <c r="J105" s="274" t="s">
        <v>403</v>
      </c>
      <c r="K105" s="275">
        <v>0.41666666666666669</v>
      </c>
      <c r="L105" s="275">
        <v>0.7583333333333333</v>
      </c>
      <c r="M105" s="275">
        <v>0.34166666666666662</v>
      </c>
      <c r="N105" s="275">
        <v>0.52083333333333337</v>
      </c>
      <c r="O105" s="275">
        <v>0.58333333333333337</v>
      </c>
      <c r="P105" s="275">
        <v>0.67361111111111116</v>
      </c>
      <c r="Q105" s="276">
        <v>41731</v>
      </c>
      <c r="R105" s="284" t="s">
        <v>2</v>
      </c>
      <c r="S105" s="276">
        <v>41762</v>
      </c>
      <c r="T105" s="284" t="s">
        <v>2</v>
      </c>
      <c r="U105" s="274" t="s">
        <v>707</v>
      </c>
      <c r="V105" s="276">
        <v>42072</v>
      </c>
      <c r="W105" s="276">
        <v>42072</v>
      </c>
      <c r="X105" s="276" t="s">
        <v>2</v>
      </c>
      <c r="Y105" s="274" t="s">
        <v>1438</v>
      </c>
      <c r="Z105" s="274" t="s">
        <v>2</v>
      </c>
      <c r="AA105" s="274" t="s">
        <v>2</v>
      </c>
      <c r="AB105" s="276" t="s">
        <v>2</v>
      </c>
      <c r="AC105" s="274" t="s">
        <v>2</v>
      </c>
      <c r="AD105" s="274" t="s">
        <v>2</v>
      </c>
      <c r="AE105" s="276"/>
      <c r="AF105" s="274" t="s">
        <v>2</v>
      </c>
      <c r="AG105" s="274" t="s">
        <v>775</v>
      </c>
      <c r="AH105" s="274" t="s">
        <v>2197</v>
      </c>
      <c r="AI105" s="274" t="s">
        <v>89</v>
      </c>
      <c r="AJ105" s="281">
        <v>810087</v>
      </c>
      <c r="AK105" s="281" t="s">
        <v>1859</v>
      </c>
      <c r="AL105" s="281" t="s">
        <v>1688</v>
      </c>
      <c r="AM105" s="281" t="s">
        <v>2</v>
      </c>
      <c r="AN105" s="281" t="s">
        <v>422</v>
      </c>
      <c r="AO105" s="281" t="s">
        <v>2030</v>
      </c>
      <c r="AP105" s="281" t="s">
        <v>2</v>
      </c>
      <c r="AQ105" s="302" t="s">
        <v>2</v>
      </c>
    </row>
    <row r="106" spans="1:43" ht="15" customHeight="1">
      <c r="A106" s="90"/>
      <c r="B106" s="84"/>
      <c r="C106" s="91"/>
      <c r="D106" s="301">
        <v>29860</v>
      </c>
      <c r="E106" s="283">
        <v>868176</v>
      </c>
      <c r="F106" s="273">
        <v>17026</v>
      </c>
      <c r="G106" s="274" t="s">
        <v>1512</v>
      </c>
      <c r="H106" s="274" t="s">
        <v>414</v>
      </c>
      <c r="I106" s="274" t="s">
        <v>1614</v>
      </c>
      <c r="J106" s="274" t="s">
        <v>403</v>
      </c>
      <c r="K106" s="275">
        <v>0.41666666666666669</v>
      </c>
      <c r="L106" s="275">
        <v>0.68055555555555558</v>
      </c>
      <c r="M106" s="275">
        <v>0.2638888888888889</v>
      </c>
      <c r="N106" s="275">
        <v>0.52777777777777779</v>
      </c>
      <c r="O106" s="275">
        <v>0.58333333333333337</v>
      </c>
      <c r="P106" s="275">
        <v>0.63888888888888895</v>
      </c>
      <c r="Q106" s="276">
        <v>41983</v>
      </c>
      <c r="R106" s="284" t="s">
        <v>2</v>
      </c>
      <c r="S106" s="276">
        <v>42009</v>
      </c>
      <c r="T106" s="284" t="s">
        <v>2</v>
      </c>
      <c r="U106" s="274" t="s">
        <v>707</v>
      </c>
      <c r="V106" s="276">
        <v>42072</v>
      </c>
      <c r="W106" s="276">
        <v>42072</v>
      </c>
      <c r="X106" s="276" t="s">
        <v>2</v>
      </c>
      <c r="Y106" s="274" t="s">
        <v>2199</v>
      </c>
      <c r="Z106" s="274" t="s">
        <v>2</v>
      </c>
      <c r="AA106" s="274" t="s">
        <v>2</v>
      </c>
      <c r="AB106" s="276" t="s">
        <v>2</v>
      </c>
      <c r="AC106" s="274" t="s">
        <v>2</v>
      </c>
      <c r="AD106" s="274">
        <v>7724065</v>
      </c>
      <c r="AE106" s="276"/>
      <c r="AF106" s="274" t="s">
        <v>2196</v>
      </c>
      <c r="AG106" s="274" t="s">
        <v>775</v>
      </c>
      <c r="AH106" s="274" t="s">
        <v>2197</v>
      </c>
      <c r="AI106" s="274" t="s">
        <v>89</v>
      </c>
      <c r="AJ106" s="281">
        <v>810195</v>
      </c>
      <c r="AK106" s="281" t="s">
        <v>1860</v>
      </c>
      <c r="AL106" s="281" t="s">
        <v>1689</v>
      </c>
      <c r="AM106" s="281" t="s">
        <v>2</v>
      </c>
      <c r="AN106" s="281" t="s">
        <v>422</v>
      </c>
      <c r="AO106" s="281" t="s">
        <v>2031</v>
      </c>
      <c r="AP106" s="281" t="s">
        <v>2</v>
      </c>
      <c r="AQ106" s="302" t="s">
        <v>2</v>
      </c>
    </row>
    <row r="107" spans="1:43" ht="15" customHeight="1">
      <c r="A107" s="90"/>
      <c r="B107" s="84"/>
      <c r="C107" s="91"/>
      <c r="D107" s="301">
        <v>28085</v>
      </c>
      <c r="E107" s="283">
        <v>836288</v>
      </c>
      <c r="F107" s="273">
        <v>12814</v>
      </c>
      <c r="G107" s="274" t="s">
        <v>1513</v>
      </c>
      <c r="H107" s="274" t="s">
        <v>417</v>
      </c>
      <c r="I107" s="274" t="s">
        <v>1614</v>
      </c>
      <c r="J107" s="274" t="s">
        <v>403</v>
      </c>
      <c r="K107" s="275">
        <v>0.57500000000000007</v>
      </c>
      <c r="L107" s="275">
        <v>0.91666666666666663</v>
      </c>
      <c r="M107" s="275">
        <v>0.34166666666666656</v>
      </c>
      <c r="N107" s="275">
        <v>0.65277777777777779</v>
      </c>
      <c r="O107" s="275">
        <v>0.77083333333333337</v>
      </c>
      <c r="P107" s="275">
        <v>0.85416666666666663</v>
      </c>
      <c r="Q107" s="276">
        <v>41731</v>
      </c>
      <c r="R107" s="284" t="s">
        <v>2</v>
      </c>
      <c r="S107" s="276">
        <v>41762</v>
      </c>
      <c r="T107" s="284" t="s">
        <v>2</v>
      </c>
      <c r="U107" s="274" t="s">
        <v>707</v>
      </c>
      <c r="V107" s="276">
        <v>42069</v>
      </c>
      <c r="W107" s="276">
        <v>42069</v>
      </c>
      <c r="X107" s="276" t="s">
        <v>2</v>
      </c>
      <c r="Y107" s="274" t="s">
        <v>1438</v>
      </c>
      <c r="Z107" s="274" t="s">
        <v>2</v>
      </c>
      <c r="AA107" s="274" t="s">
        <v>2</v>
      </c>
      <c r="AB107" s="276" t="s">
        <v>2</v>
      </c>
      <c r="AC107" s="274" t="s">
        <v>2</v>
      </c>
      <c r="AD107" s="274" t="s">
        <v>2</v>
      </c>
      <c r="AE107" s="276"/>
      <c r="AF107" s="274" t="s">
        <v>2</v>
      </c>
      <c r="AG107" s="274" t="s">
        <v>775</v>
      </c>
      <c r="AH107" s="274" t="s">
        <v>2197</v>
      </c>
      <c r="AI107" s="274" t="s">
        <v>89</v>
      </c>
      <c r="AJ107" s="281">
        <v>810040</v>
      </c>
      <c r="AK107" s="281" t="s">
        <v>1861</v>
      </c>
      <c r="AL107" s="281" t="s">
        <v>1690</v>
      </c>
      <c r="AM107" s="281" t="s">
        <v>2</v>
      </c>
      <c r="AN107" s="281" t="s">
        <v>422</v>
      </c>
      <c r="AO107" s="281" t="s">
        <v>2032</v>
      </c>
      <c r="AP107" s="281" t="s">
        <v>2</v>
      </c>
      <c r="AQ107" s="302" t="s">
        <v>2</v>
      </c>
    </row>
    <row r="108" spans="1:43" ht="15" customHeight="1">
      <c r="A108" s="90"/>
      <c r="B108" s="84"/>
      <c r="C108" s="91"/>
      <c r="D108" s="301">
        <v>29855</v>
      </c>
      <c r="E108" s="283">
        <v>868170</v>
      </c>
      <c r="F108" s="273">
        <v>17057</v>
      </c>
      <c r="G108" s="274" t="s">
        <v>1524</v>
      </c>
      <c r="H108" s="274" t="s">
        <v>417</v>
      </c>
      <c r="I108" s="274" t="s">
        <v>1614</v>
      </c>
      <c r="J108" s="274" t="s">
        <v>403</v>
      </c>
      <c r="K108" s="275">
        <v>0.63888888888888895</v>
      </c>
      <c r="L108" s="275">
        <v>0.90277777777777779</v>
      </c>
      <c r="M108" s="275">
        <v>0.2638888888888889</v>
      </c>
      <c r="N108" s="275">
        <v>0.70138888888888884</v>
      </c>
      <c r="O108" s="275">
        <v>0.75</v>
      </c>
      <c r="P108" s="275">
        <v>0.85416666666666663</v>
      </c>
      <c r="Q108" s="276">
        <v>41983</v>
      </c>
      <c r="R108" s="284" t="s">
        <v>2</v>
      </c>
      <c r="S108" s="276">
        <v>42009</v>
      </c>
      <c r="T108" s="284" t="s">
        <v>2</v>
      </c>
      <c r="U108" s="274" t="s">
        <v>707</v>
      </c>
      <c r="V108" s="276">
        <v>42093</v>
      </c>
      <c r="W108" s="276">
        <v>42093</v>
      </c>
      <c r="X108" s="276" t="s">
        <v>2</v>
      </c>
      <c r="Y108" s="274" t="s">
        <v>1438</v>
      </c>
      <c r="Z108" s="274" t="s">
        <v>2</v>
      </c>
      <c r="AA108" s="274" t="s">
        <v>2</v>
      </c>
      <c r="AB108" s="276" t="s">
        <v>2</v>
      </c>
      <c r="AC108" s="274" t="s">
        <v>2</v>
      </c>
      <c r="AD108" s="274">
        <v>6385690</v>
      </c>
      <c r="AE108" s="276"/>
      <c r="AF108" s="274" t="s">
        <v>2193</v>
      </c>
      <c r="AG108" s="274" t="s">
        <v>775</v>
      </c>
      <c r="AH108" s="274" t="s">
        <v>2197</v>
      </c>
      <c r="AI108" s="274" t="s">
        <v>89</v>
      </c>
      <c r="AJ108" s="281">
        <v>810259</v>
      </c>
      <c r="AK108" s="281" t="s">
        <v>1872</v>
      </c>
      <c r="AL108" s="281" t="s">
        <v>1701</v>
      </c>
      <c r="AM108" s="281" t="s">
        <v>2</v>
      </c>
      <c r="AN108" s="281" t="s">
        <v>422</v>
      </c>
      <c r="AO108" s="281" t="s">
        <v>2043</v>
      </c>
      <c r="AP108" s="281" t="s">
        <v>2</v>
      </c>
      <c r="AQ108" s="302" t="s">
        <v>2</v>
      </c>
    </row>
    <row r="109" spans="1:43" ht="15" customHeight="1">
      <c r="A109" s="90"/>
      <c r="B109" s="84"/>
      <c r="C109" s="91"/>
      <c r="D109" s="301">
        <v>29889</v>
      </c>
      <c r="E109" s="283">
        <v>868205</v>
      </c>
      <c r="F109" s="273">
        <v>17054</v>
      </c>
      <c r="G109" s="274" t="s">
        <v>1514</v>
      </c>
      <c r="H109" s="274" t="s">
        <v>418</v>
      </c>
      <c r="I109" s="274" t="s">
        <v>1614</v>
      </c>
      <c r="J109" s="274" t="s">
        <v>403</v>
      </c>
      <c r="K109" s="275">
        <v>0.35416666666666669</v>
      </c>
      <c r="L109" s="275">
        <v>0.61805555555555558</v>
      </c>
      <c r="M109" s="275">
        <v>0.26388888888888895</v>
      </c>
      <c r="N109" s="275">
        <v>0.40972222222222227</v>
      </c>
      <c r="O109" s="275">
        <v>0.52083333333333337</v>
      </c>
      <c r="P109" s="275">
        <v>0.57638888888888895</v>
      </c>
      <c r="Q109" s="276">
        <v>41983</v>
      </c>
      <c r="R109" s="284" t="s">
        <v>2</v>
      </c>
      <c r="S109" s="276">
        <v>42009</v>
      </c>
      <c r="T109" s="284" t="s">
        <v>2</v>
      </c>
      <c r="U109" s="274" t="s">
        <v>707</v>
      </c>
      <c r="V109" s="276">
        <v>42068</v>
      </c>
      <c r="W109" s="276">
        <v>42068</v>
      </c>
      <c r="X109" s="276" t="s">
        <v>2</v>
      </c>
      <c r="Y109" s="274" t="s">
        <v>1438</v>
      </c>
      <c r="Z109" s="274" t="s">
        <v>2</v>
      </c>
      <c r="AA109" s="274" t="s">
        <v>2</v>
      </c>
      <c r="AB109" s="276" t="s">
        <v>2</v>
      </c>
      <c r="AC109" s="274" t="s">
        <v>2</v>
      </c>
      <c r="AD109" s="274">
        <v>6266040</v>
      </c>
      <c r="AE109" s="276"/>
      <c r="AF109" s="274" t="s">
        <v>2193</v>
      </c>
      <c r="AG109" s="274" t="s">
        <v>775</v>
      </c>
      <c r="AH109" s="274" t="s">
        <v>2197</v>
      </c>
      <c r="AI109" s="274" t="s">
        <v>89</v>
      </c>
      <c r="AJ109" s="281">
        <v>410246</v>
      </c>
      <c r="AK109" s="281" t="s">
        <v>1862</v>
      </c>
      <c r="AL109" s="281" t="s">
        <v>1691</v>
      </c>
      <c r="AM109" s="281" t="s">
        <v>2</v>
      </c>
      <c r="AN109" s="281" t="s">
        <v>422</v>
      </c>
      <c r="AO109" s="281" t="s">
        <v>2033</v>
      </c>
      <c r="AP109" s="281" t="s">
        <v>2</v>
      </c>
      <c r="AQ109" s="302" t="s">
        <v>2</v>
      </c>
    </row>
    <row r="110" spans="1:43" ht="15" customHeight="1">
      <c r="A110" s="90"/>
      <c r="B110" s="84"/>
      <c r="C110" s="91"/>
      <c r="D110" s="301">
        <v>29897</v>
      </c>
      <c r="E110" s="283">
        <v>868213</v>
      </c>
      <c r="F110" s="273">
        <v>17082</v>
      </c>
      <c r="G110" s="274" t="s">
        <v>1515</v>
      </c>
      <c r="H110" s="274" t="s">
        <v>418</v>
      </c>
      <c r="I110" s="274" t="s">
        <v>1614</v>
      </c>
      <c r="J110" s="274" t="s">
        <v>403</v>
      </c>
      <c r="K110" s="275">
        <v>0.41666666666666669</v>
      </c>
      <c r="L110" s="275">
        <v>0.68055555555555558</v>
      </c>
      <c r="M110" s="275">
        <v>0.2638888888888889</v>
      </c>
      <c r="N110" s="275">
        <v>0.52777777777777779</v>
      </c>
      <c r="O110" s="275">
        <v>0.58333333333333337</v>
      </c>
      <c r="P110" s="275">
        <v>0.63888888888888895</v>
      </c>
      <c r="Q110" s="276">
        <v>41983</v>
      </c>
      <c r="R110" s="284" t="s">
        <v>2</v>
      </c>
      <c r="S110" s="276">
        <v>42009</v>
      </c>
      <c r="T110" s="284" t="s">
        <v>2</v>
      </c>
      <c r="U110" s="274" t="s">
        <v>707</v>
      </c>
      <c r="V110" s="276">
        <v>42072</v>
      </c>
      <c r="W110" s="276">
        <v>42072</v>
      </c>
      <c r="X110" s="276" t="s">
        <v>2</v>
      </c>
      <c r="Y110" s="274" t="s">
        <v>2198</v>
      </c>
      <c r="Z110" s="274" t="s">
        <v>2</v>
      </c>
      <c r="AA110" s="274" t="s">
        <v>2</v>
      </c>
      <c r="AB110" s="276" t="s">
        <v>2</v>
      </c>
      <c r="AC110" s="274" t="s">
        <v>2</v>
      </c>
      <c r="AD110" s="274">
        <v>90450000</v>
      </c>
      <c r="AE110" s="276"/>
      <c r="AF110" s="274" t="s">
        <v>2190</v>
      </c>
      <c r="AG110" s="274" t="s">
        <v>775</v>
      </c>
      <c r="AH110" s="274" t="s">
        <v>2197</v>
      </c>
      <c r="AI110" s="274" t="s">
        <v>89</v>
      </c>
      <c r="AJ110" s="281">
        <v>810267</v>
      </c>
      <c r="AK110" s="281" t="s">
        <v>1863</v>
      </c>
      <c r="AL110" s="281" t="s">
        <v>1692</v>
      </c>
      <c r="AM110" s="281" t="s">
        <v>2</v>
      </c>
      <c r="AN110" s="281" t="s">
        <v>422</v>
      </c>
      <c r="AO110" s="281" t="s">
        <v>2034</v>
      </c>
      <c r="AP110" s="281" t="s">
        <v>2</v>
      </c>
      <c r="AQ110" s="302" t="s">
        <v>2</v>
      </c>
    </row>
    <row r="111" spans="1:43" ht="15" customHeight="1">
      <c r="A111" s="90"/>
      <c r="B111" s="84"/>
      <c r="C111" s="91"/>
      <c r="D111" s="301">
        <v>19958</v>
      </c>
      <c r="E111" s="283">
        <v>755771</v>
      </c>
      <c r="F111" s="273">
        <v>12143</v>
      </c>
      <c r="G111" s="274" t="s">
        <v>1525</v>
      </c>
      <c r="H111" s="274" t="s">
        <v>409</v>
      </c>
      <c r="I111" s="274" t="s">
        <v>9</v>
      </c>
      <c r="J111" s="274" t="s">
        <v>392</v>
      </c>
      <c r="K111" s="275">
        <v>0.33333333333333331</v>
      </c>
      <c r="L111" s="275">
        <v>0.59722222222222221</v>
      </c>
      <c r="M111" s="275">
        <v>0.2638888888888889</v>
      </c>
      <c r="N111" s="275">
        <v>0.3888888888888889</v>
      </c>
      <c r="O111" s="275">
        <v>0.4513888888888889</v>
      </c>
      <c r="P111" s="275">
        <v>0.54166666666666663</v>
      </c>
      <c r="Q111" s="276">
        <v>40889</v>
      </c>
      <c r="R111" s="284" t="s">
        <v>2</v>
      </c>
      <c r="S111" s="276">
        <v>40912</v>
      </c>
      <c r="T111" s="284" t="s">
        <v>2</v>
      </c>
      <c r="U111" s="274" t="s">
        <v>707</v>
      </c>
      <c r="V111" s="276">
        <v>42111</v>
      </c>
      <c r="W111" s="276">
        <v>42111</v>
      </c>
      <c r="X111" s="276" t="s">
        <v>2</v>
      </c>
      <c r="Y111" s="274" t="s">
        <v>1438</v>
      </c>
      <c r="Z111" s="274" t="s">
        <v>2</v>
      </c>
      <c r="AA111" s="274" t="s">
        <v>2</v>
      </c>
      <c r="AB111" s="276" t="s">
        <v>2</v>
      </c>
      <c r="AC111" s="274" t="s">
        <v>2</v>
      </c>
      <c r="AD111" s="274">
        <v>2537000</v>
      </c>
      <c r="AE111" s="276"/>
      <c r="AF111" s="274" t="s">
        <v>2189</v>
      </c>
      <c r="AG111" s="274" t="s">
        <v>775</v>
      </c>
      <c r="AH111" s="274" t="s">
        <v>2197</v>
      </c>
      <c r="AI111" s="274" t="s">
        <v>89</v>
      </c>
      <c r="AJ111" s="281">
        <v>810001</v>
      </c>
      <c r="AK111" s="281" t="s">
        <v>1873</v>
      </c>
      <c r="AL111" s="281" t="s">
        <v>1702</v>
      </c>
      <c r="AM111" s="281" t="s">
        <v>2</v>
      </c>
      <c r="AN111" s="281" t="s">
        <v>2</v>
      </c>
      <c r="AO111" s="281" t="s">
        <v>2044</v>
      </c>
      <c r="AP111" s="281" t="s">
        <v>1249</v>
      </c>
      <c r="AQ111" s="302" t="s">
        <v>1249</v>
      </c>
    </row>
    <row r="112" spans="1:43" ht="15" customHeight="1">
      <c r="A112" s="90"/>
      <c r="B112" s="84"/>
      <c r="C112" s="91"/>
      <c r="D112" s="301">
        <v>19481</v>
      </c>
      <c r="E112" s="283">
        <v>750231</v>
      </c>
      <c r="F112" s="273">
        <v>12155</v>
      </c>
      <c r="G112" s="274" t="s">
        <v>1526</v>
      </c>
      <c r="H112" s="274" t="s">
        <v>408</v>
      </c>
      <c r="I112" s="274" t="s">
        <v>9</v>
      </c>
      <c r="J112" s="274" t="s">
        <v>393</v>
      </c>
      <c r="K112" s="275">
        <v>0.65277777777777779</v>
      </c>
      <c r="L112" s="275">
        <v>0.91666666666666663</v>
      </c>
      <c r="M112" s="275">
        <v>0.26388888888888884</v>
      </c>
      <c r="N112" s="275">
        <v>0.70833333333333337</v>
      </c>
      <c r="O112" s="275">
        <v>0.75</v>
      </c>
      <c r="P112" s="275">
        <v>0.8125</v>
      </c>
      <c r="Q112" s="276">
        <v>40848</v>
      </c>
      <c r="R112" s="284" t="s">
        <v>2</v>
      </c>
      <c r="S112" s="276">
        <v>40871</v>
      </c>
      <c r="T112" s="284" t="s">
        <v>2</v>
      </c>
      <c r="U112" s="274" t="s">
        <v>707</v>
      </c>
      <c r="V112" s="276">
        <v>42096</v>
      </c>
      <c r="W112" s="276">
        <v>42096</v>
      </c>
      <c r="X112" s="276" t="s">
        <v>2</v>
      </c>
      <c r="Y112" s="274" t="s">
        <v>2199</v>
      </c>
      <c r="Z112" s="274" t="s">
        <v>2</v>
      </c>
      <c r="AA112" s="274" t="s">
        <v>2</v>
      </c>
      <c r="AB112" s="276" t="s">
        <v>2</v>
      </c>
      <c r="AC112" s="274" t="s">
        <v>2</v>
      </c>
      <c r="AD112" s="274">
        <v>3303000</v>
      </c>
      <c r="AE112" s="276"/>
      <c r="AF112" s="274" t="s">
        <v>2195</v>
      </c>
      <c r="AG112" s="274" t="s">
        <v>775</v>
      </c>
      <c r="AH112" s="274" t="s">
        <v>2197</v>
      </c>
      <c r="AI112" s="274" t="s">
        <v>89</v>
      </c>
      <c r="AJ112" s="281" t="s">
        <v>2</v>
      </c>
      <c r="AK112" s="281" t="s">
        <v>1874</v>
      </c>
      <c r="AL112" s="281" t="s">
        <v>1703</v>
      </c>
      <c r="AM112" s="281" t="s">
        <v>2</v>
      </c>
      <c r="AN112" s="281" t="s">
        <v>2</v>
      </c>
      <c r="AO112" s="281" t="s">
        <v>2045</v>
      </c>
      <c r="AP112" s="281" t="s">
        <v>1249</v>
      </c>
      <c r="AQ112" s="302" t="s">
        <v>2</v>
      </c>
    </row>
    <row r="113" spans="1:43" ht="15" customHeight="1">
      <c r="A113" s="90"/>
      <c r="B113" s="84"/>
      <c r="C113" s="91"/>
      <c r="D113" s="301">
        <v>16878</v>
      </c>
      <c r="E113" s="283">
        <v>727103</v>
      </c>
      <c r="F113" s="273">
        <v>12626</v>
      </c>
      <c r="G113" s="274" t="s">
        <v>1527</v>
      </c>
      <c r="H113" s="274" t="s">
        <v>410</v>
      </c>
      <c r="I113" s="274" t="s">
        <v>9</v>
      </c>
      <c r="J113" s="274" t="s">
        <v>393</v>
      </c>
      <c r="K113" s="275">
        <v>0.45833333333333331</v>
      </c>
      <c r="L113" s="275">
        <v>0.72222222222222221</v>
      </c>
      <c r="M113" s="275">
        <v>0.26388888888888895</v>
      </c>
      <c r="N113" s="275">
        <v>0.5</v>
      </c>
      <c r="O113" s="275">
        <v>0.58333333333333337</v>
      </c>
      <c r="P113" s="275">
        <v>0.67361111111111116</v>
      </c>
      <c r="Q113" s="276">
        <v>40665</v>
      </c>
      <c r="R113" s="284" t="s">
        <v>2</v>
      </c>
      <c r="S113" s="276">
        <v>40688</v>
      </c>
      <c r="T113" s="284" t="s">
        <v>2</v>
      </c>
      <c r="U113" s="274" t="s">
        <v>707</v>
      </c>
      <c r="V113" s="276">
        <v>42096</v>
      </c>
      <c r="W113" s="276">
        <v>42096</v>
      </c>
      <c r="X113" s="276" t="s">
        <v>2</v>
      </c>
      <c r="Y113" s="274" t="s">
        <v>2199</v>
      </c>
      <c r="Z113" s="274" t="s">
        <v>2</v>
      </c>
      <c r="AA113" s="274" t="s">
        <v>2</v>
      </c>
      <c r="AB113" s="276" t="s">
        <v>2</v>
      </c>
      <c r="AC113" s="274" t="s">
        <v>2</v>
      </c>
      <c r="AD113" s="274">
        <v>6150492</v>
      </c>
      <c r="AE113" s="276"/>
      <c r="AF113" s="274" t="s">
        <v>2193</v>
      </c>
      <c r="AG113" s="274" t="s">
        <v>775</v>
      </c>
      <c r="AH113" s="274" t="s">
        <v>2197</v>
      </c>
      <c r="AI113" s="274" t="s">
        <v>89</v>
      </c>
      <c r="AJ113" s="281" t="s">
        <v>2</v>
      </c>
      <c r="AK113" s="281" t="s">
        <v>1875</v>
      </c>
      <c r="AL113" s="281" t="s">
        <v>1704</v>
      </c>
      <c r="AM113" s="281" t="s">
        <v>2</v>
      </c>
      <c r="AN113" s="281" t="s">
        <v>2</v>
      </c>
      <c r="AO113" s="281" t="s">
        <v>2046</v>
      </c>
      <c r="AP113" s="281" t="s">
        <v>1249</v>
      </c>
      <c r="AQ113" s="302" t="s">
        <v>2</v>
      </c>
    </row>
    <row r="114" spans="1:43" ht="15" customHeight="1">
      <c r="A114" s="90"/>
      <c r="B114" s="84"/>
      <c r="C114" s="91"/>
      <c r="D114" s="301">
        <v>22049</v>
      </c>
      <c r="E114" s="283">
        <v>770450</v>
      </c>
      <c r="F114" s="273">
        <v>12805</v>
      </c>
      <c r="G114" s="274" t="s">
        <v>1528</v>
      </c>
      <c r="H114" s="274" t="s">
        <v>412</v>
      </c>
      <c r="I114" s="274" t="s">
        <v>16</v>
      </c>
      <c r="J114" s="274" t="s">
        <v>395</v>
      </c>
      <c r="K114" s="275">
        <v>0.35416666666666669</v>
      </c>
      <c r="L114" s="275">
        <v>0.6958333333333333</v>
      </c>
      <c r="M114" s="275">
        <v>0.34166666666666662</v>
      </c>
      <c r="N114" s="275" t="s">
        <v>2</v>
      </c>
      <c r="O114" s="275" t="s">
        <v>2</v>
      </c>
      <c r="P114" s="275" t="s">
        <v>2</v>
      </c>
      <c r="Q114" s="276">
        <v>41065</v>
      </c>
      <c r="R114" s="284" t="s">
        <v>2</v>
      </c>
      <c r="S114" s="276">
        <v>41088</v>
      </c>
      <c r="T114" s="284" t="s">
        <v>2</v>
      </c>
      <c r="U114" s="274" t="s">
        <v>707</v>
      </c>
      <c r="V114" s="276">
        <v>42116</v>
      </c>
      <c r="W114" s="276">
        <v>42116</v>
      </c>
      <c r="X114" s="276" t="s">
        <v>2</v>
      </c>
      <c r="Y114" s="274" t="s">
        <v>2</v>
      </c>
      <c r="Z114" s="274" t="s">
        <v>2202</v>
      </c>
      <c r="AA114" s="274" t="s">
        <v>395</v>
      </c>
      <c r="AB114" s="276" t="s">
        <v>2204</v>
      </c>
      <c r="AC114" s="274">
        <v>42116</v>
      </c>
      <c r="AD114" s="274">
        <v>6190220</v>
      </c>
      <c r="AE114" s="276"/>
      <c r="AF114" s="274" t="s">
        <v>2193</v>
      </c>
      <c r="AG114" s="274" t="s">
        <v>775</v>
      </c>
      <c r="AH114" s="274" t="s">
        <v>2197</v>
      </c>
      <c r="AI114" s="274" t="s">
        <v>89</v>
      </c>
      <c r="AJ114" s="281" t="s">
        <v>2</v>
      </c>
      <c r="AK114" s="281" t="s">
        <v>1876</v>
      </c>
      <c r="AL114" s="281" t="s">
        <v>1705</v>
      </c>
      <c r="AM114" s="281" t="s">
        <v>2</v>
      </c>
      <c r="AN114" s="281" t="s">
        <v>2</v>
      </c>
      <c r="AO114" s="281" t="s">
        <v>2047</v>
      </c>
      <c r="AP114" s="281" t="s">
        <v>1249</v>
      </c>
      <c r="AQ114" s="302" t="s">
        <v>2</v>
      </c>
    </row>
    <row r="115" spans="1:43" ht="15" customHeight="1">
      <c r="A115" s="90"/>
      <c r="B115" s="84"/>
      <c r="C115" s="91"/>
      <c r="D115" s="301">
        <v>28276</v>
      </c>
      <c r="E115" s="283">
        <v>839981</v>
      </c>
      <c r="F115" s="273" t="s">
        <v>2</v>
      </c>
      <c r="G115" s="274" t="s">
        <v>1529</v>
      </c>
      <c r="H115" s="274" t="s">
        <v>412</v>
      </c>
      <c r="I115" s="274" t="s">
        <v>9</v>
      </c>
      <c r="J115" s="274" t="s">
        <v>395</v>
      </c>
      <c r="K115" s="275">
        <v>0.3611111111111111</v>
      </c>
      <c r="L115" s="275">
        <v>0.625</v>
      </c>
      <c r="M115" s="275">
        <v>0.2638888888888889</v>
      </c>
      <c r="N115" s="275" t="s">
        <v>2</v>
      </c>
      <c r="O115" s="275" t="s">
        <v>2</v>
      </c>
      <c r="P115" s="275" t="s">
        <v>2</v>
      </c>
      <c r="Q115" s="276">
        <v>41765</v>
      </c>
      <c r="R115" s="284" t="s">
        <v>2</v>
      </c>
      <c r="S115" s="276" t="s">
        <v>1616</v>
      </c>
      <c r="T115" s="284" t="s">
        <v>2</v>
      </c>
      <c r="U115" s="274" t="s">
        <v>707</v>
      </c>
      <c r="V115" s="276">
        <v>42104</v>
      </c>
      <c r="W115" s="276">
        <v>42104</v>
      </c>
      <c r="X115" s="276" t="s">
        <v>2</v>
      </c>
      <c r="Y115" s="274" t="s">
        <v>1438</v>
      </c>
      <c r="Z115" s="274" t="s">
        <v>2</v>
      </c>
      <c r="AA115" s="274" t="s">
        <v>2</v>
      </c>
      <c r="AB115" s="276" t="s">
        <v>2</v>
      </c>
      <c r="AC115" s="274" t="s">
        <v>2</v>
      </c>
      <c r="AD115" s="274" t="s">
        <v>2157</v>
      </c>
      <c r="AE115" s="276"/>
      <c r="AF115" s="274" t="s">
        <v>2192</v>
      </c>
      <c r="AG115" s="274" t="s">
        <v>775</v>
      </c>
      <c r="AH115" s="274" t="s">
        <v>2197</v>
      </c>
      <c r="AI115" s="274" t="s">
        <v>89</v>
      </c>
      <c r="AJ115" s="281" t="s">
        <v>2</v>
      </c>
      <c r="AK115" s="281" t="s">
        <v>1877</v>
      </c>
      <c r="AL115" s="281" t="s">
        <v>1706</v>
      </c>
      <c r="AM115" s="281" t="s">
        <v>2</v>
      </c>
      <c r="AN115" s="281" t="s">
        <v>2</v>
      </c>
      <c r="AO115" s="281" t="s">
        <v>2048</v>
      </c>
      <c r="AP115" s="281" t="s">
        <v>1249</v>
      </c>
      <c r="AQ115" s="302" t="s">
        <v>2</v>
      </c>
    </row>
    <row r="116" spans="1:43" ht="15" customHeight="1">
      <c r="A116" s="90"/>
      <c r="B116" s="84"/>
      <c r="C116" s="91"/>
      <c r="D116" s="301">
        <v>29835</v>
      </c>
      <c r="E116" s="283">
        <v>868149</v>
      </c>
      <c r="F116" s="273">
        <v>17034</v>
      </c>
      <c r="G116" s="274" t="s">
        <v>1530</v>
      </c>
      <c r="H116" s="274" t="s">
        <v>419</v>
      </c>
      <c r="I116" s="274" t="s">
        <v>16</v>
      </c>
      <c r="J116" s="274" t="s">
        <v>398</v>
      </c>
      <c r="K116" s="275">
        <v>0.57500000000000007</v>
      </c>
      <c r="L116" s="275">
        <v>0.91666666666666663</v>
      </c>
      <c r="M116" s="275">
        <v>0.34166666666666656</v>
      </c>
      <c r="N116" s="275">
        <v>0.65972222222222221</v>
      </c>
      <c r="O116" s="275">
        <v>0.79166666666666663</v>
      </c>
      <c r="P116" s="275">
        <v>0.86805555555555547</v>
      </c>
      <c r="Q116" s="276">
        <v>41983</v>
      </c>
      <c r="R116" s="284" t="s">
        <v>2</v>
      </c>
      <c r="S116" s="276">
        <v>42009</v>
      </c>
      <c r="T116" s="284" t="s">
        <v>2</v>
      </c>
      <c r="U116" s="274" t="s">
        <v>707</v>
      </c>
      <c r="V116" s="276">
        <v>42114</v>
      </c>
      <c r="W116" s="276">
        <v>42114</v>
      </c>
      <c r="X116" s="276" t="s">
        <v>2</v>
      </c>
      <c r="Y116" s="274" t="s">
        <v>2</v>
      </c>
      <c r="Z116" s="274" t="s">
        <v>2</v>
      </c>
      <c r="AA116" s="274" t="s">
        <v>398</v>
      </c>
      <c r="AB116" s="276" t="s">
        <v>2208</v>
      </c>
      <c r="AC116" s="274">
        <v>42116</v>
      </c>
      <c r="AD116" s="274" t="s">
        <v>2158</v>
      </c>
      <c r="AE116" s="276"/>
      <c r="AF116" s="274" t="s">
        <v>2190</v>
      </c>
      <c r="AG116" s="274" t="s">
        <v>775</v>
      </c>
      <c r="AH116" s="274" t="s">
        <v>2197</v>
      </c>
      <c r="AI116" s="274" t="s">
        <v>89</v>
      </c>
      <c r="AJ116" s="281">
        <v>0</v>
      </c>
      <c r="AK116" s="281" t="s">
        <v>1878</v>
      </c>
      <c r="AL116" s="281" t="s">
        <v>1707</v>
      </c>
      <c r="AM116" s="281" t="s">
        <v>2</v>
      </c>
      <c r="AN116" s="281" t="s">
        <v>422</v>
      </c>
      <c r="AO116" s="281" t="s">
        <v>2049</v>
      </c>
      <c r="AP116" s="281" t="s">
        <v>2</v>
      </c>
      <c r="AQ116" s="302" t="s">
        <v>2</v>
      </c>
    </row>
    <row r="117" spans="1:43" ht="15" customHeight="1">
      <c r="A117" s="90"/>
      <c r="B117" s="84"/>
      <c r="C117" s="91"/>
      <c r="D117" s="301">
        <v>29853</v>
      </c>
      <c r="E117" s="283">
        <v>868168</v>
      </c>
      <c r="F117" s="273">
        <v>17053</v>
      </c>
      <c r="G117" s="274" t="s">
        <v>1531</v>
      </c>
      <c r="H117" s="274" t="s">
        <v>420</v>
      </c>
      <c r="I117" s="274" t="s">
        <v>9</v>
      </c>
      <c r="J117" s="274" t="s">
        <v>398</v>
      </c>
      <c r="K117" s="275">
        <v>0.46527777777777773</v>
      </c>
      <c r="L117" s="275">
        <v>0.72916666666666663</v>
      </c>
      <c r="M117" s="275">
        <v>0.2638888888888889</v>
      </c>
      <c r="N117" s="275">
        <v>0.52083333333333337</v>
      </c>
      <c r="O117" s="275">
        <v>0.58333333333333337</v>
      </c>
      <c r="P117" s="275">
        <v>0.6875</v>
      </c>
      <c r="Q117" s="276">
        <v>41983</v>
      </c>
      <c r="R117" s="284" t="s">
        <v>2</v>
      </c>
      <c r="S117" s="276">
        <v>42009</v>
      </c>
      <c r="T117" s="284" t="s">
        <v>2</v>
      </c>
      <c r="U117" s="274" t="s">
        <v>707</v>
      </c>
      <c r="V117" s="276">
        <v>42118</v>
      </c>
      <c r="W117" s="276">
        <v>42118</v>
      </c>
      <c r="X117" s="276" t="s">
        <v>2</v>
      </c>
      <c r="Y117" s="274" t="s">
        <v>1438</v>
      </c>
      <c r="Z117" s="274" t="s">
        <v>2</v>
      </c>
      <c r="AA117" s="274" t="s">
        <v>2</v>
      </c>
      <c r="AB117" s="276" t="s">
        <v>2</v>
      </c>
      <c r="AC117" s="274" t="s">
        <v>2</v>
      </c>
      <c r="AD117" s="274" t="s">
        <v>2159</v>
      </c>
      <c r="AE117" s="276"/>
      <c r="AF117" s="274" t="s">
        <v>2195</v>
      </c>
      <c r="AG117" s="274" t="s">
        <v>775</v>
      </c>
      <c r="AH117" s="274" t="s">
        <v>2197</v>
      </c>
      <c r="AI117" s="274" t="s">
        <v>89</v>
      </c>
      <c r="AJ117" s="281">
        <v>810230</v>
      </c>
      <c r="AK117" s="281" t="s">
        <v>1879</v>
      </c>
      <c r="AL117" s="281" t="s">
        <v>1708</v>
      </c>
      <c r="AM117" s="281" t="s">
        <v>2</v>
      </c>
      <c r="AN117" s="281" t="s">
        <v>422</v>
      </c>
      <c r="AO117" s="281" t="s">
        <v>2050</v>
      </c>
      <c r="AP117" s="281" t="s">
        <v>2</v>
      </c>
      <c r="AQ117" s="302" t="s">
        <v>2</v>
      </c>
    </row>
    <row r="118" spans="1:43" ht="15" customHeight="1">
      <c r="A118" s="90"/>
      <c r="B118" s="84"/>
      <c r="C118" s="91"/>
      <c r="D118" s="301">
        <v>29911</v>
      </c>
      <c r="E118" s="283">
        <v>869761</v>
      </c>
      <c r="F118" s="273">
        <v>12603</v>
      </c>
      <c r="G118" s="274" t="s">
        <v>1532</v>
      </c>
      <c r="H118" s="274" t="s">
        <v>420</v>
      </c>
      <c r="I118" s="274" t="s">
        <v>9</v>
      </c>
      <c r="J118" s="274" t="s">
        <v>398</v>
      </c>
      <c r="K118" s="275">
        <v>0.61111111111111105</v>
      </c>
      <c r="L118" s="275">
        <v>0.875</v>
      </c>
      <c r="M118" s="275">
        <v>0.26388888888888895</v>
      </c>
      <c r="N118" s="275">
        <v>0.65277777777777779</v>
      </c>
      <c r="O118" s="275">
        <v>0.77083333333333337</v>
      </c>
      <c r="P118" s="275">
        <v>0.83333333333333337</v>
      </c>
      <c r="Q118" s="276">
        <v>42010</v>
      </c>
      <c r="R118" s="284" t="s">
        <v>2</v>
      </c>
      <c r="S118" s="276">
        <v>42036</v>
      </c>
      <c r="T118" s="284" t="s">
        <v>2</v>
      </c>
      <c r="U118" s="274" t="s">
        <v>707</v>
      </c>
      <c r="V118" s="276">
        <v>42096</v>
      </c>
      <c r="W118" s="276">
        <v>42096</v>
      </c>
      <c r="X118" s="276" t="s">
        <v>2</v>
      </c>
      <c r="Y118" s="274" t="s">
        <v>2199</v>
      </c>
      <c r="Z118" s="274" t="s">
        <v>2</v>
      </c>
      <c r="AA118" s="274" t="s">
        <v>2</v>
      </c>
      <c r="AB118" s="276" t="s">
        <v>2</v>
      </c>
      <c r="AC118" s="274" t="s">
        <v>2</v>
      </c>
      <c r="AD118" s="274">
        <v>6366010</v>
      </c>
      <c r="AE118" s="276"/>
      <c r="AF118" s="274" t="s">
        <v>2193</v>
      </c>
      <c r="AG118" s="274" t="s">
        <v>775</v>
      </c>
      <c r="AH118" s="274" t="s">
        <v>2197</v>
      </c>
      <c r="AI118" s="274" t="s">
        <v>89</v>
      </c>
      <c r="AJ118" s="281">
        <v>810216</v>
      </c>
      <c r="AK118" s="281" t="s">
        <v>1880</v>
      </c>
      <c r="AL118" s="281" t="s">
        <v>1709</v>
      </c>
      <c r="AM118" s="281" t="s">
        <v>2</v>
      </c>
      <c r="AN118" s="281" t="s">
        <v>422</v>
      </c>
      <c r="AO118" s="281" t="s">
        <v>2051</v>
      </c>
      <c r="AP118" s="281" t="s">
        <v>2</v>
      </c>
      <c r="AQ118" s="302" t="s">
        <v>2</v>
      </c>
    </row>
    <row r="119" spans="1:43" ht="15" customHeight="1">
      <c r="A119" s="90"/>
      <c r="B119" s="84"/>
      <c r="C119" s="91"/>
      <c r="D119" s="301">
        <v>30467</v>
      </c>
      <c r="E119" s="283">
        <v>876680</v>
      </c>
      <c r="F119" s="273">
        <v>17040</v>
      </c>
      <c r="G119" s="274" t="s">
        <v>1533</v>
      </c>
      <c r="H119" s="274" t="s">
        <v>420</v>
      </c>
      <c r="I119" s="274" t="s">
        <v>9</v>
      </c>
      <c r="J119" s="274" t="s">
        <v>398</v>
      </c>
      <c r="K119" s="275">
        <v>0.625</v>
      </c>
      <c r="L119" s="275">
        <v>0.88888888888888884</v>
      </c>
      <c r="M119" s="275">
        <v>0.26388888888888884</v>
      </c>
      <c r="N119" s="275">
        <v>0.68055555555555547</v>
      </c>
      <c r="O119" s="275">
        <v>0.77777777777777779</v>
      </c>
      <c r="P119" s="275">
        <v>0.83333333333333337</v>
      </c>
      <c r="Q119" s="276">
        <v>42079</v>
      </c>
      <c r="R119" s="284" t="s">
        <v>2</v>
      </c>
      <c r="S119" s="276">
        <v>42100</v>
      </c>
      <c r="T119" s="284" t="s">
        <v>2</v>
      </c>
      <c r="U119" s="274" t="s">
        <v>707</v>
      </c>
      <c r="V119" s="276">
        <v>42116</v>
      </c>
      <c r="W119" s="276">
        <v>42116</v>
      </c>
      <c r="X119" s="276" t="s">
        <v>2</v>
      </c>
      <c r="Y119" s="274" t="s">
        <v>1438</v>
      </c>
      <c r="Z119" s="274" t="s">
        <v>2</v>
      </c>
      <c r="AA119" s="274" t="s">
        <v>2</v>
      </c>
      <c r="AB119" s="276" t="s">
        <v>2</v>
      </c>
      <c r="AC119" s="274" t="s">
        <v>2</v>
      </c>
      <c r="AD119" s="274" t="s">
        <v>2160</v>
      </c>
      <c r="AE119" s="276"/>
      <c r="AF119" s="274" t="s">
        <v>2188</v>
      </c>
      <c r="AG119" s="274" t="s">
        <v>775</v>
      </c>
      <c r="AH119" s="274" t="s">
        <v>2197</v>
      </c>
      <c r="AI119" s="274" t="s">
        <v>89</v>
      </c>
      <c r="AJ119" s="281" t="s">
        <v>2</v>
      </c>
      <c r="AK119" s="281" t="s">
        <v>1881</v>
      </c>
      <c r="AL119" s="281" t="s">
        <v>1710</v>
      </c>
      <c r="AM119" s="281" t="s">
        <v>2</v>
      </c>
      <c r="AN119" s="281" t="s">
        <v>422</v>
      </c>
      <c r="AO119" s="281" t="s">
        <v>2052</v>
      </c>
      <c r="AP119" s="281" t="s">
        <v>2</v>
      </c>
      <c r="AQ119" s="302" t="s">
        <v>2</v>
      </c>
    </row>
    <row r="120" spans="1:43" ht="15" customHeight="1">
      <c r="A120" s="90"/>
      <c r="B120" s="84"/>
      <c r="C120" s="91"/>
      <c r="D120" s="301">
        <v>27505</v>
      </c>
      <c r="E120" s="283">
        <v>831228</v>
      </c>
      <c r="F120" s="273">
        <v>17043</v>
      </c>
      <c r="G120" s="274" t="s">
        <v>1534</v>
      </c>
      <c r="H120" s="274" t="s">
        <v>421</v>
      </c>
      <c r="I120" s="274" t="s">
        <v>9</v>
      </c>
      <c r="J120" s="274" t="s">
        <v>398</v>
      </c>
      <c r="K120" s="275">
        <v>0.39583333333333331</v>
      </c>
      <c r="L120" s="275">
        <v>0.73749999999999993</v>
      </c>
      <c r="M120" s="275">
        <v>0.34166666666666662</v>
      </c>
      <c r="N120" s="275">
        <v>0.52083333333333337</v>
      </c>
      <c r="O120" s="275">
        <v>0.58333333333333337</v>
      </c>
      <c r="P120" s="275">
        <v>0.66666666666666663</v>
      </c>
      <c r="Q120" s="276">
        <v>41676</v>
      </c>
      <c r="R120" s="284" t="s">
        <v>2</v>
      </c>
      <c r="S120" s="276">
        <v>41705</v>
      </c>
      <c r="T120" s="284" t="s">
        <v>2</v>
      </c>
      <c r="U120" s="274" t="s">
        <v>707</v>
      </c>
      <c r="V120" s="276">
        <v>42102</v>
      </c>
      <c r="W120" s="276">
        <v>42102</v>
      </c>
      <c r="X120" s="276" t="s">
        <v>2</v>
      </c>
      <c r="Y120" s="274" t="s">
        <v>1438</v>
      </c>
      <c r="Z120" s="274" t="s">
        <v>2</v>
      </c>
      <c r="AA120" s="274" t="s">
        <v>2</v>
      </c>
      <c r="AB120" s="276" t="s">
        <v>2</v>
      </c>
      <c r="AC120" s="274" t="s">
        <v>2</v>
      </c>
      <c r="AD120" s="274" t="s">
        <v>2161</v>
      </c>
      <c r="AE120" s="276"/>
      <c r="AF120" s="274" t="s">
        <v>2189</v>
      </c>
      <c r="AG120" s="274" t="s">
        <v>775</v>
      </c>
      <c r="AH120" s="274" t="s">
        <v>2197</v>
      </c>
      <c r="AI120" s="274" t="s">
        <v>89</v>
      </c>
      <c r="AJ120" s="281">
        <v>810104</v>
      </c>
      <c r="AK120" s="281" t="s">
        <v>1882</v>
      </c>
      <c r="AL120" s="281" t="s">
        <v>1711</v>
      </c>
      <c r="AM120" s="281" t="s">
        <v>2</v>
      </c>
      <c r="AN120" s="281" t="s">
        <v>422</v>
      </c>
      <c r="AO120" s="281" t="s">
        <v>2053</v>
      </c>
      <c r="AP120" s="281" t="s">
        <v>2</v>
      </c>
      <c r="AQ120" s="302" t="s">
        <v>2</v>
      </c>
    </row>
    <row r="121" spans="1:43" ht="15" customHeight="1">
      <c r="A121" s="90"/>
      <c r="B121" s="84"/>
      <c r="C121" s="91"/>
      <c r="D121" s="301">
        <v>29312</v>
      </c>
      <c r="E121" s="283">
        <v>858690</v>
      </c>
      <c r="F121" s="273">
        <v>12653</v>
      </c>
      <c r="G121" s="274" t="s">
        <v>1535</v>
      </c>
      <c r="H121" s="274" t="s">
        <v>421</v>
      </c>
      <c r="I121" s="274" t="s">
        <v>16</v>
      </c>
      <c r="J121" s="274" t="s">
        <v>398</v>
      </c>
      <c r="K121" s="275">
        <v>0.39583333333333331</v>
      </c>
      <c r="L121" s="275">
        <v>0.73749999999999993</v>
      </c>
      <c r="M121" s="275">
        <v>0.34166666666666662</v>
      </c>
      <c r="N121" s="275">
        <v>0.52083333333333337</v>
      </c>
      <c r="O121" s="275">
        <v>0.58333333333333337</v>
      </c>
      <c r="P121" s="275">
        <v>0.66666666666666663</v>
      </c>
      <c r="Q121" s="276">
        <v>41918</v>
      </c>
      <c r="R121" s="284" t="s">
        <v>2</v>
      </c>
      <c r="S121" s="276">
        <v>41944</v>
      </c>
      <c r="T121" s="284" t="s">
        <v>2</v>
      </c>
      <c r="U121" s="274" t="s">
        <v>707</v>
      </c>
      <c r="V121" s="276">
        <v>42116</v>
      </c>
      <c r="W121" s="276">
        <v>42116</v>
      </c>
      <c r="X121" s="276" t="s">
        <v>2</v>
      </c>
      <c r="Y121" s="274" t="s">
        <v>2</v>
      </c>
      <c r="Z121" s="274" t="s">
        <v>2209</v>
      </c>
      <c r="AA121" s="274" t="s">
        <v>398</v>
      </c>
      <c r="AB121" s="276" t="s">
        <v>2206</v>
      </c>
      <c r="AC121" s="274">
        <v>42116</v>
      </c>
      <c r="AD121" s="274" t="s">
        <v>2162</v>
      </c>
      <c r="AE121" s="276"/>
      <c r="AF121" s="274" t="s">
        <v>2191</v>
      </c>
      <c r="AG121" s="274" t="s">
        <v>775</v>
      </c>
      <c r="AH121" s="274" t="s">
        <v>2197</v>
      </c>
      <c r="AI121" s="274" t="s">
        <v>89</v>
      </c>
      <c r="AJ121" s="281">
        <v>810183</v>
      </c>
      <c r="AK121" s="281" t="s">
        <v>1883</v>
      </c>
      <c r="AL121" s="281" t="s">
        <v>1712</v>
      </c>
      <c r="AM121" s="281" t="s">
        <v>2</v>
      </c>
      <c r="AN121" s="281" t="s">
        <v>422</v>
      </c>
      <c r="AO121" s="281" t="s">
        <v>2054</v>
      </c>
      <c r="AP121" s="281" t="s">
        <v>1249</v>
      </c>
      <c r="AQ121" s="302" t="s">
        <v>2</v>
      </c>
    </row>
    <row r="122" spans="1:43" ht="15" customHeight="1">
      <c r="A122" s="90"/>
      <c r="B122" s="84"/>
      <c r="C122" s="91"/>
      <c r="D122" s="301">
        <v>30453</v>
      </c>
      <c r="E122" s="283">
        <v>876658</v>
      </c>
      <c r="F122" s="273">
        <v>17080</v>
      </c>
      <c r="G122" s="274" t="s">
        <v>1536</v>
      </c>
      <c r="H122" s="274" t="s">
        <v>421</v>
      </c>
      <c r="I122" s="274" t="s">
        <v>9</v>
      </c>
      <c r="J122" s="274" t="s">
        <v>398</v>
      </c>
      <c r="K122" s="275">
        <v>0.41666666666666669</v>
      </c>
      <c r="L122" s="275">
        <v>0.67361111111111116</v>
      </c>
      <c r="M122" s="275">
        <v>0.26388888888888895</v>
      </c>
      <c r="N122" s="275">
        <v>0.45833333333333331</v>
      </c>
      <c r="O122" s="275">
        <v>0.52777777777777779</v>
      </c>
      <c r="P122" s="275">
        <v>0.60416666666666663</v>
      </c>
      <c r="Q122" s="276">
        <v>42079</v>
      </c>
      <c r="R122" s="284" t="s">
        <v>2</v>
      </c>
      <c r="S122" s="276">
        <v>42100</v>
      </c>
      <c r="T122" s="284" t="s">
        <v>2</v>
      </c>
      <c r="U122" s="274" t="s">
        <v>707</v>
      </c>
      <c r="V122" s="276">
        <v>42102</v>
      </c>
      <c r="W122" s="276">
        <v>42102</v>
      </c>
      <c r="X122" s="276" t="s">
        <v>2</v>
      </c>
      <c r="Y122" s="274" t="s">
        <v>1438</v>
      </c>
      <c r="Z122" s="274" t="s">
        <v>2</v>
      </c>
      <c r="AA122" s="274" t="s">
        <v>2</v>
      </c>
      <c r="AB122" s="276" t="s">
        <v>2</v>
      </c>
      <c r="AC122" s="274" t="s">
        <v>2</v>
      </c>
      <c r="AD122" s="274" t="s">
        <v>2163</v>
      </c>
      <c r="AE122" s="276"/>
      <c r="AF122" s="274" t="s">
        <v>2190</v>
      </c>
      <c r="AG122" s="274" t="s">
        <v>775</v>
      </c>
      <c r="AH122" s="274" t="s">
        <v>2197</v>
      </c>
      <c r="AI122" s="274" t="s">
        <v>89</v>
      </c>
      <c r="AJ122" s="281" t="s">
        <v>2</v>
      </c>
      <c r="AK122" s="281" t="s">
        <v>1884</v>
      </c>
      <c r="AL122" s="281" t="s">
        <v>1713</v>
      </c>
      <c r="AM122" s="281" t="s">
        <v>2</v>
      </c>
      <c r="AN122" s="281" t="s">
        <v>422</v>
      </c>
      <c r="AO122" s="281" t="s">
        <v>2055</v>
      </c>
      <c r="AP122" s="281" t="s">
        <v>2</v>
      </c>
      <c r="AQ122" s="302" t="s">
        <v>2</v>
      </c>
    </row>
    <row r="123" spans="1:43" ht="15" customHeight="1">
      <c r="A123" s="90"/>
      <c r="B123" s="84"/>
      <c r="C123" s="91"/>
      <c r="D123" s="301">
        <v>30181</v>
      </c>
      <c r="E123" s="283">
        <v>873187</v>
      </c>
      <c r="F123" s="273">
        <v>17109</v>
      </c>
      <c r="G123" s="274" t="s">
        <v>1537</v>
      </c>
      <c r="H123" s="274" t="s">
        <v>417</v>
      </c>
      <c r="I123" s="274" t="s">
        <v>9</v>
      </c>
      <c r="J123" s="274" t="s">
        <v>403</v>
      </c>
      <c r="K123" s="275">
        <v>0.65277777777777779</v>
      </c>
      <c r="L123" s="275">
        <v>0.91666666666666663</v>
      </c>
      <c r="M123" s="275">
        <v>0.26388888888888884</v>
      </c>
      <c r="N123" s="275">
        <v>0.70138888888888884</v>
      </c>
      <c r="O123" s="275">
        <v>0.79166666666666663</v>
      </c>
      <c r="P123" s="275">
        <v>0.86805555555555547</v>
      </c>
      <c r="Q123" s="276">
        <v>42044</v>
      </c>
      <c r="R123" s="284" t="s">
        <v>2</v>
      </c>
      <c r="S123" s="276">
        <v>42068</v>
      </c>
      <c r="T123" s="284" t="s">
        <v>2</v>
      </c>
      <c r="U123" s="274" t="s">
        <v>707</v>
      </c>
      <c r="V123" s="276">
        <v>42100</v>
      </c>
      <c r="W123" s="276">
        <v>42100</v>
      </c>
      <c r="X123" s="276" t="s">
        <v>2</v>
      </c>
      <c r="Y123" s="274" t="s">
        <v>2200</v>
      </c>
      <c r="Z123" s="274" t="s">
        <v>2</v>
      </c>
      <c r="AA123" s="274" t="s">
        <v>2</v>
      </c>
      <c r="AB123" s="276" t="s">
        <v>2</v>
      </c>
      <c r="AC123" s="274" t="s">
        <v>2</v>
      </c>
      <c r="AD123" s="274" t="s">
        <v>2164</v>
      </c>
      <c r="AE123" s="276"/>
      <c r="AF123" s="274" t="s">
        <v>2188</v>
      </c>
      <c r="AG123" s="274" t="s">
        <v>775</v>
      </c>
      <c r="AH123" s="274" t="s">
        <v>2197</v>
      </c>
      <c r="AI123" s="274" t="s">
        <v>89</v>
      </c>
      <c r="AJ123" s="281">
        <v>810268</v>
      </c>
      <c r="AK123" s="281" t="s">
        <v>1885</v>
      </c>
      <c r="AL123" s="281" t="s">
        <v>1714</v>
      </c>
      <c r="AM123" s="281" t="s">
        <v>2</v>
      </c>
      <c r="AN123" s="281" t="s">
        <v>422</v>
      </c>
      <c r="AO123" s="281" t="s">
        <v>2056</v>
      </c>
      <c r="AP123" s="281" t="s">
        <v>2</v>
      </c>
      <c r="AQ123" s="302" t="s">
        <v>2</v>
      </c>
    </row>
    <row r="124" spans="1:43" ht="15" customHeight="1">
      <c r="A124" s="90"/>
      <c r="B124" s="84"/>
      <c r="C124" s="91"/>
      <c r="D124" s="301">
        <v>30177</v>
      </c>
      <c r="E124" s="283">
        <v>873183</v>
      </c>
      <c r="F124" s="273">
        <v>17094</v>
      </c>
      <c r="G124" s="274" t="s">
        <v>1538</v>
      </c>
      <c r="H124" s="274" t="s">
        <v>418</v>
      </c>
      <c r="I124" s="274" t="s">
        <v>9</v>
      </c>
      <c r="J124" s="274" t="s">
        <v>403</v>
      </c>
      <c r="K124" s="275">
        <v>0.41666666666666669</v>
      </c>
      <c r="L124" s="275">
        <v>0.68055555555555558</v>
      </c>
      <c r="M124" s="275">
        <v>0.2638888888888889</v>
      </c>
      <c r="N124" s="275">
        <v>0.52777777777777779</v>
      </c>
      <c r="O124" s="275">
        <v>0.58333333333333337</v>
      </c>
      <c r="P124" s="275">
        <v>0.63888888888888895</v>
      </c>
      <c r="Q124" s="276">
        <v>42044</v>
      </c>
      <c r="R124" s="284" t="s">
        <v>2</v>
      </c>
      <c r="S124" s="276">
        <v>42068</v>
      </c>
      <c r="T124" s="284" t="s">
        <v>2</v>
      </c>
      <c r="U124" s="274" t="s">
        <v>707</v>
      </c>
      <c r="V124" s="276">
        <v>42096</v>
      </c>
      <c r="W124" s="276">
        <v>42096</v>
      </c>
      <c r="X124" s="276" t="s">
        <v>2</v>
      </c>
      <c r="Y124" s="274" t="s">
        <v>2200</v>
      </c>
      <c r="Z124" s="274" t="s">
        <v>2</v>
      </c>
      <c r="AA124" s="274" t="s">
        <v>2</v>
      </c>
      <c r="AB124" s="276" t="s">
        <v>2</v>
      </c>
      <c r="AC124" s="274" t="s">
        <v>2</v>
      </c>
      <c r="AD124" s="274" t="s">
        <v>2165</v>
      </c>
      <c r="AE124" s="276"/>
      <c r="AF124" s="274" t="s">
        <v>2191</v>
      </c>
      <c r="AG124" s="274" t="s">
        <v>775</v>
      </c>
      <c r="AH124" s="274" t="s">
        <v>2197</v>
      </c>
      <c r="AI124" s="274" t="s">
        <v>89</v>
      </c>
      <c r="AJ124" s="281">
        <v>810236</v>
      </c>
      <c r="AK124" s="281" t="s">
        <v>1886</v>
      </c>
      <c r="AL124" s="281" t="s">
        <v>1715</v>
      </c>
      <c r="AM124" s="281" t="s">
        <v>2</v>
      </c>
      <c r="AN124" s="281" t="s">
        <v>422</v>
      </c>
      <c r="AO124" s="281" t="s">
        <v>2057</v>
      </c>
      <c r="AP124" s="281" t="s">
        <v>2</v>
      </c>
      <c r="AQ124" s="302" t="s">
        <v>2</v>
      </c>
    </row>
    <row r="125" spans="1:43" ht="15" customHeight="1">
      <c r="A125" s="90"/>
      <c r="B125" s="84"/>
      <c r="C125" s="91"/>
      <c r="D125" s="301">
        <v>30460</v>
      </c>
      <c r="E125" s="283">
        <v>876673</v>
      </c>
      <c r="F125" s="273">
        <v>17129</v>
      </c>
      <c r="G125" s="274" t="s">
        <v>1539</v>
      </c>
      <c r="H125" s="274" t="s">
        <v>419</v>
      </c>
      <c r="I125" s="274" t="s">
        <v>9</v>
      </c>
      <c r="J125" s="274" t="s">
        <v>403</v>
      </c>
      <c r="K125" s="275">
        <v>0.63888888888888895</v>
      </c>
      <c r="L125" s="275">
        <v>0.90277777777777779</v>
      </c>
      <c r="M125" s="275">
        <v>0.26388888888888884</v>
      </c>
      <c r="N125" s="275">
        <v>0.68055555555555547</v>
      </c>
      <c r="O125" s="275">
        <v>0.77777777777777779</v>
      </c>
      <c r="P125" s="275">
        <v>0.86111111111111116</v>
      </c>
      <c r="Q125" s="276">
        <v>42079</v>
      </c>
      <c r="R125" s="284" t="s">
        <v>2</v>
      </c>
      <c r="S125" s="276">
        <v>42103</v>
      </c>
      <c r="T125" s="284" t="s">
        <v>2</v>
      </c>
      <c r="U125" s="274" t="s">
        <v>707</v>
      </c>
      <c r="V125" s="276">
        <v>42103</v>
      </c>
      <c r="W125" s="276">
        <v>42103</v>
      </c>
      <c r="X125" s="276" t="s">
        <v>2</v>
      </c>
      <c r="Y125" s="274" t="s">
        <v>2200</v>
      </c>
      <c r="Z125" s="274" t="s">
        <v>2</v>
      </c>
      <c r="AA125" s="274" t="s">
        <v>2</v>
      </c>
      <c r="AB125" s="276" t="s">
        <v>2</v>
      </c>
      <c r="AC125" s="274" t="s">
        <v>2</v>
      </c>
      <c r="AD125" s="274" t="s">
        <v>2</v>
      </c>
      <c r="AE125" s="276"/>
      <c r="AF125" s="274" t="s">
        <v>2</v>
      </c>
      <c r="AG125" s="274" t="s">
        <v>775</v>
      </c>
      <c r="AH125" s="274" t="s">
        <v>2197</v>
      </c>
      <c r="AI125" s="274" t="s">
        <v>89</v>
      </c>
      <c r="AJ125" s="281" t="s">
        <v>2</v>
      </c>
      <c r="AK125" s="281" t="s">
        <v>1887</v>
      </c>
      <c r="AL125" s="281" t="s">
        <v>1716</v>
      </c>
      <c r="AM125" s="281" t="s">
        <v>2</v>
      </c>
      <c r="AN125" s="281" t="s">
        <v>422</v>
      </c>
      <c r="AO125" s="281" t="s">
        <v>2058</v>
      </c>
      <c r="AP125" s="281" t="s">
        <v>2</v>
      </c>
      <c r="AQ125" s="302" t="s">
        <v>2</v>
      </c>
    </row>
    <row r="126" spans="1:43" ht="15" customHeight="1">
      <c r="A126" s="90"/>
      <c r="B126" s="84"/>
      <c r="C126" s="91"/>
      <c r="D126" s="301">
        <v>17063</v>
      </c>
      <c r="E126" s="283">
        <v>727804</v>
      </c>
      <c r="F126" s="273">
        <v>12318</v>
      </c>
      <c r="G126" s="274" t="s">
        <v>1540</v>
      </c>
      <c r="H126" s="274" t="s">
        <v>423</v>
      </c>
      <c r="I126" s="274" t="s">
        <v>9</v>
      </c>
      <c r="J126" s="274" t="s">
        <v>405</v>
      </c>
      <c r="K126" s="275">
        <v>0.35416666666666669</v>
      </c>
      <c r="L126" s="275">
        <v>0.72916666666666663</v>
      </c>
      <c r="M126" s="275">
        <v>0.37499999999999994</v>
      </c>
      <c r="N126" s="275" t="s">
        <v>2</v>
      </c>
      <c r="O126" s="275" t="s">
        <v>2</v>
      </c>
      <c r="P126" s="275" t="s">
        <v>2</v>
      </c>
      <c r="Q126" s="276">
        <v>40668</v>
      </c>
      <c r="R126" s="284" t="s">
        <v>2</v>
      </c>
      <c r="S126" s="276">
        <v>40691</v>
      </c>
      <c r="T126" s="284" t="s">
        <v>2</v>
      </c>
      <c r="U126" s="274" t="s">
        <v>707</v>
      </c>
      <c r="V126" s="276">
        <v>42096</v>
      </c>
      <c r="W126" s="276">
        <v>42096</v>
      </c>
      <c r="X126" s="276" t="s">
        <v>2</v>
      </c>
      <c r="Y126" s="274" t="s">
        <v>2201</v>
      </c>
      <c r="Z126" s="274" t="s">
        <v>2</v>
      </c>
      <c r="AA126" s="274" t="s">
        <v>2</v>
      </c>
      <c r="AB126" s="276" t="s">
        <v>2</v>
      </c>
      <c r="AC126" s="274" t="s">
        <v>2</v>
      </c>
      <c r="AD126" s="274">
        <v>2367000</v>
      </c>
      <c r="AE126" s="276"/>
      <c r="AF126" s="274" t="s">
        <v>2189</v>
      </c>
      <c r="AG126" s="274" t="s">
        <v>775</v>
      </c>
      <c r="AH126" s="274" t="s">
        <v>2197</v>
      </c>
      <c r="AI126" s="274" t="s">
        <v>89</v>
      </c>
      <c r="AJ126" s="281" t="s">
        <v>2</v>
      </c>
      <c r="AK126" s="281" t="s">
        <v>1888</v>
      </c>
      <c r="AL126" s="281" t="s">
        <v>1717</v>
      </c>
      <c r="AM126" s="281" t="s">
        <v>2</v>
      </c>
      <c r="AN126" s="281" t="s">
        <v>2</v>
      </c>
      <c r="AO126" s="281" t="s">
        <v>2059</v>
      </c>
      <c r="AP126" s="281" t="s">
        <v>2</v>
      </c>
      <c r="AQ126" s="302" t="s">
        <v>2</v>
      </c>
    </row>
    <row r="127" spans="1:43" ht="15" customHeight="1">
      <c r="A127" s="90"/>
      <c r="B127" s="84"/>
      <c r="C127" s="91"/>
      <c r="D127" s="301">
        <v>17597</v>
      </c>
      <c r="E127" s="283">
        <v>731703</v>
      </c>
      <c r="F127" s="273" t="s">
        <v>2</v>
      </c>
      <c r="G127" s="274" t="s">
        <v>1541</v>
      </c>
      <c r="H127" s="274" t="s">
        <v>2</v>
      </c>
      <c r="I127" s="274" t="s">
        <v>16</v>
      </c>
      <c r="J127" s="274" t="s">
        <v>1615</v>
      </c>
      <c r="K127" s="275">
        <v>0.375</v>
      </c>
      <c r="L127" s="275">
        <v>0.75</v>
      </c>
      <c r="M127" s="275">
        <v>0.375</v>
      </c>
      <c r="N127" s="275" t="s">
        <v>2</v>
      </c>
      <c r="O127" s="275" t="s">
        <v>2</v>
      </c>
      <c r="P127" s="275" t="s">
        <v>2</v>
      </c>
      <c r="Q127" s="276">
        <v>40709</v>
      </c>
      <c r="R127" s="284" t="s">
        <v>2</v>
      </c>
      <c r="S127" s="276" t="s">
        <v>2</v>
      </c>
      <c r="T127" s="284" t="s">
        <v>2</v>
      </c>
      <c r="U127" s="274" t="s">
        <v>1363</v>
      </c>
      <c r="V127" s="276">
        <v>42095</v>
      </c>
      <c r="W127" s="276" t="s">
        <v>2</v>
      </c>
      <c r="X127" s="276" t="s">
        <v>2</v>
      </c>
      <c r="Y127" s="274" t="s">
        <v>2</v>
      </c>
      <c r="Z127" s="274" t="s">
        <v>2</v>
      </c>
      <c r="AA127" s="274" t="s">
        <v>2</v>
      </c>
      <c r="AB127" s="276" t="s">
        <v>2</v>
      </c>
      <c r="AC127" s="274" t="s">
        <v>2</v>
      </c>
      <c r="AD127" s="274">
        <v>5617000</v>
      </c>
      <c r="AE127" s="276"/>
      <c r="AF127" s="274" t="s">
        <v>2191</v>
      </c>
      <c r="AG127" s="274" t="s">
        <v>1333</v>
      </c>
      <c r="AH127" s="274" t="s">
        <v>2197</v>
      </c>
      <c r="AI127" s="274" t="s">
        <v>89</v>
      </c>
      <c r="AJ127" s="281" t="s">
        <v>2</v>
      </c>
      <c r="AK127" s="281" t="s">
        <v>1889</v>
      </c>
      <c r="AL127" s="281" t="s">
        <v>1718</v>
      </c>
      <c r="AM127" s="281" t="s">
        <v>2</v>
      </c>
      <c r="AN127" s="281" t="s">
        <v>2</v>
      </c>
      <c r="AO127" s="281" t="s">
        <v>2</v>
      </c>
      <c r="AP127" s="281" t="s">
        <v>2</v>
      </c>
      <c r="AQ127" s="302" t="s">
        <v>2</v>
      </c>
    </row>
    <row r="128" spans="1:43" ht="15" customHeight="1">
      <c r="A128" s="90"/>
      <c r="B128" s="84"/>
      <c r="C128" s="91"/>
      <c r="D128" s="301">
        <v>29895</v>
      </c>
      <c r="E128" s="283">
        <v>868211</v>
      </c>
      <c r="F128" s="273">
        <v>17044</v>
      </c>
      <c r="G128" s="274" t="s">
        <v>1542</v>
      </c>
      <c r="H128" s="274" t="s">
        <v>415</v>
      </c>
      <c r="I128" s="274" t="s">
        <v>9</v>
      </c>
      <c r="J128" s="274" t="s">
        <v>398</v>
      </c>
      <c r="K128" s="275">
        <v>0.35416666666666669</v>
      </c>
      <c r="L128" s="275">
        <v>0.61805555555555558</v>
      </c>
      <c r="M128" s="275">
        <v>0.2638888888888889</v>
      </c>
      <c r="N128" s="275">
        <v>0.40972222222222227</v>
      </c>
      <c r="O128" s="275">
        <v>0.47916666666666669</v>
      </c>
      <c r="P128" s="275">
        <v>0.53472222222222221</v>
      </c>
      <c r="Q128" s="276">
        <v>41983</v>
      </c>
      <c r="R128" s="284" t="s">
        <v>2</v>
      </c>
      <c r="S128" s="276">
        <v>42009</v>
      </c>
      <c r="T128" s="284" t="s">
        <v>2</v>
      </c>
      <c r="U128" s="274" t="s">
        <v>707</v>
      </c>
      <c r="V128" s="276" t="s">
        <v>2</v>
      </c>
      <c r="W128" s="276" t="s">
        <v>2</v>
      </c>
      <c r="X128" s="276" t="s">
        <v>2</v>
      </c>
      <c r="Y128" s="274" t="s">
        <v>2</v>
      </c>
      <c r="Z128" s="274" t="s">
        <v>2</v>
      </c>
      <c r="AA128" s="274" t="s">
        <v>2</v>
      </c>
      <c r="AB128" s="276" t="s">
        <v>2</v>
      </c>
      <c r="AC128" s="274" t="s">
        <v>2</v>
      </c>
      <c r="AD128" s="274" t="s">
        <v>2166</v>
      </c>
      <c r="AE128" s="276"/>
      <c r="AF128" s="274" t="s">
        <v>2190</v>
      </c>
      <c r="AG128" s="274" t="s">
        <v>775</v>
      </c>
      <c r="AH128" s="274" t="s">
        <v>2197</v>
      </c>
      <c r="AI128" s="274" t="s">
        <v>89</v>
      </c>
      <c r="AJ128" s="281">
        <v>810226</v>
      </c>
      <c r="AK128" s="281" t="s">
        <v>1890</v>
      </c>
      <c r="AL128" s="281" t="s">
        <v>1719</v>
      </c>
      <c r="AM128" s="281" t="s">
        <v>2</v>
      </c>
      <c r="AN128" s="281" t="s">
        <v>422</v>
      </c>
      <c r="AO128" s="281" t="s">
        <v>2060</v>
      </c>
      <c r="AP128" s="281" t="s">
        <v>2</v>
      </c>
      <c r="AQ128" s="302" t="s">
        <v>2</v>
      </c>
    </row>
    <row r="129" spans="1:43" ht="15" customHeight="1">
      <c r="A129" s="90"/>
      <c r="B129" s="84"/>
      <c r="C129" s="91"/>
      <c r="D129" s="301">
        <v>29881</v>
      </c>
      <c r="E129" s="283">
        <v>868197</v>
      </c>
      <c r="F129" s="273">
        <v>17046</v>
      </c>
      <c r="G129" s="274" t="s">
        <v>1543</v>
      </c>
      <c r="H129" s="274" t="s">
        <v>418</v>
      </c>
      <c r="I129" s="274" t="s">
        <v>9</v>
      </c>
      <c r="J129" s="274" t="s">
        <v>403</v>
      </c>
      <c r="K129" s="275">
        <v>0.35416666666666669</v>
      </c>
      <c r="L129" s="275">
        <v>0.61805555555555558</v>
      </c>
      <c r="M129" s="275">
        <v>0.2638888888888889</v>
      </c>
      <c r="N129" s="275">
        <v>0.40277777777777773</v>
      </c>
      <c r="O129" s="275">
        <v>0.52083333333333337</v>
      </c>
      <c r="P129" s="275">
        <v>0.57638888888888895</v>
      </c>
      <c r="Q129" s="276">
        <v>41983</v>
      </c>
      <c r="R129" s="284" t="s">
        <v>2</v>
      </c>
      <c r="S129" s="276">
        <v>42009</v>
      </c>
      <c r="T129" s="284" t="s">
        <v>2</v>
      </c>
      <c r="U129" s="274" t="s">
        <v>707</v>
      </c>
      <c r="V129" s="276" t="s">
        <v>2</v>
      </c>
      <c r="W129" s="276" t="s">
        <v>2</v>
      </c>
      <c r="X129" s="276" t="s">
        <v>2</v>
      </c>
      <c r="Y129" s="274" t="s">
        <v>2</v>
      </c>
      <c r="Z129" s="274" t="s">
        <v>2</v>
      </c>
      <c r="AA129" s="274" t="s">
        <v>2</v>
      </c>
      <c r="AB129" s="276" t="s">
        <v>2</v>
      </c>
      <c r="AC129" s="274" t="s">
        <v>2</v>
      </c>
      <c r="AD129" s="274">
        <v>8370546</v>
      </c>
      <c r="AE129" s="276"/>
      <c r="AF129" s="274" t="s">
        <v>2194</v>
      </c>
      <c r="AG129" s="274" t="s">
        <v>775</v>
      </c>
      <c r="AH129" s="274" t="s">
        <v>2197</v>
      </c>
      <c r="AI129" s="274" t="s">
        <v>89</v>
      </c>
      <c r="AJ129" s="281">
        <v>810265</v>
      </c>
      <c r="AK129" s="281" t="s">
        <v>1891</v>
      </c>
      <c r="AL129" s="281" t="s">
        <v>1720</v>
      </c>
      <c r="AM129" s="281" t="s">
        <v>2</v>
      </c>
      <c r="AN129" s="281" t="s">
        <v>422</v>
      </c>
      <c r="AO129" s="281" t="s">
        <v>2061</v>
      </c>
      <c r="AP129" s="281" t="s">
        <v>2</v>
      </c>
      <c r="AQ129" s="302" t="s">
        <v>2</v>
      </c>
    </row>
    <row r="130" spans="1:43" ht="15" customHeight="1">
      <c r="A130" s="90"/>
      <c r="B130" s="84"/>
      <c r="C130" s="91"/>
      <c r="D130" s="301">
        <v>14466</v>
      </c>
      <c r="E130" s="283">
        <v>714382</v>
      </c>
      <c r="F130" s="273">
        <v>12376</v>
      </c>
      <c r="G130" s="274" t="s">
        <v>1544</v>
      </c>
      <c r="H130" s="274" t="s">
        <v>2</v>
      </c>
      <c r="I130" s="274" t="s">
        <v>16</v>
      </c>
      <c r="J130" s="274" t="s">
        <v>1359</v>
      </c>
      <c r="K130" s="275">
        <v>0.375</v>
      </c>
      <c r="L130" s="275">
        <v>0.75</v>
      </c>
      <c r="M130" s="275">
        <v>0.375</v>
      </c>
      <c r="N130" s="275" t="s">
        <v>2</v>
      </c>
      <c r="O130" s="275" t="s">
        <v>2</v>
      </c>
      <c r="P130" s="275" t="s">
        <v>2</v>
      </c>
      <c r="Q130" s="276">
        <v>40519</v>
      </c>
      <c r="R130" s="284" t="s">
        <v>2</v>
      </c>
      <c r="S130" s="276" t="s">
        <v>2</v>
      </c>
      <c r="T130" s="284" t="s">
        <v>2</v>
      </c>
      <c r="U130" s="274" t="s">
        <v>708</v>
      </c>
      <c r="V130" s="276">
        <v>42095</v>
      </c>
      <c r="W130" s="276" t="s">
        <v>2</v>
      </c>
      <c r="X130" s="276" t="s">
        <v>2</v>
      </c>
      <c r="Y130" s="274" t="s">
        <v>2</v>
      </c>
      <c r="Z130" s="274" t="s">
        <v>2202</v>
      </c>
      <c r="AA130" s="274" t="s">
        <v>2210</v>
      </c>
      <c r="AB130" s="276" t="s">
        <v>2211</v>
      </c>
      <c r="AC130" s="274">
        <v>42095</v>
      </c>
      <c r="AD130" s="274">
        <v>8581435</v>
      </c>
      <c r="AE130" s="276"/>
      <c r="AF130" s="274" t="s">
        <v>2194</v>
      </c>
      <c r="AG130" s="274" t="s">
        <v>776</v>
      </c>
      <c r="AH130" s="274" t="s">
        <v>2197</v>
      </c>
      <c r="AI130" s="274" t="s">
        <v>89</v>
      </c>
      <c r="AJ130" s="281" t="s">
        <v>2</v>
      </c>
      <c r="AK130" s="281" t="s">
        <v>1892</v>
      </c>
      <c r="AL130" s="281" t="s">
        <v>1721</v>
      </c>
      <c r="AM130" s="281" t="s">
        <v>2</v>
      </c>
      <c r="AN130" s="281" t="s">
        <v>2</v>
      </c>
      <c r="AO130" s="281" t="s">
        <v>2062</v>
      </c>
      <c r="AP130" s="281" t="s">
        <v>2</v>
      </c>
      <c r="AQ130" s="302" t="s">
        <v>2</v>
      </c>
    </row>
    <row r="131" spans="1:43" ht="15" customHeight="1">
      <c r="A131" s="90"/>
      <c r="B131" s="84"/>
      <c r="C131" s="91"/>
      <c r="D131" s="301">
        <v>30615</v>
      </c>
      <c r="E131" s="283">
        <v>879258</v>
      </c>
      <c r="F131" s="273">
        <v>17108</v>
      </c>
      <c r="G131" s="274" t="s">
        <v>1545</v>
      </c>
      <c r="H131" s="274" t="s">
        <v>2</v>
      </c>
      <c r="I131" s="274" t="s">
        <v>7</v>
      </c>
      <c r="J131" s="274" t="s">
        <v>403</v>
      </c>
      <c r="K131" s="275">
        <v>0.63888888888888895</v>
      </c>
      <c r="L131" s="275">
        <v>0.90277777777777779</v>
      </c>
      <c r="M131" s="275">
        <v>0.26388888888888884</v>
      </c>
      <c r="N131" s="275">
        <v>0.6875</v>
      </c>
      <c r="O131" s="275">
        <v>0.77777777777777779</v>
      </c>
      <c r="P131" s="275">
        <v>0.86111111111111116</v>
      </c>
      <c r="Q131" s="276">
        <v>42107</v>
      </c>
      <c r="R131" s="284" t="s">
        <v>2</v>
      </c>
      <c r="S131" s="276">
        <v>42128</v>
      </c>
      <c r="T131" s="284" t="s">
        <v>2</v>
      </c>
      <c r="U131" s="274" t="s">
        <v>708</v>
      </c>
      <c r="V131" s="276">
        <v>42125</v>
      </c>
      <c r="W131" s="276">
        <v>42125</v>
      </c>
      <c r="X131" s="276">
        <v>42151</v>
      </c>
      <c r="Y131" s="274" t="s">
        <v>2</v>
      </c>
      <c r="Z131" s="274" t="s">
        <v>2</v>
      </c>
      <c r="AA131" s="274" t="s">
        <v>2</v>
      </c>
      <c r="AB131" s="276" t="s">
        <v>2</v>
      </c>
      <c r="AC131" s="274" t="s">
        <v>2</v>
      </c>
      <c r="AD131" s="274">
        <v>7950005</v>
      </c>
      <c r="AE131" s="276"/>
      <c r="AF131" s="274" t="s">
        <v>2196</v>
      </c>
      <c r="AG131" s="274" t="s">
        <v>775</v>
      </c>
      <c r="AH131" s="274" t="s">
        <v>2197</v>
      </c>
      <c r="AI131" s="274" t="s">
        <v>89</v>
      </c>
      <c r="AJ131" s="281" t="s">
        <v>2</v>
      </c>
      <c r="AK131" s="281" t="s">
        <v>1893</v>
      </c>
      <c r="AL131" s="281" t="s">
        <v>1722</v>
      </c>
      <c r="AM131" s="281" t="s">
        <v>2</v>
      </c>
      <c r="AN131" s="281" t="s">
        <v>2</v>
      </c>
      <c r="AO131" s="281" t="s">
        <v>2063</v>
      </c>
      <c r="AP131" s="281" t="s">
        <v>2</v>
      </c>
      <c r="AQ131" s="302" t="s">
        <v>2</v>
      </c>
    </row>
    <row r="132" spans="1:43" ht="15" customHeight="1">
      <c r="A132" s="90"/>
      <c r="B132" s="84"/>
      <c r="C132" s="91"/>
      <c r="D132" s="301">
        <v>15610</v>
      </c>
      <c r="E132" s="283">
        <v>720805</v>
      </c>
      <c r="F132" s="273">
        <v>12963</v>
      </c>
      <c r="G132" s="274" t="s">
        <v>1546</v>
      </c>
      <c r="H132" s="274" t="s">
        <v>407</v>
      </c>
      <c r="I132" s="274" t="s">
        <v>9</v>
      </c>
      <c r="J132" s="274" t="s">
        <v>392</v>
      </c>
      <c r="K132" s="275">
        <v>0.65277777777777779</v>
      </c>
      <c r="L132" s="275">
        <v>0.91666666666666663</v>
      </c>
      <c r="M132" s="275">
        <v>0.26388888888888884</v>
      </c>
      <c r="N132" s="275">
        <v>0.69444444444444453</v>
      </c>
      <c r="O132" s="275">
        <v>0.74305555555555547</v>
      </c>
      <c r="P132" s="275">
        <v>0.84027777777777779</v>
      </c>
      <c r="Q132" s="276">
        <v>40603</v>
      </c>
      <c r="R132" s="284" t="s">
        <v>2</v>
      </c>
      <c r="S132" s="276">
        <v>40626</v>
      </c>
      <c r="T132" s="284" t="s">
        <v>2</v>
      </c>
      <c r="U132" s="274" t="s">
        <v>707</v>
      </c>
      <c r="V132" s="276">
        <v>42128</v>
      </c>
      <c r="W132" s="276" t="s">
        <v>2</v>
      </c>
      <c r="X132" s="276" t="s">
        <v>2</v>
      </c>
      <c r="Y132" s="274" t="s">
        <v>2198</v>
      </c>
      <c r="Z132" s="274" t="s">
        <v>2</v>
      </c>
      <c r="AA132" s="274" t="s">
        <v>2</v>
      </c>
      <c r="AB132" s="276" t="s">
        <v>2</v>
      </c>
      <c r="AC132" s="274" t="s">
        <v>2</v>
      </c>
      <c r="AD132" s="274">
        <v>8225400</v>
      </c>
      <c r="AE132" s="276"/>
      <c r="AF132" s="274" t="s">
        <v>2194</v>
      </c>
      <c r="AG132" s="274" t="s">
        <v>775</v>
      </c>
      <c r="AH132" s="274" t="s">
        <v>2197</v>
      </c>
      <c r="AI132" s="274" t="s">
        <v>89</v>
      </c>
      <c r="AJ132" s="281">
        <v>810036</v>
      </c>
      <c r="AK132" s="281" t="s">
        <v>1894</v>
      </c>
      <c r="AL132" s="281" t="s">
        <v>1723</v>
      </c>
      <c r="AM132" s="281" t="s">
        <v>2</v>
      </c>
      <c r="AN132" s="281" t="s">
        <v>2</v>
      </c>
      <c r="AO132" s="281" t="s">
        <v>2064</v>
      </c>
      <c r="AP132" s="281" t="s">
        <v>1249</v>
      </c>
      <c r="AQ132" s="302" t="s">
        <v>1249</v>
      </c>
    </row>
    <row r="133" spans="1:43" ht="15" customHeight="1">
      <c r="A133" s="90"/>
      <c r="B133" s="84"/>
      <c r="C133" s="91"/>
      <c r="D133" s="301">
        <v>30174</v>
      </c>
      <c r="E133" s="283">
        <v>873179</v>
      </c>
      <c r="F133" s="273">
        <v>17039</v>
      </c>
      <c r="G133" s="274" t="s">
        <v>1547</v>
      </c>
      <c r="H133" s="274" t="s">
        <v>422</v>
      </c>
      <c r="I133" s="274" t="s">
        <v>9</v>
      </c>
      <c r="J133" s="274" t="s">
        <v>398</v>
      </c>
      <c r="K133" s="275">
        <v>0.33333333333333331</v>
      </c>
      <c r="L133" s="275">
        <v>0.59722222222222221</v>
      </c>
      <c r="M133" s="275">
        <v>0.2638888888888889</v>
      </c>
      <c r="N133" s="275">
        <v>0.375</v>
      </c>
      <c r="O133" s="275">
        <v>0.47916666666666669</v>
      </c>
      <c r="P133" s="275">
        <v>0.54861111111111105</v>
      </c>
      <c r="Q133" s="276">
        <v>42044</v>
      </c>
      <c r="R133" s="284" t="s">
        <v>2</v>
      </c>
      <c r="S133" s="276">
        <v>42068</v>
      </c>
      <c r="T133" s="284" t="s">
        <v>2</v>
      </c>
      <c r="U133" s="274" t="s">
        <v>707</v>
      </c>
      <c r="V133" s="276">
        <v>42132</v>
      </c>
      <c r="W133" s="276">
        <v>42132</v>
      </c>
      <c r="X133" s="276" t="s">
        <v>2</v>
      </c>
      <c r="Y133" s="274" t="s">
        <v>2199</v>
      </c>
      <c r="Z133" s="274" t="s">
        <v>2</v>
      </c>
      <c r="AA133" s="274" t="s">
        <v>2</v>
      </c>
      <c r="AB133" s="276" t="s">
        <v>2</v>
      </c>
      <c r="AC133" s="274" t="s">
        <v>2</v>
      </c>
      <c r="AD133" s="274" t="s">
        <v>2167</v>
      </c>
      <c r="AE133" s="276"/>
      <c r="AF133" s="274" t="s">
        <v>2196</v>
      </c>
      <c r="AG133" s="274" t="s">
        <v>775</v>
      </c>
      <c r="AH133" s="274" t="s">
        <v>2197</v>
      </c>
      <c r="AI133" s="274" t="s">
        <v>89</v>
      </c>
      <c r="AJ133" s="281">
        <v>0</v>
      </c>
      <c r="AK133" s="281" t="s">
        <v>1895</v>
      </c>
      <c r="AL133" s="281" t="s">
        <v>1724</v>
      </c>
      <c r="AM133" s="281" t="s">
        <v>2</v>
      </c>
      <c r="AN133" s="281" t="s">
        <v>422</v>
      </c>
      <c r="AO133" s="281" t="s">
        <v>2065</v>
      </c>
      <c r="AP133" s="281" t="s">
        <v>2</v>
      </c>
      <c r="AQ133" s="302" t="s">
        <v>2</v>
      </c>
    </row>
    <row r="134" spans="1:43" ht="15" customHeight="1">
      <c r="A134" s="90"/>
      <c r="B134" s="84"/>
      <c r="C134" s="91"/>
      <c r="D134" s="301">
        <v>30172</v>
      </c>
      <c r="E134" s="283">
        <v>873177</v>
      </c>
      <c r="F134" s="273">
        <v>17036</v>
      </c>
      <c r="G134" s="274" t="s">
        <v>1548</v>
      </c>
      <c r="H134" s="274" t="s">
        <v>422</v>
      </c>
      <c r="I134" s="274" t="s">
        <v>9</v>
      </c>
      <c r="J134" s="274" t="s">
        <v>398</v>
      </c>
      <c r="K134" s="275">
        <v>0.33333333333333331</v>
      </c>
      <c r="L134" s="275">
        <v>0.59722222222222221</v>
      </c>
      <c r="M134" s="275">
        <v>0.2638888888888889</v>
      </c>
      <c r="N134" s="275">
        <v>0.38194444444444442</v>
      </c>
      <c r="O134" s="275">
        <v>0.49305555555555558</v>
      </c>
      <c r="P134" s="275">
        <v>0.54861111111111105</v>
      </c>
      <c r="Q134" s="276">
        <v>42044</v>
      </c>
      <c r="R134" s="284" t="s">
        <v>2</v>
      </c>
      <c r="S134" s="276">
        <v>42068</v>
      </c>
      <c r="T134" s="284" t="s">
        <v>2</v>
      </c>
      <c r="U134" s="274" t="s">
        <v>707</v>
      </c>
      <c r="V134" s="276">
        <v>42132</v>
      </c>
      <c r="W134" s="276">
        <v>42132</v>
      </c>
      <c r="X134" s="276" t="s">
        <v>2</v>
      </c>
      <c r="Y134" s="274" t="s">
        <v>2198</v>
      </c>
      <c r="Z134" s="274" t="s">
        <v>2</v>
      </c>
      <c r="AA134" s="274" t="s">
        <v>2</v>
      </c>
      <c r="AB134" s="276" t="s">
        <v>2</v>
      </c>
      <c r="AC134" s="274" t="s">
        <v>2</v>
      </c>
      <c r="AD134" s="274" t="s">
        <v>2168</v>
      </c>
      <c r="AE134" s="276"/>
      <c r="AF134" s="274" t="s">
        <v>2192</v>
      </c>
      <c r="AG134" s="274" t="s">
        <v>775</v>
      </c>
      <c r="AH134" s="274" t="s">
        <v>2197</v>
      </c>
      <c r="AI134" s="274" t="s">
        <v>89</v>
      </c>
      <c r="AJ134" s="281">
        <v>810211</v>
      </c>
      <c r="AK134" s="281" t="s">
        <v>1896</v>
      </c>
      <c r="AL134" s="281" t="s">
        <v>1725</v>
      </c>
      <c r="AM134" s="281" t="s">
        <v>2</v>
      </c>
      <c r="AN134" s="281" t="s">
        <v>422</v>
      </c>
      <c r="AO134" s="281" t="s">
        <v>2066</v>
      </c>
      <c r="AP134" s="281" t="s">
        <v>2</v>
      </c>
      <c r="AQ134" s="302" t="s">
        <v>2</v>
      </c>
    </row>
    <row r="135" spans="1:43" ht="15" customHeight="1">
      <c r="A135" s="90"/>
      <c r="B135" s="84"/>
      <c r="C135" s="91"/>
      <c r="D135" s="301">
        <v>29924</v>
      </c>
      <c r="E135" s="283">
        <v>869828</v>
      </c>
      <c r="F135" s="273">
        <v>17118</v>
      </c>
      <c r="G135" s="274" t="s">
        <v>1549</v>
      </c>
      <c r="H135" s="274" t="s">
        <v>422</v>
      </c>
      <c r="I135" s="274" t="s">
        <v>9</v>
      </c>
      <c r="J135" s="274" t="s">
        <v>398</v>
      </c>
      <c r="K135" s="275">
        <v>0.375</v>
      </c>
      <c r="L135" s="275">
        <v>0.63888888888888895</v>
      </c>
      <c r="M135" s="275">
        <v>0.26388888888888895</v>
      </c>
      <c r="N135" s="275">
        <v>0.4236111111111111</v>
      </c>
      <c r="O135" s="275">
        <v>0.5</v>
      </c>
      <c r="P135" s="275">
        <v>0.57638888888888895</v>
      </c>
      <c r="Q135" s="276">
        <v>42010</v>
      </c>
      <c r="R135" s="284" t="s">
        <v>2</v>
      </c>
      <c r="S135" s="276">
        <v>42036</v>
      </c>
      <c r="T135" s="284" t="s">
        <v>2</v>
      </c>
      <c r="U135" s="274" t="s">
        <v>707</v>
      </c>
      <c r="V135" s="276">
        <v>42128</v>
      </c>
      <c r="W135" s="276">
        <v>42128</v>
      </c>
      <c r="X135" s="276" t="s">
        <v>2</v>
      </c>
      <c r="Y135" s="274" t="s">
        <v>2198</v>
      </c>
      <c r="Z135" s="274" t="s">
        <v>2</v>
      </c>
      <c r="AA135" s="274" t="s">
        <v>2</v>
      </c>
      <c r="AB135" s="276" t="s">
        <v>2</v>
      </c>
      <c r="AC135" s="274" t="s">
        <v>2</v>
      </c>
      <c r="AD135" s="274">
        <v>4475380</v>
      </c>
      <c r="AE135" s="276"/>
      <c r="AF135" s="274" t="s">
        <v>2188</v>
      </c>
      <c r="AG135" s="274" t="s">
        <v>775</v>
      </c>
      <c r="AH135" s="274" t="s">
        <v>2197</v>
      </c>
      <c r="AI135" s="274" t="s">
        <v>89</v>
      </c>
      <c r="AJ135" s="281">
        <v>810214</v>
      </c>
      <c r="AK135" s="281" t="s">
        <v>1897</v>
      </c>
      <c r="AL135" s="281" t="s">
        <v>1726</v>
      </c>
      <c r="AM135" s="281" t="s">
        <v>2</v>
      </c>
      <c r="AN135" s="281" t="s">
        <v>422</v>
      </c>
      <c r="AO135" s="281" t="s">
        <v>2067</v>
      </c>
      <c r="AP135" s="281" t="s">
        <v>2</v>
      </c>
      <c r="AQ135" s="302" t="s">
        <v>2</v>
      </c>
    </row>
    <row r="136" spans="1:43" ht="15" customHeight="1">
      <c r="A136" s="90"/>
      <c r="B136" s="84"/>
      <c r="C136" s="91"/>
      <c r="D136" s="301">
        <v>28097</v>
      </c>
      <c r="E136" s="283">
        <v>836300</v>
      </c>
      <c r="F136" s="273">
        <v>12752</v>
      </c>
      <c r="G136" s="274" t="s">
        <v>1462</v>
      </c>
      <c r="H136" s="274" t="s">
        <v>422</v>
      </c>
      <c r="I136" s="274" t="s">
        <v>9</v>
      </c>
      <c r="J136" s="274" t="s">
        <v>398</v>
      </c>
      <c r="K136" s="275">
        <v>0.41666666666666669</v>
      </c>
      <c r="L136" s="275">
        <v>0.7583333333333333</v>
      </c>
      <c r="M136" s="275">
        <v>0.34166666666666662</v>
      </c>
      <c r="N136" s="275">
        <v>0.44444444444444442</v>
      </c>
      <c r="O136" s="275">
        <v>0.5</v>
      </c>
      <c r="P136" s="275">
        <v>0.65277777777777779</v>
      </c>
      <c r="Q136" s="276">
        <v>41731</v>
      </c>
      <c r="R136" s="284" t="s">
        <v>2</v>
      </c>
      <c r="S136" s="276">
        <v>41760</v>
      </c>
      <c r="T136" s="284" t="s">
        <v>2</v>
      </c>
      <c r="U136" s="274" t="s">
        <v>707</v>
      </c>
      <c r="V136" s="276">
        <v>42142</v>
      </c>
      <c r="W136" s="276">
        <v>42142</v>
      </c>
      <c r="X136" s="276" t="s">
        <v>2</v>
      </c>
      <c r="Y136" s="274" t="s">
        <v>2198</v>
      </c>
      <c r="Z136" s="274" t="s">
        <v>2</v>
      </c>
      <c r="AA136" s="274" t="s">
        <v>2</v>
      </c>
      <c r="AB136" s="276" t="s">
        <v>2</v>
      </c>
      <c r="AC136" s="274" t="s">
        <v>2</v>
      </c>
      <c r="AD136" s="274" t="s">
        <v>2</v>
      </c>
      <c r="AE136" s="276"/>
      <c r="AF136" s="274" t="s">
        <v>2</v>
      </c>
      <c r="AG136" s="274" t="s">
        <v>775</v>
      </c>
      <c r="AH136" s="274" t="s">
        <v>2197</v>
      </c>
      <c r="AI136" s="274" t="s">
        <v>89</v>
      </c>
      <c r="AJ136" s="281">
        <v>810149</v>
      </c>
      <c r="AK136" s="281" t="s">
        <v>1812</v>
      </c>
      <c r="AL136" s="281" t="s">
        <v>1640</v>
      </c>
      <c r="AM136" s="281" t="s">
        <v>2</v>
      </c>
      <c r="AN136" s="281" t="s">
        <v>422</v>
      </c>
      <c r="AO136" s="281" t="s">
        <v>1982</v>
      </c>
      <c r="AP136" s="281" t="s">
        <v>2</v>
      </c>
      <c r="AQ136" s="302" t="s">
        <v>2</v>
      </c>
    </row>
    <row r="137" spans="1:43" ht="15" customHeight="1">
      <c r="A137" s="90"/>
      <c r="B137" s="84"/>
      <c r="C137" s="91"/>
      <c r="D137" s="301">
        <v>29308</v>
      </c>
      <c r="E137" s="283">
        <v>858686</v>
      </c>
      <c r="F137" s="273">
        <v>12395</v>
      </c>
      <c r="G137" s="274" t="s">
        <v>1550</v>
      </c>
      <c r="H137" s="274" t="s">
        <v>416</v>
      </c>
      <c r="I137" s="274" t="s">
        <v>16</v>
      </c>
      <c r="J137" s="274" t="s">
        <v>398</v>
      </c>
      <c r="K137" s="275">
        <v>0.33333333333333331</v>
      </c>
      <c r="L137" s="275">
        <v>0.59722222222222221</v>
      </c>
      <c r="M137" s="275">
        <v>0.2638888888888889</v>
      </c>
      <c r="N137" s="275">
        <v>0.40972222222222227</v>
      </c>
      <c r="O137" s="275">
        <v>0.45833333333333331</v>
      </c>
      <c r="P137" s="275">
        <v>0.54166666666666663</v>
      </c>
      <c r="Q137" s="276">
        <v>41918</v>
      </c>
      <c r="R137" s="284" t="s">
        <v>2</v>
      </c>
      <c r="S137" s="276">
        <v>41944</v>
      </c>
      <c r="T137" s="284" t="s">
        <v>2</v>
      </c>
      <c r="U137" s="274" t="s">
        <v>707</v>
      </c>
      <c r="V137" s="276">
        <v>42139</v>
      </c>
      <c r="W137" s="276">
        <v>42139</v>
      </c>
      <c r="X137" s="276" t="s">
        <v>2</v>
      </c>
      <c r="Y137" s="274" t="s">
        <v>2</v>
      </c>
      <c r="Z137" s="274" t="s">
        <v>2209</v>
      </c>
      <c r="AA137" s="274" t="s">
        <v>398</v>
      </c>
      <c r="AB137" s="276" t="s">
        <v>2204</v>
      </c>
      <c r="AC137" s="274">
        <v>42139</v>
      </c>
      <c r="AD137" s="274" t="s">
        <v>2169</v>
      </c>
      <c r="AE137" s="276"/>
      <c r="AF137" s="274" t="s">
        <v>2189</v>
      </c>
      <c r="AG137" s="274" t="s">
        <v>775</v>
      </c>
      <c r="AH137" s="274" t="s">
        <v>2197</v>
      </c>
      <c r="AI137" s="274" t="s">
        <v>89</v>
      </c>
      <c r="AJ137" s="281">
        <v>810157</v>
      </c>
      <c r="AK137" s="281" t="s">
        <v>1898</v>
      </c>
      <c r="AL137" s="281" t="s">
        <v>1727</v>
      </c>
      <c r="AM137" s="281" t="s">
        <v>2</v>
      </c>
      <c r="AN137" s="281" t="s">
        <v>422</v>
      </c>
      <c r="AO137" s="281" t="s">
        <v>2068</v>
      </c>
      <c r="AP137" s="281" t="s">
        <v>1249</v>
      </c>
      <c r="AQ137" s="302" t="s">
        <v>2</v>
      </c>
    </row>
    <row r="138" spans="1:43" ht="15" customHeight="1">
      <c r="A138" s="90"/>
      <c r="B138" s="84"/>
      <c r="C138" s="91"/>
      <c r="D138" s="301">
        <v>28121</v>
      </c>
      <c r="E138" s="283">
        <v>836323</v>
      </c>
      <c r="F138" s="273">
        <v>12765</v>
      </c>
      <c r="G138" s="274" t="s">
        <v>1551</v>
      </c>
      <c r="H138" s="274" t="s">
        <v>416</v>
      </c>
      <c r="I138" s="274" t="s">
        <v>16</v>
      </c>
      <c r="J138" s="274" t="s">
        <v>398</v>
      </c>
      <c r="K138" s="275">
        <v>0.33333333333333331</v>
      </c>
      <c r="L138" s="275">
        <v>0.67499999999999993</v>
      </c>
      <c r="M138" s="275">
        <v>0.34166666666666662</v>
      </c>
      <c r="N138" s="275">
        <v>0.375</v>
      </c>
      <c r="O138" s="275">
        <v>0.51388888888888895</v>
      </c>
      <c r="P138" s="275">
        <v>0.625</v>
      </c>
      <c r="Q138" s="276">
        <v>41731</v>
      </c>
      <c r="R138" s="284" t="s">
        <v>2</v>
      </c>
      <c r="S138" s="276">
        <v>41760</v>
      </c>
      <c r="T138" s="284" t="s">
        <v>2</v>
      </c>
      <c r="U138" s="274" t="s">
        <v>707</v>
      </c>
      <c r="V138" s="276">
        <v>42139</v>
      </c>
      <c r="W138" s="276">
        <v>42139</v>
      </c>
      <c r="X138" s="276" t="s">
        <v>2</v>
      </c>
      <c r="Y138" s="274" t="s">
        <v>2</v>
      </c>
      <c r="Z138" s="274" t="s">
        <v>2209</v>
      </c>
      <c r="AA138" s="274" t="s">
        <v>398</v>
      </c>
      <c r="AB138" s="276" t="s">
        <v>2204</v>
      </c>
      <c r="AC138" s="274">
        <v>42139</v>
      </c>
      <c r="AD138" s="274" t="s">
        <v>2</v>
      </c>
      <c r="AE138" s="276"/>
      <c r="AF138" s="274" t="s">
        <v>2</v>
      </c>
      <c r="AG138" s="274" t="s">
        <v>775</v>
      </c>
      <c r="AH138" s="274" t="s">
        <v>2197</v>
      </c>
      <c r="AI138" s="274" t="s">
        <v>89</v>
      </c>
      <c r="AJ138" s="281">
        <v>810146</v>
      </c>
      <c r="AK138" s="281" t="s">
        <v>1899</v>
      </c>
      <c r="AL138" s="281" t="s">
        <v>1728</v>
      </c>
      <c r="AM138" s="281" t="s">
        <v>2</v>
      </c>
      <c r="AN138" s="281" t="s">
        <v>422</v>
      </c>
      <c r="AO138" s="281" t="s">
        <v>2069</v>
      </c>
      <c r="AP138" s="281" t="s">
        <v>2</v>
      </c>
      <c r="AQ138" s="302" t="s">
        <v>2</v>
      </c>
    </row>
    <row r="139" spans="1:43" ht="15" customHeight="1">
      <c r="A139" s="90"/>
      <c r="B139" s="84"/>
      <c r="C139" s="91"/>
      <c r="D139" s="301">
        <v>30138</v>
      </c>
      <c r="E139" s="283">
        <v>873009</v>
      </c>
      <c r="F139" s="273">
        <v>12233</v>
      </c>
      <c r="G139" s="274" t="s">
        <v>1552</v>
      </c>
      <c r="H139" s="274" t="s">
        <v>420</v>
      </c>
      <c r="I139" s="274" t="s">
        <v>9</v>
      </c>
      <c r="J139" s="274" t="s">
        <v>398</v>
      </c>
      <c r="K139" s="275">
        <v>0.5</v>
      </c>
      <c r="L139" s="275">
        <v>0.84166666666666667</v>
      </c>
      <c r="M139" s="275">
        <v>0.34166666666666667</v>
      </c>
      <c r="N139" s="275">
        <v>0.55555555555555558</v>
      </c>
      <c r="O139" s="275">
        <v>0.625</v>
      </c>
      <c r="P139" s="275">
        <v>0.72916666666666663</v>
      </c>
      <c r="Q139" s="276">
        <v>42044</v>
      </c>
      <c r="R139" s="284" t="s">
        <v>2</v>
      </c>
      <c r="S139" s="276">
        <v>42068</v>
      </c>
      <c r="T139" s="284" t="s">
        <v>2</v>
      </c>
      <c r="U139" s="274" t="s">
        <v>707</v>
      </c>
      <c r="V139" s="276">
        <v>42137</v>
      </c>
      <c r="W139" s="276">
        <v>42137</v>
      </c>
      <c r="X139" s="276" t="s">
        <v>2</v>
      </c>
      <c r="Y139" s="274" t="s">
        <v>1438</v>
      </c>
      <c r="Z139" s="274" t="s">
        <v>2</v>
      </c>
      <c r="AA139" s="274" t="s">
        <v>2</v>
      </c>
      <c r="AB139" s="276" t="s">
        <v>2</v>
      </c>
      <c r="AC139" s="274" t="s">
        <v>2</v>
      </c>
      <c r="AD139" s="274" t="s">
        <v>2170</v>
      </c>
      <c r="AE139" s="276"/>
      <c r="AF139" s="274" t="s">
        <v>2196</v>
      </c>
      <c r="AG139" s="274" t="s">
        <v>775</v>
      </c>
      <c r="AH139" s="274" t="s">
        <v>2197</v>
      </c>
      <c r="AI139" s="274" t="s">
        <v>89</v>
      </c>
      <c r="AJ139" s="281">
        <v>0</v>
      </c>
      <c r="AK139" s="281" t="s">
        <v>1900</v>
      </c>
      <c r="AL139" s="281" t="s">
        <v>1729</v>
      </c>
      <c r="AM139" s="281" t="s">
        <v>2</v>
      </c>
      <c r="AN139" s="281" t="s">
        <v>422</v>
      </c>
      <c r="AO139" s="281" t="s">
        <v>2070</v>
      </c>
      <c r="AP139" s="281" t="s">
        <v>1249</v>
      </c>
      <c r="AQ139" s="302" t="s">
        <v>2</v>
      </c>
    </row>
    <row r="140" spans="1:43" ht="15" customHeight="1">
      <c r="A140" s="90"/>
      <c r="B140" s="84"/>
      <c r="C140" s="91"/>
      <c r="D140" s="301">
        <v>21468</v>
      </c>
      <c r="E140" s="283">
        <v>766264</v>
      </c>
      <c r="F140" s="273">
        <v>12644</v>
      </c>
      <c r="G140" s="274" t="s">
        <v>1553</v>
      </c>
      <c r="H140" s="274" t="s">
        <v>408</v>
      </c>
      <c r="I140" s="274" t="s">
        <v>16</v>
      </c>
      <c r="J140" s="274" t="s">
        <v>403</v>
      </c>
      <c r="K140" s="275">
        <v>0.58333333333333337</v>
      </c>
      <c r="L140" s="275">
        <v>0.84722222222222221</v>
      </c>
      <c r="M140" s="275">
        <v>0.26388888888888884</v>
      </c>
      <c r="N140" s="275" t="s">
        <v>2</v>
      </c>
      <c r="O140" s="275" t="s">
        <v>2</v>
      </c>
      <c r="P140" s="275" t="s">
        <v>2</v>
      </c>
      <c r="Q140" s="276">
        <v>41008</v>
      </c>
      <c r="R140" s="284" t="s">
        <v>2</v>
      </c>
      <c r="S140" s="276">
        <v>41031</v>
      </c>
      <c r="T140" s="284" t="s">
        <v>2</v>
      </c>
      <c r="U140" s="274" t="s">
        <v>707</v>
      </c>
      <c r="V140" s="276">
        <v>42136</v>
      </c>
      <c r="W140" s="276" t="s">
        <v>2</v>
      </c>
      <c r="X140" s="276" t="s">
        <v>2</v>
      </c>
      <c r="Y140" s="274" t="s">
        <v>2</v>
      </c>
      <c r="Z140" s="274" t="s">
        <v>2209</v>
      </c>
      <c r="AA140" s="274" t="s">
        <v>403</v>
      </c>
      <c r="AB140" s="276" t="s">
        <v>2212</v>
      </c>
      <c r="AC140" s="274">
        <v>42136</v>
      </c>
      <c r="AD140" s="274">
        <v>5736100</v>
      </c>
      <c r="AE140" s="276"/>
      <c r="AF140" s="274" t="s">
        <v>2191</v>
      </c>
      <c r="AG140" s="274" t="s">
        <v>775</v>
      </c>
      <c r="AH140" s="274" t="s">
        <v>2197</v>
      </c>
      <c r="AI140" s="274" t="s">
        <v>89</v>
      </c>
      <c r="AJ140" s="281" t="s">
        <v>2</v>
      </c>
      <c r="AK140" s="281" t="s">
        <v>1901</v>
      </c>
      <c r="AL140" s="281" t="s">
        <v>1730</v>
      </c>
      <c r="AM140" s="281" t="s">
        <v>2</v>
      </c>
      <c r="AN140" s="281" t="s">
        <v>2</v>
      </c>
      <c r="AO140" s="281" t="s">
        <v>2071</v>
      </c>
      <c r="AP140" s="281" t="s">
        <v>1249</v>
      </c>
      <c r="AQ140" s="302" t="s">
        <v>2</v>
      </c>
    </row>
    <row r="141" spans="1:43" ht="15" customHeight="1">
      <c r="A141" s="90"/>
      <c r="B141" s="84"/>
      <c r="C141" s="91"/>
      <c r="D141" s="301">
        <v>28098</v>
      </c>
      <c r="E141" s="283">
        <v>836301</v>
      </c>
      <c r="F141" s="273">
        <v>12439</v>
      </c>
      <c r="G141" s="274" t="s">
        <v>1554</v>
      </c>
      <c r="H141" s="274" t="s">
        <v>411</v>
      </c>
      <c r="I141" s="274" t="s">
        <v>16</v>
      </c>
      <c r="J141" s="274" t="s">
        <v>402</v>
      </c>
      <c r="K141" s="275">
        <v>0.56944444444444442</v>
      </c>
      <c r="L141" s="275">
        <v>0.83333333333333326</v>
      </c>
      <c r="M141" s="275">
        <v>0.26388888888888884</v>
      </c>
      <c r="N141" s="275">
        <v>0.66666666666666663</v>
      </c>
      <c r="O141" s="275">
        <v>0.76388888888888884</v>
      </c>
      <c r="P141" s="275">
        <v>0.82638888888888884</v>
      </c>
      <c r="Q141" s="276">
        <v>41731</v>
      </c>
      <c r="R141" s="284" t="s">
        <v>2</v>
      </c>
      <c r="S141" s="276">
        <v>41760</v>
      </c>
      <c r="T141" s="284" t="s">
        <v>2</v>
      </c>
      <c r="U141" s="274" t="s">
        <v>707</v>
      </c>
      <c r="V141" s="276">
        <v>42138</v>
      </c>
      <c r="W141" s="276">
        <v>42139</v>
      </c>
      <c r="X141" s="276" t="s">
        <v>2</v>
      </c>
      <c r="Y141" s="274" t="s">
        <v>2</v>
      </c>
      <c r="Z141" s="274" t="s">
        <v>2209</v>
      </c>
      <c r="AA141" s="274" t="s">
        <v>402</v>
      </c>
      <c r="AB141" s="276" t="s">
        <v>2207</v>
      </c>
      <c r="AC141" s="274">
        <v>42139</v>
      </c>
      <c r="AD141" s="274" t="s">
        <v>2</v>
      </c>
      <c r="AE141" s="276"/>
      <c r="AF141" s="274" t="s">
        <v>2</v>
      </c>
      <c r="AG141" s="274" t="s">
        <v>775</v>
      </c>
      <c r="AH141" s="274" t="s">
        <v>2197</v>
      </c>
      <c r="AI141" s="274" t="s">
        <v>89</v>
      </c>
      <c r="AJ141" s="281" t="s">
        <v>2</v>
      </c>
      <c r="AK141" s="281" t="s">
        <v>1902</v>
      </c>
      <c r="AL141" s="281" t="s">
        <v>1731</v>
      </c>
      <c r="AM141" s="281" t="s">
        <v>2</v>
      </c>
      <c r="AN141" s="281" t="s">
        <v>2</v>
      </c>
      <c r="AO141" s="281" t="s">
        <v>2072</v>
      </c>
      <c r="AP141" s="281" t="s">
        <v>2</v>
      </c>
      <c r="AQ141" s="302" t="s">
        <v>2</v>
      </c>
    </row>
    <row r="142" spans="1:43" ht="15" customHeight="1">
      <c r="A142" s="90"/>
      <c r="B142" s="84"/>
      <c r="C142" s="91"/>
      <c r="D142" s="301">
        <v>27241</v>
      </c>
      <c r="E142" s="283">
        <v>827466</v>
      </c>
      <c r="F142" s="273">
        <v>12095</v>
      </c>
      <c r="G142" s="274" t="s">
        <v>1555</v>
      </c>
      <c r="H142" s="274" t="s">
        <v>414</v>
      </c>
      <c r="I142" s="274" t="s">
        <v>9</v>
      </c>
      <c r="J142" s="274" t="s">
        <v>403</v>
      </c>
      <c r="K142" s="275">
        <v>0.41666666666666669</v>
      </c>
      <c r="L142" s="275">
        <v>0.7583333333333333</v>
      </c>
      <c r="M142" s="275">
        <v>0.34166666666666662</v>
      </c>
      <c r="N142" s="275">
        <v>0.52083333333333337</v>
      </c>
      <c r="O142" s="275">
        <v>0.58333333333333337</v>
      </c>
      <c r="P142" s="275">
        <v>0.67361111111111116</v>
      </c>
      <c r="Q142" s="276">
        <v>41620</v>
      </c>
      <c r="R142" s="284" t="s">
        <v>2</v>
      </c>
      <c r="S142" s="276">
        <v>41653</v>
      </c>
      <c r="T142" s="284" t="s">
        <v>2</v>
      </c>
      <c r="U142" s="274" t="s">
        <v>707</v>
      </c>
      <c r="V142" s="276">
        <v>42128</v>
      </c>
      <c r="W142" s="276">
        <v>42128</v>
      </c>
      <c r="X142" s="276" t="s">
        <v>2</v>
      </c>
      <c r="Y142" s="274" t="s">
        <v>1438</v>
      </c>
      <c r="Z142" s="274" t="s">
        <v>2</v>
      </c>
      <c r="AA142" s="274" t="s">
        <v>2</v>
      </c>
      <c r="AB142" s="276" t="s">
        <v>2</v>
      </c>
      <c r="AC142" s="274" t="s">
        <v>2</v>
      </c>
      <c r="AD142" s="274" t="s">
        <v>2</v>
      </c>
      <c r="AE142" s="276"/>
      <c r="AF142" s="274" t="s">
        <v>2</v>
      </c>
      <c r="AG142" s="274" t="s">
        <v>775</v>
      </c>
      <c r="AH142" s="274" t="s">
        <v>2197</v>
      </c>
      <c r="AI142" s="274" t="s">
        <v>89</v>
      </c>
      <c r="AJ142" s="281">
        <v>810089</v>
      </c>
      <c r="AK142" s="281" t="s">
        <v>1903</v>
      </c>
      <c r="AL142" s="281" t="s">
        <v>1732</v>
      </c>
      <c r="AM142" s="281" t="s">
        <v>2</v>
      </c>
      <c r="AN142" s="281" t="s">
        <v>422</v>
      </c>
      <c r="AO142" s="281" t="s">
        <v>2073</v>
      </c>
      <c r="AP142" s="281" t="s">
        <v>2</v>
      </c>
      <c r="AQ142" s="302" t="s">
        <v>2</v>
      </c>
    </row>
    <row r="143" spans="1:43" ht="15" customHeight="1">
      <c r="A143" s="90"/>
      <c r="B143" s="84"/>
      <c r="C143" s="91"/>
      <c r="D143" s="301">
        <v>30612</v>
      </c>
      <c r="E143" s="283">
        <v>879255</v>
      </c>
      <c r="F143" s="273">
        <v>17078</v>
      </c>
      <c r="G143" s="274" t="s">
        <v>1556</v>
      </c>
      <c r="H143" s="274" t="s">
        <v>419</v>
      </c>
      <c r="I143" s="274" t="s">
        <v>9</v>
      </c>
      <c r="J143" s="274" t="s">
        <v>403</v>
      </c>
      <c r="K143" s="275">
        <v>0.61111111111111105</v>
      </c>
      <c r="L143" s="275">
        <v>0.875</v>
      </c>
      <c r="M143" s="275">
        <v>0.26388888888888895</v>
      </c>
      <c r="N143" s="275">
        <v>0.65277777777777779</v>
      </c>
      <c r="O143" s="275">
        <v>0.73611111111111116</v>
      </c>
      <c r="P143" s="275">
        <v>0.80555555555555547</v>
      </c>
      <c r="Q143" s="276">
        <v>42107</v>
      </c>
      <c r="R143" s="284" t="s">
        <v>2</v>
      </c>
      <c r="S143" s="276">
        <v>42128</v>
      </c>
      <c r="T143" s="284" t="s">
        <v>2</v>
      </c>
      <c r="U143" s="274" t="s">
        <v>708</v>
      </c>
      <c r="V143" s="276">
        <v>42135</v>
      </c>
      <c r="W143" s="276">
        <v>42135</v>
      </c>
      <c r="X143" s="276">
        <v>42128</v>
      </c>
      <c r="Y143" s="274" t="s">
        <v>1438</v>
      </c>
      <c r="Z143" s="274" t="s">
        <v>2</v>
      </c>
      <c r="AA143" s="274" t="s">
        <v>2</v>
      </c>
      <c r="AB143" s="276" t="s">
        <v>2</v>
      </c>
      <c r="AC143" s="274" t="s">
        <v>2</v>
      </c>
      <c r="AD143" s="274">
        <v>6727300</v>
      </c>
      <c r="AE143" s="276"/>
      <c r="AF143" s="274" t="s">
        <v>2193</v>
      </c>
      <c r="AG143" s="274" t="s">
        <v>775</v>
      </c>
      <c r="AH143" s="274" t="s">
        <v>2197</v>
      </c>
      <c r="AI143" s="274" t="s">
        <v>89</v>
      </c>
      <c r="AJ143" s="281" t="s">
        <v>2</v>
      </c>
      <c r="AK143" s="281" t="s">
        <v>1904</v>
      </c>
      <c r="AL143" s="281" t="s">
        <v>1733</v>
      </c>
      <c r="AM143" s="281" t="s">
        <v>2</v>
      </c>
      <c r="AN143" s="281" t="s">
        <v>422</v>
      </c>
      <c r="AO143" s="281" t="s">
        <v>2074</v>
      </c>
      <c r="AP143" s="281" t="s">
        <v>2</v>
      </c>
      <c r="AQ143" s="302" t="s">
        <v>2</v>
      </c>
    </row>
    <row r="144" spans="1:43" ht="15" customHeight="1">
      <c r="A144" s="90"/>
      <c r="B144" s="84"/>
      <c r="C144" s="91"/>
      <c r="D144" s="301">
        <v>30472</v>
      </c>
      <c r="E144" s="283">
        <v>876674</v>
      </c>
      <c r="F144" s="273">
        <v>17135</v>
      </c>
      <c r="G144" s="274" t="s">
        <v>1557</v>
      </c>
      <c r="H144" s="274" t="s">
        <v>419</v>
      </c>
      <c r="I144" s="274" t="s">
        <v>9</v>
      </c>
      <c r="J144" s="274" t="s">
        <v>403</v>
      </c>
      <c r="K144" s="275">
        <v>0.63888888888888895</v>
      </c>
      <c r="L144" s="275">
        <v>0.90277777777777779</v>
      </c>
      <c r="M144" s="275">
        <v>0.26388888888888884</v>
      </c>
      <c r="N144" s="275">
        <v>0.6875</v>
      </c>
      <c r="O144" s="275">
        <v>0.77777777777777779</v>
      </c>
      <c r="P144" s="275">
        <v>0.86111111111111116</v>
      </c>
      <c r="Q144" s="276">
        <v>42079</v>
      </c>
      <c r="R144" s="284" t="s">
        <v>2</v>
      </c>
      <c r="S144" s="276">
        <v>42103</v>
      </c>
      <c r="T144" s="284" t="s">
        <v>2</v>
      </c>
      <c r="U144" s="274" t="s">
        <v>707</v>
      </c>
      <c r="V144" s="276">
        <v>42146</v>
      </c>
      <c r="W144" s="276">
        <v>42146</v>
      </c>
      <c r="X144" s="276" t="s">
        <v>2</v>
      </c>
      <c r="Y144" s="274" t="s">
        <v>1438</v>
      </c>
      <c r="Z144" s="274" t="s">
        <v>2</v>
      </c>
      <c r="AA144" s="274" t="s">
        <v>2</v>
      </c>
      <c r="AB144" s="276" t="s">
        <v>2</v>
      </c>
      <c r="AC144" s="274" t="s">
        <v>2</v>
      </c>
      <c r="AD144" s="274" t="s">
        <v>2171</v>
      </c>
      <c r="AE144" s="276"/>
      <c r="AF144" s="274" t="s">
        <v>2194</v>
      </c>
      <c r="AG144" s="274" t="s">
        <v>775</v>
      </c>
      <c r="AH144" s="274" t="s">
        <v>2197</v>
      </c>
      <c r="AI144" s="274" t="s">
        <v>89</v>
      </c>
      <c r="AJ144" s="281" t="s">
        <v>2</v>
      </c>
      <c r="AK144" s="281" t="s">
        <v>1905</v>
      </c>
      <c r="AL144" s="281" t="s">
        <v>1734</v>
      </c>
      <c r="AM144" s="281" t="s">
        <v>2</v>
      </c>
      <c r="AN144" s="281" t="s">
        <v>422</v>
      </c>
      <c r="AO144" s="281" t="s">
        <v>2075</v>
      </c>
      <c r="AP144" s="281" t="s">
        <v>2</v>
      </c>
      <c r="AQ144" s="302" t="s">
        <v>2</v>
      </c>
    </row>
    <row r="145" spans="1:43" ht="15" customHeight="1">
      <c r="A145" s="90"/>
      <c r="B145" s="84"/>
      <c r="C145" s="91"/>
      <c r="D145" s="301">
        <v>30697</v>
      </c>
      <c r="E145" s="283">
        <v>882227</v>
      </c>
      <c r="F145" s="273" t="s">
        <v>2</v>
      </c>
      <c r="G145" s="274" t="s">
        <v>1558</v>
      </c>
      <c r="H145" s="274" t="s">
        <v>2</v>
      </c>
      <c r="I145" s="274" t="s">
        <v>9</v>
      </c>
      <c r="J145" s="274" t="s">
        <v>403</v>
      </c>
      <c r="K145" s="275">
        <v>0.33333333333333331</v>
      </c>
      <c r="L145" s="275">
        <v>0.59722222222222221</v>
      </c>
      <c r="M145" s="275">
        <v>0.2638888888888889</v>
      </c>
      <c r="N145" s="275" t="s">
        <v>2</v>
      </c>
      <c r="O145" s="275" t="s">
        <v>2</v>
      </c>
      <c r="P145" s="275" t="s">
        <v>2</v>
      </c>
      <c r="Q145" s="276">
        <v>42131</v>
      </c>
      <c r="R145" s="284" t="s">
        <v>2</v>
      </c>
      <c r="S145" s="276">
        <v>42156</v>
      </c>
      <c r="T145" s="284" t="s">
        <v>2</v>
      </c>
      <c r="U145" s="274" t="s">
        <v>707</v>
      </c>
      <c r="V145" s="276">
        <v>42142</v>
      </c>
      <c r="W145" s="276" t="s">
        <v>2</v>
      </c>
      <c r="X145" s="276" t="s">
        <v>2</v>
      </c>
      <c r="Y145" s="274" t="s">
        <v>1438</v>
      </c>
      <c r="Z145" s="274" t="s">
        <v>2</v>
      </c>
      <c r="AA145" s="274" t="s">
        <v>2</v>
      </c>
      <c r="AB145" s="276" t="s">
        <v>2</v>
      </c>
      <c r="AC145" s="274" t="s">
        <v>2</v>
      </c>
      <c r="AD145" s="274" t="s">
        <v>2</v>
      </c>
      <c r="AE145" s="276"/>
      <c r="AF145" s="274" t="s">
        <v>2</v>
      </c>
      <c r="AG145" s="274" t="s">
        <v>775</v>
      </c>
      <c r="AH145" s="274" t="s">
        <v>2197</v>
      </c>
      <c r="AI145" s="274" t="s">
        <v>89</v>
      </c>
      <c r="AJ145" s="281" t="s">
        <v>2</v>
      </c>
      <c r="AK145" s="281" t="s">
        <v>2</v>
      </c>
      <c r="AL145" s="281" t="s">
        <v>2</v>
      </c>
      <c r="AM145" s="281" t="s">
        <v>2</v>
      </c>
      <c r="AN145" s="281" t="s">
        <v>2</v>
      </c>
      <c r="AO145" s="281" t="s">
        <v>2</v>
      </c>
      <c r="AP145" s="281" t="s">
        <v>2</v>
      </c>
      <c r="AQ145" s="302" t="s">
        <v>2</v>
      </c>
    </row>
    <row r="146" spans="1:43" ht="15" customHeight="1">
      <c r="A146" s="90"/>
      <c r="B146" s="84"/>
      <c r="C146" s="91"/>
      <c r="D146" s="301">
        <v>30615</v>
      </c>
      <c r="E146" s="283">
        <v>879258</v>
      </c>
      <c r="F146" s="273">
        <v>17108</v>
      </c>
      <c r="G146" s="274" t="s">
        <v>1545</v>
      </c>
      <c r="H146" s="274" t="s">
        <v>2</v>
      </c>
      <c r="I146" s="274" t="s">
        <v>9</v>
      </c>
      <c r="J146" s="274" t="s">
        <v>403</v>
      </c>
      <c r="K146" s="275">
        <v>0.63888888888888895</v>
      </c>
      <c r="L146" s="275">
        <v>0.90277777777777779</v>
      </c>
      <c r="M146" s="275">
        <v>0.26388888888888884</v>
      </c>
      <c r="N146" s="275">
        <v>0.6875</v>
      </c>
      <c r="O146" s="275">
        <v>0.77777777777777779</v>
      </c>
      <c r="P146" s="275">
        <v>0.86111111111111116</v>
      </c>
      <c r="Q146" s="276">
        <v>42107</v>
      </c>
      <c r="R146" s="284" t="s">
        <v>2</v>
      </c>
      <c r="S146" s="276">
        <v>42128</v>
      </c>
      <c r="T146" s="284" t="s">
        <v>2</v>
      </c>
      <c r="U146" s="274" t="s">
        <v>707</v>
      </c>
      <c r="V146" s="276">
        <v>42136</v>
      </c>
      <c r="W146" s="276" t="s">
        <v>2</v>
      </c>
      <c r="X146" s="276" t="s">
        <v>2</v>
      </c>
      <c r="Y146" s="274" t="s">
        <v>2198</v>
      </c>
      <c r="Z146" s="274" t="s">
        <v>2</v>
      </c>
      <c r="AA146" s="274" t="s">
        <v>2</v>
      </c>
      <c r="AB146" s="276" t="s">
        <v>2</v>
      </c>
      <c r="AC146" s="274" t="s">
        <v>2</v>
      </c>
      <c r="AD146" s="274">
        <v>7950005</v>
      </c>
      <c r="AE146" s="276"/>
      <c r="AF146" s="274" t="s">
        <v>2196</v>
      </c>
      <c r="AG146" s="274" t="s">
        <v>775</v>
      </c>
      <c r="AH146" s="274" t="s">
        <v>2197</v>
      </c>
      <c r="AI146" s="274" t="s">
        <v>89</v>
      </c>
      <c r="AJ146" s="281" t="s">
        <v>2</v>
      </c>
      <c r="AK146" s="281" t="s">
        <v>1893</v>
      </c>
      <c r="AL146" s="281" t="s">
        <v>1722</v>
      </c>
      <c r="AM146" s="281" t="s">
        <v>2</v>
      </c>
      <c r="AN146" s="281" t="s">
        <v>2</v>
      </c>
      <c r="AO146" s="281" t="s">
        <v>2063</v>
      </c>
      <c r="AP146" s="281" t="s">
        <v>2</v>
      </c>
      <c r="AQ146" s="302" t="s">
        <v>2</v>
      </c>
    </row>
    <row r="147" spans="1:43" ht="15" customHeight="1">
      <c r="A147" s="90"/>
      <c r="B147" s="84"/>
      <c r="C147" s="91"/>
      <c r="D147" s="301">
        <v>11658</v>
      </c>
      <c r="E147" s="283">
        <v>688654</v>
      </c>
      <c r="F147" s="273">
        <v>12423</v>
      </c>
      <c r="G147" s="274" t="s">
        <v>1559</v>
      </c>
      <c r="H147" s="274" t="s">
        <v>2</v>
      </c>
      <c r="I147" s="274" t="s">
        <v>16</v>
      </c>
      <c r="J147" s="274" t="s">
        <v>1359</v>
      </c>
      <c r="K147" s="275">
        <v>0.375</v>
      </c>
      <c r="L147" s="275">
        <v>0.75</v>
      </c>
      <c r="M147" s="275">
        <v>0.375</v>
      </c>
      <c r="N147" s="275" t="s">
        <v>2</v>
      </c>
      <c r="O147" s="275" t="s">
        <v>2</v>
      </c>
      <c r="P147" s="275" t="s">
        <v>2</v>
      </c>
      <c r="Q147" s="276">
        <v>40121</v>
      </c>
      <c r="R147" s="284" t="s">
        <v>2</v>
      </c>
      <c r="S147" s="276" t="s">
        <v>2</v>
      </c>
      <c r="T147" s="284" t="s">
        <v>2</v>
      </c>
      <c r="U147" s="274" t="s">
        <v>1364</v>
      </c>
      <c r="V147" s="276">
        <v>42124</v>
      </c>
      <c r="W147" s="276" t="s">
        <v>2</v>
      </c>
      <c r="X147" s="276" t="s">
        <v>2</v>
      </c>
      <c r="Y147" s="274" t="s">
        <v>2</v>
      </c>
      <c r="Z147" s="274" t="s">
        <v>2202</v>
      </c>
      <c r="AA147" s="274" t="s">
        <v>1359</v>
      </c>
      <c r="AB147" s="276" t="s">
        <v>2213</v>
      </c>
      <c r="AC147" s="274">
        <v>42125</v>
      </c>
      <c r="AD147" s="274">
        <v>6660400</v>
      </c>
      <c r="AE147" s="276"/>
      <c r="AF147" s="274" t="s">
        <v>2193</v>
      </c>
      <c r="AG147" s="274" t="s">
        <v>776</v>
      </c>
      <c r="AH147" s="274" t="s">
        <v>2197</v>
      </c>
      <c r="AI147" s="274" t="s">
        <v>89</v>
      </c>
      <c r="AJ147" s="281" t="s">
        <v>2</v>
      </c>
      <c r="AK147" s="281" t="s">
        <v>1906</v>
      </c>
      <c r="AL147" s="281" t="s">
        <v>1735</v>
      </c>
      <c r="AM147" s="281" t="s">
        <v>2</v>
      </c>
      <c r="AN147" s="281" t="s">
        <v>2</v>
      </c>
      <c r="AO147" s="281" t="s">
        <v>2076</v>
      </c>
      <c r="AP147" s="281" t="s">
        <v>2</v>
      </c>
      <c r="AQ147" s="302" t="s">
        <v>2</v>
      </c>
    </row>
    <row r="148" spans="1:43" ht="15" customHeight="1">
      <c r="A148" s="90"/>
      <c r="B148" s="84"/>
      <c r="C148" s="91"/>
      <c r="D148" s="301">
        <v>30212</v>
      </c>
      <c r="E148" s="283">
        <v>873525</v>
      </c>
      <c r="F148" s="273" t="s">
        <v>2</v>
      </c>
      <c r="G148" s="274" t="s">
        <v>1560</v>
      </c>
      <c r="H148" s="274" t="s">
        <v>2</v>
      </c>
      <c r="I148" s="274" t="s">
        <v>9</v>
      </c>
      <c r="J148" s="274" t="s">
        <v>1361</v>
      </c>
      <c r="K148" s="275">
        <v>0.375</v>
      </c>
      <c r="L148" s="275">
        <v>0.75</v>
      </c>
      <c r="M148" s="275">
        <v>0.375</v>
      </c>
      <c r="N148" s="275" t="s">
        <v>2</v>
      </c>
      <c r="O148" s="275" t="s">
        <v>2</v>
      </c>
      <c r="P148" s="275" t="s">
        <v>2</v>
      </c>
      <c r="Q148" s="276">
        <v>42047</v>
      </c>
      <c r="R148" s="284" t="s">
        <v>2</v>
      </c>
      <c r="S148" s="276" t="s">
        <v>2</v>
      </c>
      <c r="T148" s="284" t="s">
        <v>2</v>
      </c>
      <c r="U148" s="274" t="s">
        <v>708</v>
      </c>
      <c r="V148" s="276">
        <v>42124</v>
      </c>
      <c r="W148" s="276">
        <v>42124</v>
      </c>
      <c r="X148" s="276" t="s">
        <v>2</v>
      </c>
      <c r="Y148" s="274" t="s">
        <v>2</v>
      </c>
      <c r="Z148" s="274" t="s">
        <v>2</v>
      </c>
      <c r="AA148" s="274" t="s">
        <v>2</v>
      </c>
      <c r="AB148" s="276" t="s">
        <v>2</v>
      </c>
      <c r="AC148" s="274"/>
      <c r="AD148" s="274">
        <v>5205540</v>
      </c>
      <c r="AE148" s="276"/>
      <c r="AF148" s="274" t="s">
        <v>2191</v>
      </c>
      <c r="AG148" s="274" t="s">
        <v>1365</v>
      </c>
      <c r="AH148" s="274" t="s">
        <v>2197</v>
      </c>
      <c r="AI148" s="274" t="s">
        <v>89</v>
      </c>
      <c r="AJ148" s="281" t="s">
        <v>2</v>
      </c>
      <c r="AK148" s="281" t="s">
        <v>1907</v>
      </c>
      <c r="AL148" s="281" t="s">
        <v>1736</v>
      </c>
      <c r="AM148" s="281" t="s">
        <v>2</v>
      </c>
      <c r="AN148" s="281" t="s">
        <v>1357</v>
      </c>
      <c r="AO148" s="281" t="s">
        <v>2</v>
      </c>
      <c r="AP148" s="281" t="s">
        <v>2</v>
      </c>
      <c r="AQ148" s="302" t="s">
        <v>2</v>
      </c>
    </row>
    <row r="149" spans="1:43" ht="15" customHeight="1">
      <c r="A149" s="90"/>
      <c r="B149" s="84"/>
      <c r="C149" s="91"/>
      <c r="D149" s="301">
        <v>30463</v>
      </c>
      <c r="E149" s="283">
        <v>876676</v>
      </c>
      <c r="F149" s="273">
        <v>17021</v>
      </c>
      <c r="G149" s="274" t="s">
        <v>1561</v>
      </c>
      <c r="H149" s="274" t="s">
        <v>419</v>
      </c>
      <c r="I149" s="274" t="s">
        <v>9</v>
      </c>
      <c r="J149" s="274" t="s">
        <v>398</v>
      </c>
      <c r="K149" s="275">
        <v>0.65277777777777779</v>
      </c>
      <c r="L149" s="275">
        <v>0.91666666666666663</v>
      </c>
      <c r="M149" s="275">
        <v>0.26388888888888884</v>
      </c>
      <c r="N149" s="275">
        <v>0.71527777777777779</v>
      </c>
      <c r="O149" s="275">
        <v>0.77083333333333337</v>
      </c>
      <c r="P149" s="275">
        <v>0.86111111111111116</v>
      </c>
      <c r="Q149" s="276">
        <v>42079</v>
      </c>
      <c r="R149" s="284" t="s">
        <v>2</v>
      </c>
      <c r="S149" s="276">
        <v>42100</v>
      </c>
      <c r="T149" s="284" t="s">
        <v>2</v>
      </c>
      <c r="U149" s="274" t="s">
        <v>707</v>
      </c>
      <c r="V149" s="276">
        <v>42149</v>
      </c>
      <c r="W149" s="276" t="s">
        <v>2</v>
      </c>
      <c r="X149" s="276" t="s">
        <v>2</v>
      </c>
      <c r="Y149" s="274" t="s">
        <v>1438</v>
      </c>
      <c r="Z149" s="274" t="s">
        <v>2</v>
      </c>
      <c r="AA149" s="274" t="s">
        <v>2</v>
      </c>
      <c r="AB149" s="276" t="s">
        <v>2</v>
      </c>
      <c r="AC149" s="274" t="s">
        <v>2</v>
      </c>
      <c r="AD149" s="274" t="s">
        <v>2172</v>
      </c>
      <c r="AE149" s="276"/>
      <c r="AF149" s="274" t="s">
        <v>2196</v>
      </c>
      <c r="AG149" s="274" t="s">
        <v>775</v>
      </c>
      <c r="AH149" s="274" t="s">
        <v>2197</v>
      </c>
      <c r="AI149" s="274" t="s">
        <v>89</v>
      </c>
      <c r="AJ149" s="281" t="s">
        <v>2</v>
      </c>
      <c r="AK149" s="281" t="s">
        <v>1908</v>
      </c>
      <c r="AL149" s="281" t="s">
        <v>1737</v>
      </c>
      <c r="AM149" s="281" t="s">
        <v>2</v>
      </c>
      <c r="AN149" s="281" t="s">
        <v>422</v>
      </c>
      <c r="AO149" s="281" t="s">
        <v>2077</v>
      </c>
      <c r="AP149" s="281" t="s">
        <v>2</v>
      </c>
      <c r="AQ149" s="302" t="s">
        <v>2</v>
      </c>
    </row>
    <row r="150" spans="1:43" ht="15" customHeight="1">
      <c r="A150" s="90"/>
      <c r="B150" s="84"/>
      <c r="C150" s="91"/>
      <c r="D150" s="301" t="s">
        <v>2</v>
      </c>
      <c r="E150" s="283" t="s">
        <v>2</v>
      </c>
      <c r="F150" s="273" t="s">
        <v>2</v>
      </c>
      <c r="G150" s="274" t="s">
        <v>1562</v>
      </c>
      <c r="H150" s="274" t="s">
        <v>422</v>
      </c>
      <c r="I150" s="274" t="s">
        <v>9</v>
      </c>
      <c r="J150" s="274" t="s">
        <v>398</v>
      </c>
      <c r="K150" s="275">
        <v>0.59722222222222221</v>
      </c>
      <c r="L150" s="275">
        <v>0.86111111111111116</v>
      </c>
      <c r="M150" s="275">
        <v>0.26388888888888895</v>
      </c>
      <c r="N150" s="275" t="s">
        <v>2</v>
      </c>
      <c r="O150" s="275" t="s">
        <v>2</v>
      </c>
      <c r="P150" s="275" t="s">
        <v>2</v>
      </c>
      <c r="Q150" s="276">
        <v>42131</v>
      </c>
      <c r="R150" s="284" t="s">
        <v>2</v>
      </c>
      <c r="S150" s="276">
        <v>42156</v>
      </c>
      <c r="T150" s="284" t="s">
        <v>2</v>
      </c>
      <c r="U150" s="274" t="s">
        <v>707</v>
      </c>
      <c r="V150" s="276">
        <v>42138</v>
      </c>
      <c r="W150" s="276" t="s">
        <v>2</v>
      </c>
      <c r="X150" s="276" t="s">
        <v>2</v>
      </c>
      <c r="Y150" s="274" t="s">
        <v>2200</v>
      </c>
      <c r="Z150" s="274" t="s">
        <v>2</v>
      </c>
      <c r="AA150" s="274" t="s">
        <v>2</v>
      </c>
      <c r="AB150" s="276" t="s">
        <v>2</v>
      </c>
      <c r="AC150" s="274" t="s">
        <v>2</v>
      </c>
      <c r="AD150" s="274" t="s">
        <v>2</v>
      </c>
      <c r="AE150" s="276"/>
      <c r="AF150" s="274" t="s">
        <v>2</v>
      </c>
      <c r="AG150" s="274" t="s">
        <v>775</v>
      </c>
      <c r="AH150" s="274" t="s">
        <v>2197</v>
      </c>
      <c r="AI150" s="274" t="s">
        <v>89</v>
      </c>
      <c r="AJ150" s="281" t="s">
        <v>2</v>
      </c>
      <c r="AK150" s="281" t="s">
        <v>2</v>
      </c>
      <c r="AL150" s="281" t="s">
        <v>2</v>
      </c>
      <c r="AM150" s="281" t="s">
        <v>2</v>
      </c>
      <c r="AN150" s="281" t="s">
        <v>422</v>
      </c>
      <c r="AO150" s="281" t="s">
        <v>2</v>
      </c>
      <c r="AP150" s="281" t="s">
        <v>2</v>
      </c>
      <c r="AQ150" s="302" t="s">
        <v>2</v>
      </c>
    </row>
    <row r="151" spans="1:43" ht="15" customHeight="1">
      <c r="A151" s="90"/>
      <c r="B151" s="84"/>
      <c r="C151" s="91"/>
      <c r="D151" s="301">
        <v>29931</v>
      </c>
      <c r="E151" s="283">
        <v>870155</v>
      </c>
      <c r="F151" s="273">
        <v>12245</v>
      </c>
      <c r="G151" s="274" t="s">
        <v>1563</v>
      </c>
      <c r="H151" s="274" t="s">
        <v>420</v>
      </c>
      <c r="I151" s="274" t="s">
        <v>9</v>
      </c>
      <c r="J151" s="274" t="s">
        <v>398</v>
      </c>
      <c r="K151" s="275">
        <v>0.65277777777777779</v>
      </c>
      <c r="L151" s="275">
        <v>0.91666666666666663</v>
      </c>
      <c r="M151" s="275">
        <v>0.26388888888888884</v>
      </c>
      <c r="N151" s="275">
        <v>0.70833333333333337</v>
      </c>
      <c r="O151" s="275">
        <v>0.80555555555555547</v>
      </c>
      <c r="P151" s="275">
        <v>0.86111111111111116</v>
      </c>
      <c r="Q151" s="276">
        <v>42010</v>
      </c>
      <c r="R151" s="284" t="s">
        <v>2</v>
      </c>
      <c r="S151" s="276">
        <v>42036</v>
      </c>
      <c r="T151" s="284" t="s">
        <v>2</v>
      </c>
      <c r="U151" s="274" t="s">
        <v>707</v>
      </c>
      <c r="V151" s="276" t="s">
        <v>2</v>
      </c>
      <c r="W151" s="276" t="s">
        <v>2</v>
      </c>
      <c r="X151" s="276" t="s">
        <v>2</v>
      </c>
      <c r="Y151" s="274" t="s">
        <v>2</v>
      </c>
      <c r="Z151" s="274" t="s">
        <v>2</v>
      </c>
      <c r="AA151" s="274" t="s">
        <v>2</v>
      </c>
      <c r="AB151" s="276" t="s">
        <v>2</v>
      </c>
      <c r="AC151" s="274" t="s">
        <v>2</v>
      </c>
      <c r="AD151" s="274">
        <v>1328020</v>
      </c>
      <c r="AE151" s="276"/>
      <c r="AF151" s="274" t="s">
        <v>2192</v>
      </c>
      <c r="AG151" s="274" t="s">
        <v>775</v>
      </c>
      <c r="AH151" s="274" t="s">
        <v>2197</v>
      </c>
      <c r="AI151" s="274" t="s">
        <v>89</v>
      </c>
      <c r="AJ151" s="281">
        <v>810244</v>
      </c>
      <c r="AK151" s="281" t="s">
        <v>1909</v>
      </c>
      <c r="AL151" s="281" t="s">
        <v>1738</v>
      </c>
      <c r="AM151" s="281" t="s">
        <v>2</v>
      </c>
      <c r="AN151" s="281" t="s">
        <v>422</v>
      </c>
      <c r="AO151" s="281" t="s">
        <v>2078</v>
      </c>
      <c r="AP151" s="281" t="s">
        <v>1249</v>
      </c>
      <c r="AQ151" s="302" t="s">
        <v>2</v>
      </c>
    </row>
    <row r="152" spans="1:43" ht="15" customHeight="1">
      <c r="A152" s="90"/>
      <c r="B152" s="84"/>
      <c r="C152" s="91"/>
      <c r="D152" s="301">
        <v>30188</v>
      </c>
      <c r="E152" s="283">
        <v>873194</v>
      </c>
      <c r="F152" s="273">
        <v>17125</v>
      </c>
      <c r="G152" s="274" t="s">
        <v>1564</v>
      </c>
      <c r="H152" s="274" t="s">
        <v>417</v>
      </c>
      <c r="I152" s="274" t="s">
        <v>9</v>
      </c>
      <c r="J152" s="274" t="s">
        <v>403</v>
      </c>
      <c r="K152" s="275">
        <v>0.59722222222222221</v>
      </c>
      <c r="L152" s="275">
        <v>0.86111111111111116</v>
      </c>
      <c r="M152" s="275">
        <v>0.26388888888888895</v>
      </c>
      <c r="N152" s="275">
        <v>0.64583333333333337</v>
      </c>
      <c r="O152" s="275">
        <v>0.70833333333333337</v>
      </c>
      <c r="P152" s="275">
        <v>0.76388888888888884</v>
      </c>
      <c r="Q152" s="276">
        <v>42044</v>
      </c>
      <c r="R152" s="284" t="s">
        <v>2</v>
      </c>
      <c r="S152" s="276">
        <v>42068</v>
      </c>
      <c r="T152" s="284" t="s">
        <v>2</v>
      </c>
      <c r="U152" s="274" t="s">
        <v>707</v>
      </c>
      <c r="V152" s="276">
        <v>42152</v>
      </c>
      <c r="W152" s="276">
        <v>42152</v>
      </c>
      <c r="X152" s="276" t="s">
        <v>2</v>
      </c>
      <c r="Y152" s="274" t="s">
        <v>1438</v>
      </c>
      <c r="Z152" s="274" t="s">
        <v>2</v>
      </c>
      <c r="AA152" s="274" t="s">
        <v>2</v>
      </c>
      <c r="AB152" s="276" t="s">
        <v>2</v>
      </c>
      <c r="AC152" s="274" t="s">
        <v>2</v>
      </c>
      <c r="AD152" s="274" t="s">
        <v>2173</v>
      </c>
      <c r="AE152" s="276"/>
      <c r="AF152" s="274" t="s">
        <v>2192</v>
      </c>
      <c r="AG152" s="274" t="s">
        <v>775</v>
      </c>
      <c r="AH152" s="274" t="s">
        <v>2197</v>
      </c>
      <c r="AI152" s="274" t="s">
        <v>89</v>
      </c>
      <c r="AJ152" s="281">
        <v>810253</v>
      </c>
      <c r="AK152" s="281" t="s">
        <v>1910</v>
      </c>
      <c r="AL152" s="281" t="s">
        <v>1739</v>
      </c>
      <c r="AM152" s="281" t="s">
        <v>2</v>
      </c>
      <c r="AN152" s="281" t="s">
        <v>422</v>
      </c>
      <c r="AO152" s="281" t="s">
        <v>2079</v>
      </c>
      <c r="AP152" s="281" t="s">
        <v>2</v>
      </c>
      <c r="AQ152" s="302" t="s">
        <v>2</v>
      </c>
    </row>
    <row r="153" spans="1:43" ht="15" customHeight="1">
      <c r="A153" s="90"/>
      <c r="B153" s="84"/>
      <c r="C153" s="91"/>
      <c r="D153" s="301">
        <v>30474</v>
      </c>
      <c r="E153" s="283">
        <v>876687</v>
      </c>
      <c r="F153" s="273">
        <v>12376</v>
      </c>
      <c r="G153" s="274" t="s">
        <v>1565</v>
      </c>
      <c r="H153" s="274" t="s">
        <v>411</v>
      </c>
      <c r="I153" s="274" t="s">
        <v>9</v>
      </c>
      <c r="J153" s="274" t="s">
        <v>402</v>
      </c>
      <c r="K153" s="275">
        <v>0.56944444444444442</v>
      </c>
      <c r="L153" s="275">
        <v>0.83333333333333326</v>
      </c>
      <c r="M153" s="275">
        <v>0.26388888888888884</v>
      </c>
      <c r="N153" s="275">
        <v>0.65277777777777779</v>
      </c>
      <c r="O153" s="275">
        <v>0.75</v>
      </c>
      <c r="P153" s="275">
        <v>0.81944444444444453</v>
      </c>
      <c r="Q153" s="276">
        <v>42079</v>
      </c>
      <c r="R153" s="284" t="s">
        <v>2</v>
      </c>
      <c r="S153" s="276">
        <v>42100</v>
      </c>
      <c r="T153" s="284" t="s">
        <v>2</v>
      </c>
      <c r="U153" s="274" t="s">
        <v>707</v>
      </c>
      <c r="V153" s="276">
        <v>42149</v>
      </c>
      <c r="W153" s="276">
        <v>42149</v>
      </c>
      <c r="X153" s="276" t="s">
        <v>2</v>
      </c>
      <c r="Y153" s="274" t="s">
        <v>1438</v>
      </c>
      <c r="Z153" s="274" t="s">
        <v>2</v>
      </c>
      <c r="AA153" s="274" t="s">
        <v>2</v>
      </c>
      <c r="AB153" s="276" t="s">
        <v>2</v>
      </c>
      <c r="AC153" s="274" t="s">
        <v>2</v>
      </c>
      <c r="AD153" s="274" t="s">
        <v>2174</v>
      </c>
      <c r="AE153" s="276"/>
      <c r="AF153" s="274" t="s">
        <v>2188</v>
      </c>
      <c r="AG153" s="274" t="s">
        <v>775</v>
      </c>
      <c r="AH153" s="274" t="s">
        <v>2197</v>
      </c>
      <c r="AI153" s="274" t="s">
        <v>89</v>
      </c>
      <c r="AJ153" s="281" t="s">
        <v>2</v>
      </c>
      <c r="AK153" s="281" t="s">
        <v>1911</v>
      </c>
      <c r="AL153" s="281" t="s">
        <v>1740</v>
      </c>
      <c r="AM153" s="281" t="s">
        <v>2</v>
      </c>
      <c r="AN153" s="281" t="s">
        <v>2</v>
      </c>
      <c r="AO153" s="281" t="s">
        <v>2080</v>
      </c>
      <c r="AP153" s="281" t="s">
        <v>2</v>
      </c>
      <c r="AQ153" s="302" t="s">
        <v>2</v>
      </c>
    </row>
    <row r="154" spans="1:43" ht="15" customHeight="1">
      <c r="A154" s="90"/>
      <c r="B154" s="84"/>
      <c r="C154" s="91"/>
      <c r="D154" s="301">
        <v>30454</v>
      </c>
      <c r="E154" s="283">
        <v>876659</v>
      </c>
      <c r="F154" s="273">
        <v>17133</v>
      </c>
      <c r="G154" s="274" t="s">
        <v>1566</v>
      </c>
      <c r="H154" s="274" t="s">
        <v>414</v>
      </c>
      <c r="I154" s="274" t="s">
        <v>9</v>
      </c>
      <c r="J154" s="274" t="s">
        <v>403</v>
      </c>
      <c r="K154" s="275">
        <v>0.33333333333333331</v>
      </c>
      <c r="L154" s="275">
        <v>0.59722222222222221</v>
      </c>
      <c r="M154" s="275">
        <v>0.2638888888888889</v>
      </c>
      <c r="N154" s="275">
        <v>0.39583333333333331</v>
      </c>
      <c r="O154" s="275">
        <v>0.49305555555555558</v>
      </c>
      <c r="P154" s="275">
        <v>0.54861111111111105</v>
      </c>
      <c r="Q154" s="276">
        <v>42079</v>
      </c>
      <c r="R154" s="284" t="s">
        <v>2</v>
      </c>
      <c r="S154" s="276">
        <v>42103</v>
      </c>
      <c r="T154" s="284" t="s">
        <v>2</v>
      </c>
      <c r="U154" s="274" t="s">
        <v>707</v>
      </c>
      <c r="V154" s="276">
        <v>42149</v>
      </c>
      <c r="W154" s="276">
        <v>42149</v>
      </c>
      <c r="X154" s="276" t="s">
        <v>2</v>
      </c>
      <c r="Y154" s="274" t="s">
        <v>1438</v>
      </c>
      <c r="Z154" s="274" t="s">
        <v>2</v>
      </c>
      <c r="AA154" s="274" t="s">
        <v>2</v>
      </c>
      <c r="AB154" s="276" t="s">
        <v>2</v>
      </c>
      <c r="AC154" s="274" t="s">
        <v>2</v>
      </c>
      <c r="AD154" s="274" t="s">
        <v>2175</v>
      </c>
      <c r="AE154" s="276"/>
      <c r="AF154" s="274" t="s">
        <v>2190</v>
      </c>
      <c r="AG154" s="274" t="s">
        <v>775</v>
      </c>
      <c r="AH154" s="274" t="s">
        <v>2197</v>
      </c>
      <c r="AI154" s="274" t="s">
        <v>89</v>
      </c>
      <c r="AJ154" s="281" t="s">
        <v>2</v>
      </c>
      <c r="AK154" s="281" t="s">
        <v>1912</v>
      </c>
      <c r="AL154" s="281" t="s">
        <v>1741</v>
      </c>
      <c r="AM154" s="281" t="s">
        <v>2</v>
      </c>
      <c r="AN154" s="281" t="s">
        <v>422</v>
      </c>
      <c r="AO154" s="281" t="s">
        <v>2081</v>
      </c>
      <c r="AP154" s="281" t="s">
        <v>2</v>
      </c>
      <c r="AQ154" s="302" t="s">
        <v>2</v>
      </c>
    </row>
    <row r="155" spans="1:43" ht="15" customHeight="1">
      <c r="A155" s="90"/>
      <c r="B155" s="84"/>
      <c r="C155" s="91"/>
      <c r="D155" s="301">
        <v>30614</v>
      </c>
      <c r="E155" s="283">
        <v>879257</v>
      </c>
      <c r="F155" s="273">
        <v>17103</v>
      </c>
      <c r="G155" s="274" t="s">
        <v>1567</v>
      </c>
      <c r="H155" s="274" t="s">
        <v>418</v>
      </c>
      <c r="I155" s="274" t="s">
        <v>9</v>
      </c>
      <c r="J155" s="274" t="s">
        <v>403</v>
      </c>
      <c r="K155" s="275">
        <v>0.4375</v>
      </c>
      <c r="L155" s="275">
        <v>0.70138888888888884</v>
      </c>
      <c r="M155" s="275">
        <v>0.26388888888888884</v>
      </c>
      <c r="N155" s="275">
        <v>0.49305555555555558</v>
      </c>
      <c r="O155" s="275">
        <v>0.54166666666666663</v>
      </c>
      <c r="P155" s="275">
        <v>0.64583333333333337</v>
      </c>
      <c r="Q155" s="276">
        <v>42107</v>
      </c>
      <c r="R155" s="284" t="s">
        <v>2</v>
      </c>
      <c r="S155" s="276">
        <v>42128</v>
      </c>
      <c r="T155" s="284" t="s">
        <v>2</v>
      </c>
      <c r="U155" s="274" t="s">
        <v>708</v>
      </c>
      <c r="V155" s="276">
        <v>42149</v>
      </c>
      <c r="W155" s="276">
        <v>42149</v>
      </c>
      <c r="X155" s="276" t="s">
        <v>2</v>
      </c>
      <c r="Y155" s="274" t="s">
        <v>1438</v>
      </c>
      <c r="Z155" s="274" t="s">
        <v>2</v>
      </c>
      <c r="AA155" s="274" t="s">
        <v>2</v>
      </c>
      <c r="AB155" s="276" t="s">
        <v>2</v>
      </c>
      <c r="AC155" s="274" t="s">
        <v>2</v>
      </c>
      <c r="AD155" s="274">
        <v>5894360</v>
      </c>
      <c r="AE155" s="276"/>
      <c r="AF155" s="274" t="s">
        <v>2191</v>
      </c>
      <c r="AG155" s="274" t="s">
        <v>775</v>
      </c>
      <c r="AH155" s="274" t="s">
        <v>2197</v>
      </c>
      <c r="AI155" s="274" t="s">
        <v>89</v>
      </c>
      <c r="AJ155" s="281" t="s">
        <v>2</v>
      </c>
      <c r="AK155" s="281" t="s">
        <v>1913</v>
      </c>
      <c r="AL155" s="281" t="s">
        <v>1742</v>
      </c>
      <c r="AM155" s="281" t="s">
        <v>2</v>
      </c>
      <c r="AN155" s="281" t="s">
        <v>422</v>
      </c>
      <c r="AO155" s="281" t="s">
        <v>2082</v>
      </c>
      <c r="AP155" s="281" t="s">
        <v>2</v>
      </c>
      <c r="AQ155" s="302" t="s">
        <v>2</v>
      </c>
    </row>
    <row r="156" spans="1:43" ht="15" customHeight="1">
      <c r="A156" s="90"/>
      <c r="B156" s="84"/>
      <c r="C156" s="91"/>
      <c r="D156" s="301">
        <v>25601</v>
      </c>
      <c r="E156" s="283">
        <v>807814</v>
      </c>
      <c r="F156" s="273">
        <v>12447</v>
      </c>
      <c r="G156" s="274" t="s">
        <v>1568</v>
      </c>
      <c r="H156" s="274" t="s">
        <v>416</v>
      </c>
      <c r="I156" s="274" t="s">
        <v>16</v>
      </c>
      <c r="J156" s="274" t="s">
        <v>396</v>
      </c>
      <c r="K156" s="275">
        <v>0.39583333333333331</v>
      </c>
      <c r="L156" s="275">
        <v>0.73750000000000004</v>
      </c>
      <c r="M156" s="275">
        <v>0.34166666666666673</v>
      </c>
      <c r="N156" s="275" t="s">
        <v>2</v>
      </c>
      <c r="O156" s="275" t="s">
        <v>2</v>
      </c>
      <c r="P156" s="275" t="s">
        <v>2</v>
      </c>
      <c r="Q156" s="276">
        <v>41429</v>
      </c>
      <c r="R156" s="284" t="s">
        <v>2</v>
      </c>
      <c r="S156" s="276">
        <v>41452</v>
      </c>
      <c r="T156" s="284" t="s">
        <v>2</v>
      </c>
      <c r="U156" s="274" t="s">
        <v>707</v>
      </c>
      <c r="V156" s="276">
        <v>42170</v>
      </c>
      <c r="W156" s="276">
        <v>42170</v>
      </c>
      <c r="X156" s="276" t="s">
        <v>2</v>
      </c>
      <c r="Y156" s="274" t="s">
        <v>2</v>
      </c>
      <c r="Z156" s="274" t="s">
        <v>2202</v>
      </c>
      <c r="AA156" s="274" t="s">
        <v>396</v>
      </c>
      <c r="AB156" s="276" t="s">
        <v>2214</v>
      </c>
      <c r="AC156" s="274">
        <v>42170</v>
      </c>
      <c r="AD156" s="274">
        <v>8295030</v>
      </c>
      <c r="AE156" s="276"/>
      <c r="AF156" s="274" t="s">
        <v>2194</v>
      </c>
      <c r="AG156" s="274" t="s">
        <v>775</v>
      </c>
      <c r="AH156" s="274" t="s">
        <v>2197</v>
      </c>
      <c r="AI156" s="274" t="s">
        <v>89</v>
      </c>
      <c r="AJ156" s="281" t="s">
        <v>2</v>
      </c>
      <c r="AK156" s="281" t="s">
        <v>1914</v>
      </c>
      <c r="AL156" s="281" t="s">
        <v>1743</v>
      </c>
      <c r="AM156" s="281" t="s">
        <v>2</v>
      </c>
      <c r="AN156" s="281" t="s">
        <v>422</v>
      </c>
      <c r="AO156" s="281" t="s">
        <v>2083</v>
      </c>
      <c r="AP156" s="281" t="s">
        <v>1249</v>
      </c>
      <c r="AQ156" s="302" t="s">
        <v>2</v>
      </c>
    </row>
    <row r="157" spans="1:43" ht="15" customHeight="1">
      <c r="A157" s="90"/>
      <c r="B157" s="84"/>
      <c r="C157" s="91"/>
      <c r="D157" s="301">
        <v>29912</v>
      </c>
      <c r="E157" s="283">
        <v>869816</v>
      </c>
      <c r="F157" s="273">
        <v>17091</v>
      </c>
      <c r="G157" s="274" t="s">
        <v>1569</v>
      </c>
      <c r="H157" s="274" t="s">
        <v>415</v>
      </c>
      <c r="I157" s="274" t="s">
        <v>9</v>
      </c>
      <c r="J157" s="274" t="s">
        <v>398</v>
      </c>
      <c r="K157" s="275">
        <v>0.35416666666666669</v>
      </c>
      <c r="L157" s="275">
        <v>0.6958333333333333</v>
      </c>
      <c r="M157" s="275">
        <v>0.34166666666666662</v>
      </c>
      <c r="N157" s="275">
        <v>0.41666666666666669</v>
      </c>
      <c r="O157" s="275">
        <v>0.54166666666666663</v>
      </c>
      <c r="P157" s="275">
        <v>0.63194444444444442</v>
      </c>
      <c r="Q157" s="276">
        <v>42010</v>
      </c>
      <c r="R157" s="284" t="s">
        <v>2</v>
      </c>
      <c r="S157" s="276">
        <v>42036</v>
      </c>
      <c r="T157" s="284" t="s">
        <v>2</v>
      </c>
      <c r="U157" s="274" t="s">
        <v>707</v>
      </c>
      <c r="V157" s="276">
        <v>42180</v>
      </c>
      <c r="W157" s="276">
        <v>42179</v>
      </c>
      <c r="X157" s="276" t="s">
        <v>2</v>
      </c>
      <c r="Y157" s="274" t="s">
        <v>1438</v>
      </c>
      <c r="Z157" s="274" t="s">
        <v>2</v>
      </c>
      <c r="AA157" s="274" t="s">
        <v>2</v>
      </c>
      <c r="AB157" s="276" t="s">
        <v>2</v>
      </c>
      <c r="AC157" s="274" t="s">
        <v>2</v>
      </c>
      <c r="AD157" s="274">
        <v>1107000</v>
      </c>
      <c r="AE157" s="276"/>
      <c r="AF157" s="274" t="s">
        <v>2192</v>
      </c>
      <c r="AG157" s="274" t="s">
        <v>775</v>
      </c>
      <c r="AH157" s="274" t="s">
        <v>2197</v>
      </c>
      <c r="AI157" s="274" t="s">
        <v>89</v>
      </c>
      <c r="AJ157" s="281">
        <v>810227</v>
      </c>
      <c r="AK157" s="281" t="s">
        <v>1915</v>
      </c>
      <c r="AL157" s="281" t="s">
        <v>1744</v>
      </c>
      <c r="AM157" s="281" t="s">
        <v>2</v>
      </c>
      <c r="AN157" s="281" t="s">
        <v>422</v>
      </c>
      <c r="AO157" s="281" t="s">
        <v>2084</v>
      </c>
      <c r="AP157" s="281" t="s">
        <v>2</v>
      </c>
      <c r="AQ157" s="302" t="s">
        <v>2</v>
      </c>
    </row>
    <row r="158" spans="1:43" ht="15" customHeight="1">
      <c r="A158" s="90"/>
      <c r="B158" s="84"/>
      <c r="C158" s="91"/>
      <c r="D158" s="301">
        <v>30166</v>
      </c>
      <c r="E158" s="283">
        <v>873171</v>
      </c>
      <c r="F158" s="273">
        <v>17015</v>
      </c>
      <c r="G158" s="274" t="s">
        <v>1570</v>
      </c>
      <c r="H158" s="274" t="s">
        <v>415</v>
      </c>
      <c r="I158" s="274" t="s">
        <v>9</v>
      </c>
      <c r="J158" s="274" t="s">
        <v>398</v>
      </c>
      <c r="K158" s="275">
        <v>0.375</v>
      </c>
      <c r="L158" s="275">
        <v>0.63888888888888895</v>
      </c>
      <c r="M158" s="275">
        <v>0.26388888888888895</v>
      </c>
      <c r="N158" s="275">
        <v>0.4236111111111111</v>
      </c>
      <c r="O158" s="275">
        <v>0.5</v>
      </c>
      <c r="P158" s="275">
        <v>0.57638888888888895</v>
      </c>
      <c r="Q158" s="276">
        <v>42044</v>
      </c>
      <c r="R158" s="284" t="s">
        <v>2</v>
      </c>
      <c r="S158" s="276">
        <v>42068</v>
      </c>
      <c r="T158" s="284" t="s">
        <v>2</v>
      </c>
      <c r="U158" s="274" t="s">
        <v>707</v>
      </c>
      <c r="V158" s="276">
        <v>42156</v>
      </c>
      <c r="W158" s="276">
        <v>42156</v>
      </c>
      <c r="X158" s="276" t="s">
        <v>2</v>
      </c>
      <c r="Y158" s="274" t="s">
        <v>2</v>
      </c>
      <c r="Z158" s="274" t="s">
        <v>2</v>
      </c>
      <c r="AA158" s="274" t="s">
        <v>2</v>
      </c>
      <c r="AB158" s="276" t="s">
        <v>2</v>
      </c>
      <c r="AC158" s="274" t="s">
        <v>2</v>
      </c>
      <c r="AD158" s="274" t="s">
        <v>2176</v>
      </c>
      <c r="AE158" s="276"/>
      <c r="AF158" s="274" t="s">
        <v>2189</v>
      </c>
      <c r="AG158" s="274" t="s">
        <v>775</v>
      </c>
      <c r="AH158" s="274" t="s">
        <v>2197</v>
      </c>
      <c r="AI158" s="274" t="s">
        <v>89</v>
      </c>
      <c r="AJ158" s="281">
        <v>0</v>
      </c>
      <c r="AK158" s="281" t="s">
        <v>1916</v>
      </c>
      <c r="AL158" s="281" t="s">
        <v>1745</v>
      </c>
      <c r="AM158" s="281" t="s">
        <v>2</v>
      </c>
      <c r="AN158" s="281" t="s">
        <v>422</v>
      </c>
      <c r="AO158" s="281" t="s">
        <v>2085</v>
      </c>
      <c r="AP158" s="281" t="s">
        <v>2</v>
      </c>
      <c r="AQ158" s="302" t="s">
        <v>2</v>
      </c>
    </row>
    <row r="159" spans="1:43" ht="15" customHeight="1">
      <c r="A159" s="90"/>
      <c r="B159" s="84"/>
      <c r="C159" s="91"/>
      <c r="D159" s="301">
        <v>23002</v>
      </c>
      <c r="E159" s="283">
        <v>779194</v>
      </c>
      <c r="F159" s="273">
        <v>12026</v>
      </c>
      <c r="G159" s="274" t="s">
        <v>1571</v>
      </c>
      <c r="H159" s="274" t="s">
        <v>422</v>
      </c>
      <c r="I159" s="274" t="s">
        <v>9</v>
      </c>
      <c r="J159" s="274" t="s">
        <v>398</v>
      </c>
      <c r="K159" s="275">
        <v>0.4916666666666667</v>
      </c>
      <c r="L159" s="275">
        <v>0.83333333333333337</v>
      </c>
      <c r="M159" s="275">
        <v>0.34166666666666667</v>
      </c>
      <c r="N159" s="275">
        <v>0.53472222222222221</v>
      </c>
      <c r="O159" s="275">
        <v>0.61111111111111105</v>
      </c>
      <c r="P159" s="275">
        <v>0.71527777777777779</v>
      </c>
      <c r="Q159" s="276">
        <v>41155</v>
      </c>
      <c r="R159" s="284" t="s">
        <v>2</v>
      </c>
      <c r="S159" s="276">
        <v>41178</v>
      </c>
      <c r="T159" s="284" t="s">
        <v>2</v>
      </c>
      <c r="U159" s="274" t="s">
        <v>707</v>
      </c>
      <c r="V159" s="276">
        <v>42163</v>
      </c>
      <c r="W159" s="276">
        <v>42163</v>
      </c>
      <c r="X159" s="276" t="s">
        <v>2</v>
      </c>
      <c r="Y159" s="274" t="s">
        <v>2198</v>
      </c>
      <c r="Z159" s="274" t="s">
        <v>2</v>
      </c>
      <c r="AA159" s="274" t="s">
        <v>2</v>
      </c>
      <c r="AB159" s="276" t="s">
        <v>2</v>
      </c>
      <c r="AC159" s="274" t="s">
        <v>2</v>
      </c>
      <c r="AD159" s="274">
        <v>2866200</v>
      </c>
      <c r="AE159" s="276"/>
      <c r="AF159" s="274" t="s">
        <v>2189</v>
      </c>
      <c r="AG159" s="274" t="s">
        <v>775</v>
      </c>
      <c r="AH159" s="274" t="s">
        <v>2197</v>
      </c>
      <c r="AI159" s="274" t="s">
        <v>89</v>
      </c>
      <c r="AJ159" s="281">
        <v>810132</v>
      </c>
      <c r="AK159" s="281" t="s">
        <v>1917</v>
      </c>
      <c r="AL159" s="281" t="s">
        <v>1746</v>
      </c>
      <c r="AM159" s="281" t="s">
        <v>2</v>
      </c>
      <c r="AN159" s="281" t="s">
        <v>422</v>
      </c>
      <c r="AO159" s="281" t="s">
        <v>2086</v>
      </c>
      <c r="AP159" s="281" t="s">
        <v>2</v>
      </c>
      <c r="AQ159" s="302" t="s">
        <v>1249</v>
      </c>
    </row>
    <row r="160" spans="1:43" ht="15" customHeight="1">
      <c r="A160" s="90"/>
      <c r="B160" s="84"/>
      <c r="C160" s="91"/>
      <c r="D160" s="301">
        <v>30449</v>
      </c>
      <c r="E160" s="283">
        <v>876654</v>
      </c>
      <c r="F160" s="273">
        <v>17062</v>
      </c>
      <c r="G160" s="274" t="s">
        <v>1572</v>
      </c>
      <c r="H160" s="274" t="s">
        <v>416</v>
      </c>
      <c r="I160" s="274" t="s">
        <v>9</v>
      </c>
      <c r="J160" s="274" t="s">
        <v>398</v>
      </c>
      <c r="K160" s="275">
        <v>0.33333333333333331</v>
      </c>
      <c r="L160" s="275">
        <v>0.59722222222222221</v>
      </c>
      <c r="M160" s="275">
        <v>0.2638888888888889</v>
      </c>
      <c r="N160" s="275">
        <v>0.3888888888888889</v>
      </c>
      <c r="O160" s="275">
        <v>0.47916666666666669</v>
      </c>
      <c r="P160" s="275">
        <v>0.55555555555555558</v>
      </c>
      <c r="Q160" s="276">
        <v>42079</v>
      </c>
      <c r="R160" s="284" t="s">
        <v>2</v>
      </c>
      <c r="S160" s="276">
        <v>42100</v>
      </c>
      <c r="T160" s="284" t="s">
        <v>2</v>
      </c>
      <c r="U160" s="274" t="s">
        <v>707</v>
      </c>
      <c r="V160" s="276">
        <v>42167</v>
      </c>
      <c r="W160" s="276">
        <v>42167</v>
      </c>
      <c r="X160" s="276" t="s">
        <v>2</v>
      </c>
      <c r="Y160" s="274" t="s">
        <v>2199</v>
      </c>
      <c r="Z160" s="274" t="s">
        <v>2</v>
      </c>
      <c r="AA160" s="274" t="s">
        <v>2</v>
      </c>
      <c r="AB160" s="276" t="s">
        <v>2</v>
      </c>
      <c r="AC160" s="274" t="s">
        <v>2</v>
      </c>
      <c r="AD160" s="274" t="s">
        <v>2177</v>
      </c>
      <c r="AE160" s="276"/>
      <c r="AF160" s="274" t="s">
        <v>2190</v>
      </c>
      <c r="AG160" s="274" t="s">
        <v>775</v>
      </c>
      <c r="AH160" s="274" t="s">
        <v>2197</v>
      </c>
      <c r="AI160" s="274" t="s">
        <v>89</v>
      </c>
      <c r="AJ160" s="281">
        <v>810294</v>
      </c>
      <c r="AK160" s="281" t="s">
        <v>1918</v>
      </c>
      <c r="AL160" s="281" t="s">
        <v>1747</v>
      </c>
      <c r="AM160" s="281" t="s">
        <v>2</v>
      </c>
      <c r="AN160" s="281" t="s">
        <v>422</v>
      </c>
      <c r="AO160" s="281" t="s">
        <v>2087</v>
      </c>
      <c r="AP160" s="281" t="s">
        <v>2</v>
      </c>
      <c r="AQ160" s="302" t="s">
        <v>2</v>
      </c>
    </row>
    <row r="161" spans="1:43" ht="15" customHeight="1">
      <c r="A161" s="90"/>
      <c r="B161" s="84"/>
      <c r="C161" s="91"/>
      <c r="D161" s="301">
        <v>28111</v>
      </c>
      <c r="E161" s="283">
        <v>836314</v>
      </c>
      <c r="F161" s="273">
        <v>12060</v>
      </c>
      <c r="G161" s="274" t="s">
        <v>1573</v>
      </c>
      <c r="H161" s="274" t="s">
        <v>416</v>
      </c>
      <c r="I161" s="274" t="s">
        <v>9</v>
      </c>
      <c r="J161" s="274" t="s">
        <v>398</v>
      </c>
      <c r="K161" s="275">
        <v>0.41666666666666669</v>
      </c>
      <c r="L161" s="275">
        <v>0.7583333333333333</v>
      </c>
      <c r="M161" s="275">
        <v>0.34166666666666662</v>
      </c>
      <c r="N161" s="275">
        <v>0.51388888888888895</v>
      </c>
      <c r="O161" s="275">
        <v>0.57638888888888895</v>
      </c>
      <c r="P161" s="275">
        <v>0.69444444444444453</v>
      </c>
      <c r="Q161" s="276">
        <v>41731</v>
      </c>
      <c r="R161" s="284" t="s">
        <v>2</v>
      </c>
      <c r="S161" s="276">
        <v>41760</v>
      </c>
      <c r="T161" s="284" t="s">
        <v>2</v>
      </c>
      <c r="U161" s="274" t="s">
        <v>707</v>
      </c>
      <c r="V161" s="276">
        <v>42164</v>
      </c>
      <c r="W161" s="276">
        <v>42164</v>
      </c>
      <c r="X161" s="276" t="s">
        <v>2</v>
      </c>
      <c r="Y161" s="274" t="s">
        <v>1438</v>
      </c>
      <c r="Z161" s="274" t="s">
        <v>2</v>
      </c>
      <c r="AA161" s="274" t="s">
        <v>2</v>
      </c>
      <c r="AB161" s="276" t="s">
        <v>2</v>
      </c>
      <c r="AC161" s="274" t="s">
        <v>2</v>
      </c>
      <c r="AD161" s="274" t="s">
        <v>2</v>
      </c>
      <c r="AE161" s="276"/>
      <c r="AF161" s="274" t="s">
        <v>2</v>
      </c>
      <c r="AG161" s="274" t="s">
        <v>775</v>
      </c>
      <c r="AH161" s="274" t="s">
        <v>2197</v>
      </c>
      <c r="AI161" s="274" t="s">
        <v>89</v>
      </c>
      <c r="AJ161" s="281">
        <v>810181</v>
      </c>
      <c r="AK161" s="281" t="s">
        <v>1919</v>
      </c>
      <c r="AL161" s="281" t="s">
        <v>1748</v>
      </c>
      <c r="AM161" s="281" t="s">
        <v>2</v>
      </c>
      <c r="AN161" s="281" t="s">
        <v>422</v>
      </c>
      <c r="AO161" s="281" t="s">
        <v>2088</v>
      </c>
      <c r="AP161" s="281" t="s">
        <v>2</v>
      </c>
      <c r="AQ161" s="302" t="s">
        <v>2</v>
      </c>
    </row>
    <row r="162" spans="1:43" ht="15" customHeight="1">
      <c r="A162" s="90"/>
      <c r="B162" s="84"/>
      <c r="C162" s="91"/>
      <c r="D162" s="301">
        <v>30693</v>
      </c>
      <c r="E162" s="283">
        <v>882223</v>
      </c>
      <c r="F162" s="273">
        <v>17145</v>
      </c>
      <c r="G162" s="274" t="s">
        <v>1574</v>
      </c>
      <c r="H162" s="274" t="s">
        <v>419</v>
      </c>
      <c r="I162" s="274" t="s">
        <v>9</v>
      </c>
      <c r="J162" s="274" t="s">
        <v>398</v>
      </c>
      <c r="K162" s="275">
        <v>0.65277777777777779</v>
      </c>
      <c r="L162" s="275">
        <v>0.91666666666666663</v>
      </c>
      <c r="M162" s="275">
        <v>0.2638888888888889</v>
      </c>
      <c r="N162" s="275">
        <v>0.70833333333333337</v>
      </c>
      <c r="O162" s="275">
        <v>0.77083333333333337</v>
      </c>
      <c r="P162" s="275">
        <v>0.86111111111111116</v>
      </c>
      <c r="Q162" s="276">
        <v>42131</v>
      </c>
      <c r="R162" s="284" t="s">
        <v>2</v>
      </c>
      <c r="S162" s="276">
        <v>42156</v>
      </c>
      <c r="T162" s="284" t="s">
        <v>2</v>
      </c>
      <c r="U162" s="274" t="s">
        <v>707</v>
      </c>
      <c r="V162" s="276">
        <v>42163</v>
      </c>
      <c r="W162" s="276">
        <v>42163</v>
      </c>
      <c r="X162" s="276" t="s">
        <v>2</v>
      </c>
      <c r="Y162" s="274" t="s">
        <v>1438</v>
      </c>
      <c r="Z162" s="274" t="s">
        <v>2</v>
      </c>
      <c r="AA162" s="274" t="s">
        <v>2</v>
      </c>
      <c r="AB162" s="276" t="s">
        <v>2</v>
      </c>
      <c r="AC162" s="274" t="s">
        <v>2</v>
      </c>
      <c r="AD162" s="274" t="s">
        <v>2</v>
      </c>
      <c r="AE162" s="276"/>
      <c r="AF162" s="274" t="s">
        <v>2</v>
      </c>
      <c r="AG162" s="274" t="s">
        <v>775</v>
      </c>
      <c r="AH162" s="274" t="s">
        <v>2197</v>
      </c>
      <c r="AI162" s="274" t="s">
        <v>89</v>
      </c>
      <c r="AJ162" s="281">
        <v>810338</v>
      </c>
      <c r="AK162" s="281" t="s">
        <v>1920</v>
      </c>
      <c r="AL162" s="281" t="s">
        <v>1749</v>
      </c>
      <c r="AM162" s="281" t="s">
        <v>2</v>
      </c>
      <c r="AN162" s="281" t="s">
        <v>422</v>
      </c>
      <c r="AO162" s="281" t="s">
        <v>2089</v>
      </c>
      <c r="AP162" s="281" t="s">
        <v>2</v>
      </c>
      <c r="AQ162" s="302" t="s">
        <v>2</v>
      </c>
    </row>
    <row r="163" spans="1:43" ht="15" customHeight="1">
      <c r="A163" s="90"/>
      <c r="B163" s="84"/>
      <c r="C163" s="91"/>
      <c r="D163" s="301">
        <v>29896</v>
      </c>
      <c r="E163" s="283">
        <v>868212</v>
      </c>
      <c r="F163" s="273">
        <v>12052</v>
      </c>
      <c r="G163" s="274" t="s">
        <v>1575</v>
      </c>
      <c r="H163" s="274" t="s">
        <v>420</v>
      </c>
      <c r="I163" s="274" t="s">
        <v>9</v>
      </c>
      <c r="J163" s="274" t="s">
        <v>398</v>
      </c>
      <c r="K163" s="275">
        <v>0.57500000000000007</v>
      </c>
      <c r="L163" s="275">
        <v>0.91666666666666663</v>
      </c>
      <c r="M163" s="275">
        <v>0.34166666666666656</v>
      </c>
      <c r="N163" s="275">
        <v>0.65972222222222221</v>
      </c>
      <c r="O163" s="275">
        <v>0.79166666666666663</v>
      </c>
      <c r="P163" s="275">
        <v>0.86805555555555547</v>
      </c>
      <c r="Q163" s="276">
        <v>41983</v>
      </c>
      <c r="R163" s="284" t="s">
        <v>2</v>
      </c>
      <c r="S163" s="276">
        <v>42009</v>
      </c>
      <c r="T163" s="284" t="s">
        <v>2</v>
      </c>
      <c r="U163" s="274" t="s">
        <v>707</v>
      </c>
      <c r="V163" s="276">
        <v>42177</v>
      </c>
      <c r="W163" s="276">
        <v>42177</v>
      </c>
      <c r="X163" s="276" t="s">
        <v>2</v>
      </c>
      <c r="Y163" s="274" t="s">
        <v>2</v>
      </c>
      <c r="Z163" s="274" t="s">
        <v>2</v>
      </c>
      <c r="AA163" s="274" t="s">
        <v>2</v>
      </c>
      <c r="AB163" s="276" t="s">
        <v>2</v>
      </c>
      <c r="AC163" s="274" t="s">
        <v>2</v>
      </c>
      <c r="AD163" s="274" t="s">
        <v>2178</v>
      </c>
      <c r="AE163" s="276"/>
      <c r="AF163" s="274" t="s">
        <v>2195</v>
      </c>
      <c r="AG163" s="274" t="s">
        <v>775</v>
      </c>
      <c r="AH163" s="274" t="s">
        <v>2197</v>
      </c>
      <c r="AI163" s="274" t="s">
        <v>89</v>
      </c>
      <c r="AJ163" s="281">
        <v>810233</v>
      </c>
      <c r="AK163" s="281" t="s">
        <v>1921</v>
      </c>
      <c r="AL163" s="281" t="s">
        <v>1750</v>
      </c>
      <c r="AM163" s="281" t="s">
        <v>2</v>
      </c>
      <c r="AN163" s="281" t="s">
        <v>422</v>
      </c>
      <c r="AO163" s="281" t="s">
        <v>2090</v>
      </c>
      <c r="AP163" s="281" t="s">
        <v>2</v>
      </c>
      <c r="AQ163" s="302" t="s">
        <v>2</v>
      </c>
    </row>
    <row r="164" spans="1:43" ht="15" customHeight="1">
      <c r="A164" s="90"/>
      <c r="B164" s="84"/>
      <c r="C164" s="91"/>
      <c r="D164" s="301">
        <v>30604</v>
      </c>
      <c r="E164" s="283">
        <v>879246</v>
      </c>
      <c r="F164" s="273">
        <v>17000</v>
      </c>
      <c r="G164" s="274" t="s">
        <v>1576</v>
      </c>
      <c r="H164" s="274" t="s">
        <v>421</v>
      </c>
      <c r="I164" s="274" t="s">
        <v>9</v>
      </c>
      <c r="J164" s="274" t="s">
        <v>398</v>
      </c>
      <c r="K164" s="275">
        <v>0.375</v>
      </c>
      <c r="L164" s="275">
        <v>0.63888888888888895</v>
      </c>
      <c r="M164" s="275">
        <v>0.26388888888888895</v>
      </c>
      <c r="N164" s="275">
        <v>0.4375</v>
      </c>
      <c r="O164" s="275">
        <v>0.5</v>
      </c>
      <c r="P164" s="275">
        <v>0.57638888888888895</v>
      </c>
      <c r="Q164" s="276">
        <v>42107</v>
      </c>
      <c r="R164" s="284" t="s">
        <v>2</v>
      </c>
      <c r="S164" s="276">
        <v>42128</v>
      </c>
      <c r="T164" s="284" t="s">
        <v>2</v>
      </c>
      <c r="U164" s="274" t="s">
        <v>708</v>
      </c>
      <c r="V164" s="276">
        <v>42167</v>
      </c>
      <c r="W164" s="276">
        <v>42167</v>
      </c>
      <c r="X164" s="276" t="s">
        <v>2</v>
      </c>
      <c r="Y164" s="274" t="s">
        <v>1438</v>
      </c>
      <c r="Z164" s="274" t="s">
        <v>2</v>
      </c>
      <c r="AA164" s="274" t="s">
        <v>2</v>
      </c>
      <c r="AB164" s="276" t="s">
        <v>2</v>
      </c>
      <c r="AC164" s="274" t="s">
        <v>2</v>
      </c>
      <c r="AD164" s="274">
        <v>1506000</v>
      </c>
      <c r="AE164" s="276"/>
      <c r="AF164" s="274" t="s">
        <v>2192</v>
      </c>
      <c r="AG164" s="274" t="s">
        <v>775</v>
      </c>
      <c r="AH164" s="274" t="s">
        <v>2197</v>
      </c>
      <c r="AI164" s="274" t="s">
        <v>89</v>
      </c>
      <c r="AJ164" s="281">
        <v>810320</v>
      </c>
      <c r="AK164" s="281" t="s">
        <v>1922</v>
      </c>
      <c r="AL164" s="281" t="s">
        <v>1751</v>
      </c>
      <c r="AM164" s="281" t="s">
        <v>2</v>
      </c>
      <c r="AN164" s="281" t="s">
        <v>422</v>
      </c>
      <c r="AO164" s="281" t="s">
        <v>2091</v>
      </c>
      <c r="AP164" s="281" t="s">
        <v>2</v>
      </c>
      <c r="AQ164" s="302" t="s">
        <v>2</v>
      </c>
    </row>
    <row r="165" spans="1:43" ht="15" customHeight="1">
      <c r="A165" s="90"/>
      <c r="B165" s="84"/>
      <c r="C165" s="91"/>
      <c r="D165" s="301">
        <v>29893</v>
      </c>
      <c r="E165" s="283">
        <v>868209</v>
      </c>
      <c r="F165" s="273">
        <v>17045</v>
      </c>
      <c r="G165" s="274" t="s">
        <v>1577</v>
      </c>
      <c r="H165" s="274" t="s">
        <v>421</v>
      </c>
      <c r="I165" s="274" t="s">
        <v>9</v>
      </c>
      <c r="J165" s="274" t="s">
        <v>398</v>
      </c>
      <c r="K165" s="275">
        <v>0.375</v>
      </c>
      <c r="L165" s="275">
        <v>0.71666666666666667</v>
      </c>
      <c r="M165" s="275">
        <v>0.34166666666666667</v>
      </c>
      <c r="N165" s="275">
        <v>0.49305555555555558</v>
      </c>
      <c r="O165" s="275">
        <v>0.5625</v>
      </c>
      <c r="P165" s="275">
        <v>0.66666666666666663</v>
      </c>
      <c r="Q165" s="276">
        <v>41983</v>
      </c>
      <c r="R165" s="284" t="s">
        <v>2</v>
      </c>
      <c r="S165" s="276">
        <v>42009</v>
      </c>
      <c r="T165" s="284" t="s">
        <v>2</v>
      </c>
      <c r="U165" s="274" t="s">
        <v>707</v>
      </c>
      <c r="V165" s="276">
        <v>42157</v>
      </c>
      <c r="W165" s="276" t="s">
        <v>2</v>
      </c>
      <c r="X165" s="276" t="s">
        <v>2</v>
      </c>
      <c r="Y165" s="274" t="s">
        <v>1438</v>
      </c>
      <c r="Z165" s="274" t="s">
        <v>2</v>
      </c>
      <c r="AA165" s="274" t="s">
        <v>2</v>
      </c>
      <c r="AB165" s="276" t="s">
        <v>2</v>
      </c>
      <c r="AC165" s="274" t="s">
        <v>2</v>
      </c>
      <c r="AD165" s="274" t="s">
        <v>2179</v>
      </c>
      <c r="AE165" s="276"/>
      <c r="AF165" s="274" t="s">
        <v>2190</v>
      </c>
      <c r="AG165" s="274" t="s">
        <v>775</v>
      </c>
      <c r="AH165" s="274" t="s">
        <v>2197</v>
      </c>
      <c r="AI165" s="274" t="s">
        <v>89</v>
      </c>
      <c r="AJ165" s="281">
        <v>0</v>
      </c>
      <c r="AK165" s="281" t="s">
        <v>1923</v>
      </c>
      <c r="AL165" s="281" t="s">
        <v>1752</v>
      </c>
      <c r="AM165" s="281" t="s">
        <v>2</v>
      </c>
      <c r="AN165" s="281" t="s">
        <v>422</v>
      </c>
      <c r="AO165" s="281" t="s">
        <v>2092</v>
      </c>
      <c r="AP165" s="281" t="s">
        <v>2</v>
      </c>
      <c r="AQ165" s="302" t="s">
        <v>2</v>
      </c>
    </row>
    <row r="166" spans="1:43" ht="15" customHeight="1">
      <c r="A166" s="90"/>
      <c r="B166" s="84"/>
      <c r="C166" s="91"/>
      <c r="D166" s="301">
        <v>29877</v>
      </c>
      <c r="E166" s="283">
        <v>868193</v>
      </c>
      <c r="F166" s="273">
        <v>12445</v>
      </c>
      <c r="G166" s="274" t="s">
        <v>1578</v>
      </c>
      <c r="H166" s="274" t="s">
        <v>421</v>
      </c>
      <c r="I166" s="274" t="s">
        <v>9</v>
      </c>
      <c r="J166" s="274" t="s">
        <v>398</v>
      </c>
      <c r="K166" s="275">
        <v>0.375</v>
      </c>
      <c r="L166" s="275">
        <v>0.71666666666666667</v>
      </c>
      <c r="M166" s="275">
        <v>0.34166666666666667</v>
      </c>
      <c r="N166" s="275">
        <v>0.49305555555555558</v>
      </c>
      <c r="O166" s="275">
        <v>0.5625</v>
      </c>
      <c r="P166" s="275">
        <v>0.65277777777777779</v>
      </c>
      <c r="Q166" s="276">
        <v>41983</v>
      </c>
      <c r="R166" s="284" t="s">
        <v>2</v>
      </c>
      <c r="S166" s="276">
        <v>42009</v>
      </c>
      <c r="T166" s="284" t="s">
        <v>2</v>
      </c>
      <c r="U166" s="274" t="s">
        <v>707</v>
      </c>
      <c r="V166" s="276">
        <v>42172</v>
      </c>
      <c r="W166" s="276">
        <v>42172</v>
      </c>
      <c r="X166" s="276" t="s">
        <v>2</v>
      </c>
      <c r="Y166" s="274" t="s">
        <v>1438</v>
      </c>
      <c r="Z166" s="274" t="s">
        <v>2</v>
      </c>
      <c r="AA166" s="274" t="s">
        <v>2</v>
      </c>
      <c r="AB166" s="276" t="s">
        <v>2</v>
      </c>
      <c r="AC166" s="274" t="s">
        <v>2</v>
      </c>
      <c r="AD166" s="274" t="s">
        <v>2180</v>
      </c>
      <c r="AE166" s="276"/>
      <c r="AF166" s="274" t="s">
        <v>2193</v>
      </c>
      <c r="AG166" s="274" t="s">
        <v>775</v>
      </c>
      <c r="AH166" s="274" t="s">
        <v>2197</v>
      </c>
      <c r="AI166" s="274" t="s">
        <v>89</v>
      </c>
      <c r="AJ166" s="281">
        <v>810310</v>
      </c>
      <c r="AK166" s="281" t="s">
        <v>1924</v>
      </c>
      <c r="AL166" s="281" t="s">
        <v>1753</v>
      </c>
      <c r="AM166" s="281" t="s">
        <v>2</v>
      </c>
      <c r="AN166" s="281" t="s">
        <v>422</v>
      </c>
      <c r="AO166" s="281" t="s">
        <v>2093</v>
      </c>
      <c r="AP166" s="281" t="s">
        <v>1249</v>
      </c>
      <c r="AQ166" s="302" t="s">
        <v>2</v>
      </c>
    </row>
    <row r="167" spans="1:43" ht="15" customHeight="1">
      <c r="A167" s="90"/>
      <c r="B167" s="84"/>
      <c r="C167" s="91"/>
      <c r="D167" s="301">
        <v>28884</v>
      </c>
      <c r="E167" s="283">
        <v>847837</v>
      </c>
      <c r="F167" s="273">
        <v>12810</v>
      </c>
      <c r="G167" s="274" t="s">
        <v>1579</v>
      </c>
      <c r="H167" s="274" t="s">
        <v>414</v>
      </c>
      <c r="I167" s="274" t="s">
        <v>9</v>
      </c>
      <c r="J167" s="274" t="s">
        <v>403</v>
      </c>
      <c r="K167" s="275">
        <v>0.375</v>
      </c>
      <c r="L167" s="275">
        <v>0.71666666666666656</v>
      </c>
      <c r="M167" s="275">
        <v>0.34166666666666656</v>
      </c>
      <c r="N167" s="275">
        <v>0.4236111111111111</v>
      </c>
      <c r="O167" s="275">
        <v>0.54166666666666663</v>
      </c>
      <c r="P167" s="275">
        <v>0.65972222222222221</v>
      </c>
      <c r="Q167" s="276">
        <v>41830</v>
      </c>
      <c r="R167" s="284" t="s">
        <v>2</v>
      </c>
      <c r="S167" s="276">
        <v>41858</v>
      </c>
      <c r="T167" s="284" t="s">
        <v>2</v>
      </c>
      <c r="U167" s="274" t="s">
        <v>707</v>
      </c>
      <c r="V167" s="276">
        <v>42170</v>
      </c>
      <c r="W167" s="276">
        <v>42170</v>
      </c>
      <c r="X167" s="276" t="s">
        <v>2</v>
      </c>
      <c r="Y167" s="274" t="s">
        <v>1438</v>
      </c>
      <c r="Z167" s="274" t="s">
        <v>2</v>
      </c>
      <c r="AA167" s="274" t="s">
        <v>2</v>
      </c>
      <c r="AB167" s="276" t="s">
        <v>2</v>
      </c>
      <c r="AC167" s="274" t="s">
        <v>2</v>
      </c>
      <c r="AD167" s="274" t="s">
        <v>2</v>
      </c>
      <c r="AE167" s="276"/>
      <c r="AF167" s="274" t="s">
        <v>2</v>
      </c>
      <c r="AG167" s="274" t="s">
        <v>775</v>
      </c>
      <c r="AH167" s="274" t="s">
        <v>2197</v>
      </c>
      <c r="AI167" s="274" t="s">
        <v>89</v>
      </c>
      <c r="AJ167" s="281">
        <v>810074</v>
      </c>
      <c r="AK167" s="281" t="s">
        <v>1925</v>
      </c>
      <c r="AL167" s="281" t="s">
        <v>1754</v>
      </c>
      <c r="AM167" s="281" t="s">
        <v>2</v>
      </c>
      <c r="AN167" s="281" t="s">
        <v>422</v>
      </c>
      <c r="AO167" s="281" t="s">
        <v>2094</v>
      </c>
      <c r="AP167" s="281" t="s">
        <v>1249</v>
      </c>
      <c r="AQ167" s="302" t="s">
        <v>1249</v>
      </c>
    </row>
    <row r="168" spans="1:43" ht="15" customHeight="1">
      <c r="A168" s="90"/>
      <c r="B168" s="84"/>
      <c r="C168" s="91"/>
      <c r="D168" s="301">
        <v>20724</v>
      </c>
      <c r="E168" s="283">
        <v>761479</v>
      </c>
      <c r="F168" s="273">
        <v>12856</v>
      </c>
      <c r="G168" s="274" t="s">
        <v>1580</v>
      </c>
      <c r="H168" s="274" t="s">
        <v>422</v>
      </c>
      <c r="I168" s="274" t="s">
        <v>9</v>
      </c>
      <c r="J168" s="274" t="s">
        <v>403</v>
      </c>
      <c r="K168" s="275">
        <v>0.375</v>
      </c>
      <c r="L168" s="275">
        <v>0.71666666666666667</v>
      </c>
      <c r="M168" s="275">
        <v>0.34166666666666667</v>
      </c>
      <c r="N168" s="275">
        <v>0.51388888888888895</v>
      </c>
      <c r="O168" s="275">
        <v>0.58333333333333337</v>
      </c>
      <c r="P168" s="275">
        <v>0.67361111111111116</v>
      </c>
      <c r="Q168" s="276">
        <v>40952</v>
      </c>
      <c r="R168" s="284" t="s">
        <v>2</v>
      </c>
      <c r="S168" s="276">
        <v>40975</v>
      </c>
      <c r="T168" s="284" t="s">
        <v>2</v>
      </c>
      <c r="U168" s="274" t="s">
        <v>707</v>
      </c>
      <c r="V168" s="276">
        <v>42163</v>
      </c>
      <c r="W168" s="276">
        <v>42160</v>
      </c>
      <c r="X168" s="276">
        <v>42160</v>
      </c>
      <c r="Y168" s="274" t="s">
        <v>2199</v>
      </c>
      <c r="Z168" s="274" t="s">
        <v>2</v>
      </c>
      <c r="AA168" s="274" t="s">
        <v>2</v>
      </c>
      <c r="AB168" s="276" t="s">
        <v>2</v>
      </c>
      <c r="AC168" s="274" t="s">
        <v>2</v>
      </c>
      <c r="AD168" s="274">
        <v>3728000</v>
      </c>
      <c r="AE168" s="276"/>
      <c r="AF168" s="274" t="s">
        <v>2195</v>
      </c>
      <c r="AG168" s="274" t="s">
        <v>775</v>
      </c>
      <c r="AH168" s="274" t="s">
        <v>2197</v>
      </c>
      <c r="AI168" s="274" t="s">
        <v>89</v>
      </c>
      <c r="AJ168" s="281">
        <v>810044</v>
      </c>
      <c r="AK168" s="281" t="s">
        <v>1926</v>
      </c>
      <c r="AL168" s="281" t="s">
        <v>1755</v>
      </c>
      <c r="AM168" s="281" t="s">
        <v>2</v>
      </c>
      <c r="AN168" s="281" t="s">
        <v>422</v>
      </c>
      <c r="AO168" s="281" t="s">
        <v>2095</v>
      </c>
      <c r="AP168" s="281" t="s">
        <v>2</v>
      </c>
      <c r="AQ168" s="302" t="s">
        <v>1249</v>
      </c>
    </row>
    <row r="169" spans="1:43" ht="15" customHeight="1">
      <c r="A169" s="90"/>
      <c r="B169" s="84"/>
      <c r="C169" s="91"/>
      <c r="D169" s="301">
        <v>30700</v>
      </c>
      <c r="E169" s="283">
        <v>882230</v>
      </c>
      <c r="F169" s="273">
        <v>17185</v>
      </c>
      <c r="G169" s="274" t="s">
        <v>1581</v>
      </c>
      <c r="H169" s="274" t="s">
        <v>419</v>
      </c>
      <c r="I169" s="274" t="s">
        <v>9</v>
      </c>
      <c r="J169" s="274" t="s">
        <v>403</v>
      </c>
      <c r="K169" s="275">
        <v>0.61111111111111105</v>
      </c>
      <c r="L169" s="275">
        <v>0.875</v>
      </c>
      <c r="M169" s="275">
        <v>0.26388888888888895</v>
      </c>
      <c r="N169" s="275">
        <v>0.65277777777777779</v>
      </c>
      <c r="O169" s="275">
        <v>0.75</v>
      </c>
      <c r="P169" s="275">
        <v>0.83333333333333337</v>
      </c>
      <c r="Q169" s="276">
        <v>42131</v>
      </c>
      <c r="R169" s="284" t="s">
        <v>2</v>
      </c>
      <c r="S169" s="276">
        <v>42156</v>
      </c>
      <c r="T169" s="284" t="s">
        <v>2</v>
      </c>
      <c r="U169" s="274" t="s">
        <v>707</v>
      </c>
      <c r="V169" s="276">
        <v>42166</v>
      </c>
      <c r="W169" s="276">
        <v>42166</v>
      </c>
      <c r="X169" s="276" t="s">
        <v>2</v>
      </c>
      <c r="Y169" s="274" t="s">
        <v>1438</v>
      </c>
      <c r="Z169" s="274" t="s">
        <v>2</v>
      </c>
      <c r="AA169" s="274" t="s">
        <v>2</v>
      </c>
      <c r="AB169" s="276" t="s">
        <v>2</v>
      </c>
      <c r="AC169" s="274" t="s">
        <v>2</v>
      </c>
      <c r="AD169" s="274" t="s">
        <v>2</v>
      </c>
      <c r="AE169" s="276"/>
      <c r="AF169" s="274" t="s">
        <v>2</v>
      </c>
      <c r="AG169" s="274" t="s">
        <v>775</v>
      </c>
      <c r="AH169" s="274" t="s">
        <v>2197</v>
      </c>
      <c r="AI169" s="274" t="s">
        <v>89</v>
      </c>
      <c r="AJ169" s="281">
        <v>810356</v>
      </c>
      <c r="AK169" s="281" t="s">
        <v>1927</v>
      </c>
      <c r="AL169" s="281" t="s">
        <v>1756</v>
      </c>
      <c r="AM169" s="281" t="s">
        <v>2</v>
      </c>
      <c r="AN169" s="281" t="s">
        <v>422</v>
      </c>
      <c r="AO169" s="281" t="s">
        <v>2096</v>
      </c>
      <c r="AP169" s="281" t="s">
        <v>2</v>
      </c>
      <c r="AQ169" s="302" t="s">
        <v>2</v>
      </c>
    </row>
    <row r="170" spans="1:43" ht="15" customHeight="1">
      <c r="A170" s="90"/>
      <c r="B170" s="84"/>
      <c r="C170" s="91"/>
      <c r="D170" s="301">
        <v>13230</v>
      </c>
      <c r="E170" s="283">
        <v>702633</v>
      </c>
      <c r="F170" s="273">
        <v>12144</v>
      </c>
      <c r="G170" s="274" t="s">
        <v>1582</v>
      </c>
      <c r="H170" s="274" t="s">
        <v>408</v>
      </c>
      <c r="I170" s="274" t="s">
        <v>9</v>
      </c>
      <c r="J170" s="274" t="s">
        <v>404</v>
      </c>
      <c r="K170" s="275">
        <v>0.4861111111111111</v>
      </c>
      <c r="L170" s="275">
        <v>0.75</v>
      </c>
      <c r="M170" s="275">
        <v>0.2638888888888889</v>
      </c>
      <c r="N170" s="275">
        <v>0.52777777777777779</v>
      </c>
      <c r="O170" s="275">
        <v>0.58333333333333337</v>
      </c>
      <c r="P170" s="275">
        <v>0.70138888888888884</v>
      </c>
      <c r="Q170" s="276">
        <v>40378</v>
      </c>
      <c r="R170" s="284" t="s">
        <v>2</v>
      </c>
      <c r="S170" s="276">
        <v>40401</v>
      </c>
      <c r="T170" s="284" t="s">
        <v>2</v>
      </c>
      <c r="U170" s="274" t="s">
        <v>707</v>
      </c>
      <c r="V170" s="276">
        <v>42160</v>
      </c>
      <c r="W170" s="276">
        <v>42160</v>
      </c>
      <c r="X170" s="276" t="s">
        <v>2</v>
      </c>
      <c r="Y170" s="274" t="s">
        <v>2199</v>
      </c>
      <c r="Z170" s="274" t="s">
        <v>2</v>
      </c>
      <c r="AA170" s="274" t="s">
        <v>2</v>
      </c>
      <c r="AB170" s="276" t="s">
        <v>2</v>
      </c>
      <c r="AC170" s="274" t="s">
        <v>2</v>
      </c>
      <c r="AD170" s="274">
        <v>7124000</v>
      </c>
      <c r="AE170" s="276"/>
      <c r="AF170" s="274" t="s">
        <v>2196</v>
      </c>
      <c r="AG170" s="274" t="s">
        <v>775</v>
      </c>
      <c r="AH170" s="274" t="s">
        <v>2197</v>
      </c>
      <c r="AI170" s="274" t="s">
        <v>89</v>
      </c>
      <c r="AJ170" s="281">
        <v>810363</v>
      </c>
      <c r="AK170" s="281" t="s">
        <v>1928</v>
      </c>
      <c r="AL170" s="281" t="s">
        <v>1757</v>
      </c>
      <c r="AM170" s="281" t="s">
        <v>2</v>
      </c>
      <c r="AN170" s="281" t="s">
        <v>2</v>
      </c>
      <c r="AO170" s="281" t="s">
        <v>2097</v>
      </c>
      <c r="AP170" s="281" t="s">
        <v>2</v>
      </c>
      <c r="AQ170" s="302" t="s">
        <v>2</v>
      </c>
    </row>
    <row r="171" spans="1:43" ht="15" customHeight="1">
      <c r="A171" s="90"/>
      <c r="B171" s="84"/>
      <c r="C171" s="91"/>
      <c r="D171" s="301">
        <v>16457</v>
      </c>
      <c r="E171" s="283">
        <v>724723</v>
      </c>
      <c r="F171" s="273">
        <v>12797</v>
      </c>
      <c r="G171" s="274" t="s">
        <v>1583</v>
      </c>
      <c r="H171" s="274" t="s">
        <v>423</v>
      </c>
      <c r="I171" s="274" t="s">
        <v>9</v>
      </c>
      <c r="J171" s="274" t="s">
        <v>405</v>
      </c>
      <c r="K171" s="275">
        <v>0.33333333333333331</v>
      </c>
      <c r="L171" s="275">
        <v>0.70833333333333337</v>
      </c>
      <c r="M171" s="275">
        <v>0.37500000000000006</v>
      </c>
      <c r="N171" s="275" t="s">
        <v>2</v>
      </c>
      <c r="O171" s="275" t="s">
        <v>2</v>
      </c>
      <c r="P171" s="275" t="s">
        <v>2</v>
      </c>
      <c r="Q171" s="276">
        <v>40639</v>
      </c>
      <c r="R171" s="284" t="s">
        <v>2</v>
      </c>
      <c r="S171" s="276">
        <v>40662</v>
      </c>
      <c r="T171" s="284" t="s">
        <v>2</v>
      </c>
      <c r="U171" s="274" t="s">
        <v>707</v>
      </c>
      <c r="V171" s="276">
        <v>42158</v>
      </c>
      <c r="W171" s="276">
        <v>42158</v>
      </c>
      <c r="X171" s="276" t="s">
        <v>2</v>
      </c>
      <c r="Y171" s="274" t="s">
        <v>2199</v>
      </c>
      <c r="Z171" s="274" t="s">
        <v>2</v>
      </c>
      <c r="AA171" s="274" t="s">
        <v>2</v>
      </c>
      <c r="AB171" s="276" t="s">
        <v>2</v>
      </c>
      <c r="AC171" s="274" t="s">
        <v>2</v>
      </c>
      <c r="AD171" s="274">
        <v>5187390</v>
      </c>
      <c r="AE171" s="276"/>
      <c r="AF171" s="274" t="s">
        <v>2191</v>
      </c>
      <c r="AG171" s="274" t="s">
        <v>775</v>
      </c>
      <c r="AH171" s="274" t="s">
        <v>2197</v>
      </c>
      <c r="AI171" s="274" t="s">
        <v>89</v>
      </c>
      <c r="AJ171" s="281" t="s">
        <v>2</v>
      </c>
      <c r="AK171" s="281" t="s">
        <v>1929</v>
      </c>
      <c r="AL171" s="281" t="s">
        <v>1758</v>
      </c>
      <c r="AM171" s="281" t="s">
        <v>2</v>
      </c>
      <c r="AN171" s="281" t="s">
        <v>2</v>
      </c>
      <c r="AO171" s="281" t="s">
        <v>2098</v>
      </c>
      <c r="AP171" s="281" t="s">
        <v>2</v>
      </c>
      <c r="AQ171" s="302" t="s">
        <v>2</v>
      </c>
    </row>
    <row r="172" spans="1:43" ht="15" customHeight="1">
      <c r="A172" s="90"/>
      <c r="B172" s="84"/>
      <c r="C172" s="91"/>
      <c r="D172" s="301">
        <v>17136</v>
      </c>
      <c r="E172" s="283">
        <v>728448</v>
      </c>
      <c r="F172" s="273">
        <v>12606</v>
      </c>
      <c r="G172" s="274" t="s">
        <v>1584</v>
      </c>
      <c r="H172" s="274" t="s">
        <v>423</v>
      </c>
      <c r="I172" s="274" t="s">
        <v>9</v>
      </c>
      <c r="J172" s="274" t="s">
        <v>405</v>
      </c>
      <c r="K172" s="275">
        <v>0.33333333333333331</v>
      </c>
      <c r="L172" s="275">
        <v>0.70833333333333337</v>
      </c>
      <c r="M172" s="275">
        <v>0.37500000000000006</v>
      </c>
      <c r="N172" s="275" t="s">
        <v>2</v>
      </c>
      <c r="O172" s="275" t="s">
        <v>2</v>
      </c>
      <c r="P172" s="275" t="s">
        <v>2</v>
      </c>
      <c r="Q172" s="276">
        <v>40679</v>
      </c>
      <c r="R172" s="284" t="s">
        <v>2</v>
      </c>
      <c r="S172" s="276">
        <v>40702</v>
      </c>
      <c r="T172" s="284" t="s">
        <v>2</v>
      </c>
      <c r="U172" s="274" t="s">
        <v>707</v>
      </c>
      <c r="V172" s="276">
        <v>42158</v>
      </c>
      <c r="W172" s="276">
        <v>42158</v>
      </c>
      <c r="X172" s="276" t="s">
        <v>2</v>
      </c>
      <c r="Y172" s="274" t="s">
        <v>2199</v>
      </c>
      <c r="Z172" s="274" t="s">
        <v>2</v>
      </c>
      <c r="AA172" s="274" t="s">
        <v>2</v>
      </c>
      <c r="AB172" s="276" t="s">
        <v>2</v>
      </c>
      <c r="AC172" s="274" t="s">
        <v>2</v>
      </c>
      <c r="AD172" s="274">
        <v>3676020</v>
      </c>
      <c r="AE172" s="276"/>
      <c r="AF172" s="274" t="s">
        <v>2195</v>
      </c>
      <c r="AG172" s="274" t="s">
        <v>775</v>
      </c>
      <c r="AH172" s="274" t="s">
        <v>2197</v>
      </c>
      <c r="AI172" s="274" t="s">
        <v>89</v>
      </c>
      <c r="AJ172" s="281" t="s">
        <v>2</v>
      </c>
      <c r="AK172" s="281" t="s">
        <v>1930</v>
      </c>
      <c r="AL172" s="281" t="s">
        <v>1759</v>
      </c>
      <c r="AM172" s="281" t="s">
        <v>2</v>
      </c>
      <c r="AN172" s="281" t="s">
        <v>2</v>
      </c>
      <c r="AO172" s="281" t="s">
        <v>2099</v>
      </c>
      <c r="AP172" s="281" t="s">
        <v>1249</v>
      </c>
      <c r="AQ172" s="302" t="s">
        <v>2</v>
      </c>
    </row>
    <row r="173" spans="1:43" ht="15" customHeight="1">
      <c r="A173" s="90"/>
      <c r="B173" s="84"/>
      <c r="C173" s="91"/>
      <c r="D173" s="301">
        <v>12957</v>
      </c>
      <c r="E173" s="283">
        <v>699658</v>
      </c>
      <c r="F173" s="273">
        <v>12284</v>
      </c>
      <c r="G173" s="274" t="s">
        <v>1585</v>
      </c>
      <c r="H173" s="274" t="s">
        <v>423</v>
      </c>
      <c r="I173" s="274" t="s">
        <v>9</v>
      </c>
      <c r="J173" s="274" t="s">
        <v>405</v>
      </c>
      <c r="K173" s="275">
        <v>0.5</v>
      </c>
      <c r="L173" s="275">
        <v>0.84166666666666667</v>
      </c>
      <c r="M173" s="275">
        <v>0.34166666666666667</v>
      </c>
      <c r="N173" s="275" t="s">
        <v>2</v>
      </c>
      <c r="O173" s="275" t="s">
        <v>2</v>
      </c>
      <c r="P173" s="275" t="s">
        <v>2</v>
      </c>
      <c r="Q173" s="276">
        <v>40338</v>
      </c>
      <c r="R173" s="284" t="s">
        <v>2</v>
      </c>
      <c r="S173" s="276">
        <v>40361</v>
      </c>
      <c r="T173" s="284" t="s">
        <v>2</v>
      </c>
      <c r="U173" s="274" t="s">
        <v>707</v>
      </c>
      <c r="V173" s="276">
        <v>42158</v>
      </c>
      <c r="W173" s="276">
        <v>42158</v>
      </c>
      <c r="X173" s="276" t="s">
        <v>2</v>
      </c>
      <c r="Y173" s="274" t="s">
        <v>2199</v>
      </c>
      <c r="Z173" s="274" t="s">
        <v>2</v>
      </c>
      <c r="AA173" s="274" t="s">
        <v>2</v>
      </c>
      <c r="AB173" s="276" t="s">
        <v>2</v>
      </c>
      <c r="AC173" s="274" t="s">
        <v>2</v>
      </c>
      <c r="AD173" s="274">
        <v>8485340</v>
      </c>
      <c r="AE173" s="276"/>
      <c r="AF173" s="274" t="s">
        <v>2194</v>
      </c>
      <c r="AG173" s="274" t="s">
        <v>775</v>
      </c>
      <c r="AH173" s="274" t="s">
        <v>2197</v>
      </c>
      <c r="AI173" s="274" t="s">
        <v>89</v>
      </c>
      <c r="AJ173" s="281" t="s">
        <v>2</v>
      </c>
      <c r="AK173" s="281" t="s">
        <v>1931</v>
      </c>
      <c r="AL173" s="281" t="s">
        <v>1760</v>
      </c>
      <c r="AM173" s="281" t="s">
        <v>2</v>
      </c>
      <c r="AN173" s="281" t="s">
        <v>2</v>
      </c>
      <c r="AO173" s="281" t="s">
        <v>2100</v>
      </c>
      <c r="AP173" s="281" t="s">
        <v>2</v>
      </c>
      <c r="AQ173" s="302" t="s">
        <v>2</v>
      </c>
    </row>
    <row r="174" spans="1:43" ht="15" customHeight="1">
      <c r="A174" s="90"/>
      <c r="B174" s="84"/>
      <c r="C174" s="91"/>
      <c r="D174" s="301">
        <v>30679</v>
      </c>
      <c r="E174" s="283">
        <v>882100</v>
      </c>
      <c r="F174" s="273">
        <v>17170</v>
      </c>
      <c r="G174" s="274" t="s">
        <v>1586</v>
      </c>
      <c r="H174" s="274" t="s">
        <v>422</v>
      </c>
      <c r="I174" s="274" t="s">
        <v>9</v>
      </c>
      <c r="J174" s="274" t="s">
        <v>403</v>
      </c>
      <c r="K174" s="275">
        <v>0.41666666666666669</v>
      </c>
      <c r="L174" s="275">
        <v>0.68055555555555558</v>
      </c>
      <c r="M174" s="275">
        <v>0.2638888888888889</v>
      </c>
      <c r="N174" s="275">
        <v>0.52777777777777779</v>
      </c>
      <c r="O174" s="275">
        <v>0.58333333333333337</v>
      </c>
      <c r="P174" s="275">
        <v>0.63888888888888895</v>
      </c>
      <c r="Q174" s="276">
        <v>42131</v>
      </c>
      <c r="R174" s="284" t="s">
        <v>2</v>
      </c>
      <c r="S174" s="276">
        <v>42156</v>
      </c>
      <c r="T174" s="284" t="s">
        <v>2</v>
      </c>
      <c r="U174" s="274" t="s">
        <v>707</v>
      </c>
      <c r="V174" s="276">
        <v>42184</v>
      </c>
      <c r="W174" s="276">
        <v>42184</v>
      </c>
      <c r="X174" s="276" t="s">
        <v>2</v>
      </c>
      <c r="Y174" s="274" t="s">
        <v>1438</v>
      </c>
      <c r="Z174" s="274" t="s">
        <v>2</v>
      </c>
      <c r="AA174" s="274" t="s">
        <v>2</v>
      </c>
      <c r="AB174" s="276" t="s">
        <v>2</v>
      </c>
      <c r="AC174" s="274" t="s">
        <v>2</v>
      </c>
      <c r="AD174" s="274" t="s">
        <v>2</v>
      </c>
      <c r="AE174" s="276"/>
      <c r="AF174" s="274" t="s">
        <v>2</v>
      </c>
      <c r="AG174" s="274" t="s">
        <v>775</v>
      </c>
      <c r="AH174" s="274" t="s">
        <v>2197</v>
      </c>
      <c r="AI174" s="274" t="s">
        <v>89</v>
      </c>
      <c r="AJ174" s="281">
        <v>810346</v>
      </c>
      <c r="AK174" s="281" t="s">
        <v>1932</v>
      </c>
      <c r="AL174" s="281" t="s">
        <v>1761</v>
      </c>
      <c r="AM174" s="281" t="s">
        <v>2</v>
      </c>
      <c r="AN174" s="281" t="s">
        <v>422</v>
      </c>
      <c r="AO174" s="281" t="s">
        <v>2101</v>
      </c>
      <c r="AP174" s="281" t="s">
        <v>2</v>
      </c>
      <c r="AQ174" s="302" t="s">
        <v>2</v>
      </c>
    </row>
    <row r="175" spans="1:43" ht="15" customHeight="1">
      <c r="A175" s="90"/>
      <c r="B175" s="84"/>
      <c r="C175" s="91"/>
      <c r="D175" s="301">
        <v>30608</v>
      </c>
      <c r="E175" s="283">
        <v>879250</v>
      </c>
      <c r="F175" s="273">
        <v>17050</v>
      </c>
      <c r="G175" s="274" t="s">
        <v>1587</v>
      </c>
      <c r="H175" s="274" t="s">
        <v>416</v>
      </c>
      <c r="I175" s="274" t="s">
        <v>9</v>
      </c>
      <c r="J175" s="274" t="s">
        <v>398</v>
      </c>
      <c r="K175" s="275">
        <v>0.39583333333333331</v>
      </c>
      <c r="L175" s="275">
        <v>0.65972222222222232</v>
      </c>
      <c r="M175" s="275">
        <v>0.26388888888888901</v>
      </c>
      <c r="N175" s="275">
        <v>0.4513888888888889</v>
      </c>
      <c r="O175" s="275">
        <v>0.52777777777777779</v>
      </c>
      <c r="P175" s="275">
        <v>0.59027777777777779</v>
      </c>
      <c r="Q175" s="276">
        <v>42107</v>
      </c>
      <c r="R175" s="284" t="s">
        <v>2</v>
      </c>
      <c r="S175" s="276">
        <v>42128</v>
      </c>
      <c r="T175" s="284" t="s">
        <v>2</v>
      </c>
      <c r="U175" s="274" t="s">
        <v>708</v>
      </c>
      <c r="V175" s="276">
        <v>42184</v>
      </c>
      <c r="W175" s="276">
        <v>42184</v>
      </c>
      <c r="X175" s="276" t="s">
        <v>2</v>
      </c>
      <c r="Y175" s="274" t="s">
        <v>1438</v>
      </c>
      <c r="Z175" s="274" t="s">
        <v>2</v>
      </c>
      <c r="AA175" s="274" t="s">
        <v>2</v>
      </c>
      <c r="AB175" s="276" t="s">
        <v>2</v>
      </c>
      <c r="AC175" s="274" t="s">
        <v>2</v>
      </c>
      <c r="AD175" s="274">
        <v>7182130</v>
      </c>
      <c r="AE175" s="276"/>
      <c r="AF175" s="274" t="s">
        <v>2196</v>
      </c>
      <c r="AG175" s="274" t="s">
        <v>775</v>
      </c>
      <c r="AH175" s="274" t="s">
        <v>2197</v>
      </c>
      <c r="AI175" s="274" t="s">
        <v>89</v>
      </c>
      <c r="AJ175" s="281">
        <v>810324</v>
      </c>
      <c r="AK175" s="281" t="s">
        <v>1933</v>
      </c>
      <c r="AL175" s="281" t="s">
        <v>1762</v>
      </c>
      <c r="AM175" s="281" t="s">
        <v>2</v>
      </c>
      <c r="AN175" s="281" t="s">
        <v>422</v>
      </c>
      <c r="AO175" s="281" t="s">
        <v>2102</v>
      </c>
      <c r="AP175" s="281" t="s">
        <v>2</v>
      </c>
      <c r="AQ175" s="302" t="s">
        <v>2</v>
      </c>
    </row>
    <row r="176" spans="1:43" ht="15" customHeight="1">
      <c r="A176" s="90"/>
      <c r="B176" s="84"/>
      <c r="C176" s="91"/>
      <c r="D176" s="301">
        <v>30606</v>
      </c>
      <c r="E176" s="283">
        <v>879248</v>
      </c>
      <c r="F176" s="273">
        <v>17026</v>
      </c>
      <c r="G176" s="274" t="s">
        <v>1588</v>
      </c>
      <c r="H176" s="274" t="s">
        <v>421</v>
      </c>
      <c r="I176" s="274" t="s">
        <v>9</v>
      </c>
      <c r="J176" s="274" t="s">
        <v>398</v>
      </c>
      <c r="K176" s="275">
        <v>0.39583333333333331</v>
      </c>
      <c r="L176" s="275">
        <v>0.65972222222222232</v>
      </c>
      <c r="M176" s="275">
        <v>0.26388888888888901</v>
      </c>
      <c r="N176" s="275">
        <v>0.44444444444444442</v>
      </c>
      <c r="O176" s="275">
        <v>0.49305555555555558</v>
      </c>
      <c r="P176" s="275">
        <v>0.57638888888888895</v>
      </c>
      <c r="Q176" s="276">
        <v>42107</v>
      </c>
      <c r="R176" s="284" t="s">
        <v>2</v>
      </c>
      <c r="S176" s="276">
        <v>42128</v>
      </c>
      <c r="T176" s="284" t="s">
        <v>2</v>
      </c>
      <c r="U176" s="274" t="s">
        <v>708</v>
      </c>
      <c r="V176" s="276">
        <v>42185</v>
      </c>
      <c r="W176" s="276">
        <v>42185</v>
      </c>
      <c r="X176" s="276" t="s">
        <v>2</v>
      </c>
      <c r="Y176" s="274" t="s">
        <v>1438</v>
      </c>
      <c r="Z176" s="274" t="s">
        <v>2</v>
      </c>
      <c r="AA176" s="274" t="s">
        <v>2</v>
      </c>
      <c r="AB176" s="276" t="s">
        <v>2</v>
      </c>
      <c r="AC176" s="274" t="s">
        <v>2</v>
      </c>
      <c r="AD176" s="274">
        <v>1506000</v>
      </c>
      <c r="AE176" s="276"/>
      <c r="AF176" s="274" t="s">
        <v>2192</v>
      </c>
      <c r="AG176" s="274" t="s">
        <v>775</v>
      </c>
      <c r="AH176" s="274" t="s">
        <v>2197</v>
      </c>
      <c r="AI176" s="274" t="s">
        <v>89</v>
      </c>
      <c r="AJ176" s="281">
        <v>810322</v>
      </c>
      <c r="AK176" s="281" t="s">
        <v>1934</v>
      </c>
      <c r="AL176" s="281" t="s">
        <v>1763</v>
      </c>
      <c r="AM176" s="281" t="s">
        <v>2</v>
      </c>
      <c r="AN176" s="281" t="s">
        <v>422</v>
      </c>
      <c r="AO176" s="281" t="s">
        <v>2103</v>
      </c>
      <c r="AP176" s="281" t="s">
        <v>2</v>
      </c>
      <c r="AQ176" s="302" t="s">
        <v>2</v>
      </c>
    </row>
    <row r="177" spans="1:43" ht="15" customHeight="1">
      <c r="A177" s="90"/>
      <c r="B177" s="84"/>
      <c r="C177" s="91"/>
      <c r="D177" s="301">
        <v>22359</v>
      </c>
      <c r="E177" s="283">
        <v>772765</v>
      </c>
      <c r="F177" s="273">
        <v>12926</v>
      </c>
      <c r="G177" s="274" t="s">
        <v>1589</v>
      </c>
      <c r="H177" s="274" t="s">
        <v>407</v>
      </c>
      <c r="I177" s="274" t="s">
        <v>9</v>
      </c>
      <c r="J177" s="274" t="s">
        <v>392</v>
      </c>
      <c r="K177" s="275">
        <v>0.65277777777777779</v>
      </c>
      <c r="L177" s="275">
        <v>0.91666666666666663</v>
      </c>
      <c r="M177" s="275">
        <v>0.26388888888888884</v>
      </c>
      <c r="N177" s="275">
        <v>0.69444444444444453</v>
      </c>
      <c r="O177" s="275">
        <v>0.75</v>
      </c>
      <c r="P177" s="275">
        <v>0.83333333333333337</v>
      </c>
      <c r="Q177" s="276">
        <v>41092</v>
      </c>
      <c r="R177" s="284" t="s">
        <v>2</v>
      </c>
      <c r="S177" s="276">
        <v>41115</v>
      </c>
      <c r="T177" s="284" t="s">
        <v>2</v>
      </c>
      <c r="U177" s="274" t="s">
        <v>707</v>
      </c>
      <c r="V177" s="276">
        <v>42201</v>
      </c>
      <c r="W177" s="276">
        <v>42201</v>
      </c>
      <c r="X177" s="276" t="s">
        <v>2</v>
      </c>
      <c r="Y177" s="274" t="s">
        <v>1438</v>
      </c>
      <c r="Z177" s="274" t="s">
        <v>2</v>
      </c>
      <c r="AA177" s="274" t="s">
        <v>2</v>
      </c>
      <c r="AB177" s="276" t="s">
        <v>2</v>
      </c>
      <c r="AC177" s="274" t="s">
        <v>2</v>
      </c>
      <c r="AD177" s="274">
        <v>4310010</v>
      </c>
      <c r="AE177" s="276"/>
      <c r="AF177" s="274" t="s">
        <v>2188</v>
      </c>
      <c r="AG177" s="274" t="s">
        <v>775</v>
      </c>
      <c r="AH177" s="274" t="s">
        <v>2197</v>
      </c>
      <c r="AI177" s="274" t="s">
        <v>89</v>
      </c>
      <c r="AJ177" s="281">
        <v>810033</v>
      </c>
      <c r="AK177" s="281" t="s">
        <v>1935</v>
      </c>
      <c r="AL177" s="281" t="s">
        <v>1764</v>
      </c>
      <c r="AM177" s="281" t="s">
        <v>2</v>
      </c>
      <c r="AN177" s="281" t="s">
        <v>2</v>
      </c>
      <c r="AO177" s="281" t="s">
        <v>2104</v>
      </c>
      <c r="AP177" s="281" t="s">
        <v>1249</v>
      </c>
      <c r="AQ177" s="302" t="s">
        <v>1249</v>
      </c>
    </row>
    <row r="178" spans="1:43" ht="15" customHeight="1">
      <c r="A178" s="90"/>
      <c r="B178" s="84"/>
      <c r="C178" s="91"/>
      <c r="D178" s="301">
        <v>30610</v>
      </c>
      <c r="E178" s="283">
        <v>879253</v>
      </c>
      <c r="F178" s="273">
        <v>17057</v>
      </c>
      <c r="G178" s="274" t="s">
        <v>1590</v>
      </c>
      <c r="H178" s="274" t="s">
        <v>415</v>
      </c>
      <c r="I178" s="274" t="s">
        <v>9</v>
      </c>
      <c r="J178" s="274" t="s">
        <v>398</v>
      </c>
      <c r="K178" s="275">
        <v>0.375</v>
      </c>
      <c r="L178" s="275">
        <v>0.63888888888888895</v>
      </c>
      <c r="M178" s="275">
        <v>0.26388888888888895</v>
      </c>
      <c r="N178" s="275">
        <v>0.4375</v>
      </c>
      <c r="O178" s="275">
        <v>0.52083333333333337</v>
      </c>
      <c r="P178" s="275">
        <v>0.57638888888888895</v>
      </c>
      <c r="Q178" s="276">
        <v>42107</v>
      </c>
      <c r="R178" s="284" t="s">
        <v>2</v>
      </c>
      <c r="S178" s="276">
        <v>42128</v>
      </c>
      <c r="T178" s="284" t="s">
        <v>2</v>
      </c>
      <c r="U178" s="274" t="s">
        <v>708</v>
      </c>
      <c r="V178" s="276">
        <v>42195</v>
      </c>
      <c r="W178" s="276">
        <v>42195</v>
      </c>
      <c r="X178" s="276" t="s">
        <v>2</v>
      </c>
      <c r="Y178" s="274" t="s">
        <v>2199</v>
      </c>
      <c r="Z178" s="274" t="s">
        <v>2</v>
      </c>
      <c r="AA178" s="274" t="s">
        <v>2</v>
      </c>
      <c r="AB178" s="276" t="s">
        <v>2</v>
      </c>
      <c r="AC178" s="274" t="s">
        <v>2</v>
      </c>
      <c r="AD178" s="274">
        <v>2479000</v>
      </c>
      <c r="AE178" s="276"/>
      <c r="AF178" s="274" t="s">
        <v>2189</v>
      </c>
      <c r="AG178" s="274" t="s">
        <v>775</v>
      </c>
      <c r="AH178" s="274" t="s">
        <v>2197</v>
      </c>
      <c r="AI178" s="274" t="s">
        <v>89</v>
      </c>
      <c r="AJ178" s="281">
        <v>810326</v>
      </c>
      <c r="AK178" s="281" t="s">
        <v>1936</v>
      </c>
      <c r="AL178" s="281" t="s">
        <v>1765</v>
      </c>
      <c r="AM178" s="281" t="s">
        <v>2</v>
      </c>
      <c r="AN178" s="281" t="s">
        <v>422</v>
      </c>
      <c r="AO178" s="281" t="s">
        <v>2105</v>
      </c>
      <c r="AP178" s="281" t="s">
        <v>2</v>
      </c>
      <c r="AQ178" s="302" t="s">
        <v>2</v>
      </c>
    </row>
    <row r="179" spans="1:43" ht="15" customHeight="1">
      <c r="A179" s="90"/>
      <c r="B179" s="84"/>
      <c r="C179" s="91"/>
      <c r="D179" s="301">
        <v>29898</v>
      </c>
      <c r="E179" s="283">
        <v>868214</v>
      </c>
      <c r="F179" s="273">
        <v>17090</v>
      </c>
      <c r="G179" s="274" t="s">
        <v>1591</v>
      </c>
      <c r="H179" s="274" t="s">
        <v>415</v>
      </c>
      <c r="I179" s="274" t="s">
        <v>9</v>
      </c>
      <c r="J179" s="274" t="s">
        <v>398</v>
      </c>
      <c r="K179" s="275">
        <v>0.39583333333333331</v>
      </c>
      <c r="L179" s="275">
        <v>0.73749999999999993</v>
      </c>
      <c r="M179" s="275">
        <v>0.34166666666666662</v>
      </c>
      <c r="N179" s="275">
        <v>0.52083333333333337</v>
      </c>
      <c r="O179" s="275">
        <v>0.58333333333333337</v>
      </c>
      <c r="P179" s="275">
        <v>0.68055555555555547</v>
      </c>
      <c r="Q179" s="276">
        <v>41983</v>
      </c>
      <c r="R179" s="284" t="s">
        <v>2</v>
      </c>
      <c r="S179" s="276">
        <v>42009</v>
      </c>
      <c r="T179" s="284" t="s">
        <v>2</v>
      </c>
      <c r="U179" s="274" t="s">
        <v>707</v>
      </c>
      <c r="V179" s="276">
        <v>42195</v>
      </c>
      <c r="W179" s="276">
        <v>42195</v>
      </c>
      <c r="X179" s="276" t="s">
        <v>2</v>
      </c>
      <c r="Y179" s="274" t="s">
        <v>1438</v>
      </c>
      <c r="Z179" s="274" t="s">
        <v>2</v>
      </c>
      <c r="AA179" s="274" t="s">
        <v>2</v>
      </c>
      <c r="AB179" s="276" t="s">
        <v>2</v>
      </c>
      <c r="AC179" s="274" t="s">
        <v>2</v>
      </c>
      <c r="AD179" s="274" t="s">
        <v>2181</v>
      </c>
      <c r="AE179" s="276"/>
      <c r="AF179" s="274" t="s">
        <v>2192</v>
      </c>
      <c r="AG179" s="274" t="s">
        <v>775</v>
      </c>
      <c r="AH179" s="274" t="s">
        <v>2197</v>
      </c>
      <c r="AI179" s="274" t="s">
        <v>89</v>
      </c>
      <c r="AJ179" s="281">
        <v>810201</v>
      </c>
      <c r="AK179" s="281" t="s">
        <v>1937</v>
      </c>
      <c r="AL179" s="281" t="s">
        <v>1766</v>
      </c>
      <c r="AM179" s="281" t="s">
        <v>2</v>
      </c>
      <c r="AN179" s="281" t="s">
        <v>422</v>
      </c>
      <c r="AO179" s="281" t="s">
        <v>2106</v>
      </c>
      <c r="AP179" s="281" t="s">
        <v>2</v>
      </c>
      <c r="AQ179" s="302" t="s">
        <v>2</v>
      </c>
    </row>
    <row r="180" spans="1:43" ht="15" customHeight="1">
      <c r="A180" s="90"/>
      <c r="B180" s="84"/>
      <c r="C180" s="91"/>
      <c r="D180" s="301">
        <v>29882</v>
      </c>
      <c r="E180" s="283">
        <v>868198</v>
      </c>
      <c r="F180" s="273">
        <v>17088</v>
      </c>
      <c r="G180" s="274" t="s">
        <v>1592</v>
      </c>
      <c r="H180" s="274" t="s">
        <v>415</v>
      </c>
      <c r="I180" s="274" t="s">
        <v>9</v>
      </c>
      <c r="J180" s="274" t="s">
        <v>398</v>
      </c>
      <c r="K180" s="275">
        <v>0.39583333333333331</v>
      </c>
      <c r="L180" s="275">
        <v>0.73749999999999993</v>
      </c>
      <c r="M180" s="275">
        <v>0.34166666666666662</v>
      </c>
      <c r="N180" s="275">
        <v>0.52083333333333337</v>
      </c>
      <c r="O180" s="275">
        <v>0.58333333333333337</v>
      </c>
      <c r="P180" s="275">
        <v>0.67361111111111116</v>
      </c>
      <c r="Q180" s="276">
        <v>41983</v>
      </c>
      <c r="R180" s="284" t="s">
        <v>2</v>
      </c>
      <c r="S180" s="276">
        <v>42009</v>
      </c>
      <c r="T180" s="284" t="s">
        <v>2</v>
      </c>
      <c r="U180" s="274" t="s">
        <v>707</v>
      </c>
      <c r="V180" s="276">
        <v>42191</v>
      </c>
      <c r="W180" s="276">
        <v>42191</v>
      </c>
      <c r="X180" s="276" t="s">
        <v>2</v>
      </c>
      <c r="Y180" s="274" t="s">
        <v>1438</v>
      </c>
      <c r="Z180" s="274" t="s">
        <v>2</v>
      </c>
      <c r="AA180" s="274" t="s">
        <v>2</v>
      </c>
      <c r="AB180" s="276" t="s">
        <v>2</v>
      </c>
      <c r="AC180" s="274" t="s">
        <v>2</v>
      </c>
      <c r="AD180" s="274" t="s">
        <v>2182</v>
      </c>
      <c r="AE180" s="276"/>
      <c r="AF180" s="274" t="s">
        <v>2195</v>
      </c>
      <c r="AG180" s="274" t="s">
        <v>775</v>
      </c>
      <c r="AH180" s="274" t="s">
        <v>2197</v>
      </c>
      <c r="AI180" s="274" t="s">
        <v>89</v>
      </c>
      <c r="AJ180" s="281">
        <v>810225</v>
      </c>
      <c r="AK180" s="281" t="s">
        <v>1938</v>
      </c>
      <c r="AL180" s="281" t="s">
        <v>1767</v>
      </c>
      <c r="AM180" s="281" t="s">
        <v>2</v>
      </c>
      <c r="AN180" s="281" t="s">
        <v>422</v>
      </c>
      <c r="AO180" s="281" t="s">
        <v>2107</v>
      </c>
      <c r="AP180" s="281" t="s">
        <v>2</v>
      </c>
      <c r="AQ180" s="302" t="s">
        <v>2</v>
      </c>
    </row>
    <row r="181" spans="1:43" ht="15" customHeight="1">
      <c r="A181" s="90"/>
      <c r="B181" s="84"/>
      <c r="C181" s="91"/>
      <c r="D181" s="301">
        <v>17863</v>
      </c>
      <c r="E181" s="283">
        <v>732290</v>
      </c>
      <c r="F181" s="273">
        <v>17083</v>
      </c>
      <c r="G181" s="274" t="s">
        <v>1593</v>
      </c>
      <c r="H181" s="274" t="s">
        <v>419</v>
      </c>
      <c r="I181" s="274" t="s">
        <v>9</v>
      </c>
      <c r="J181" s="274" t="s">
        <v>398</v>
      </c>
      <c r="K181" s="275">
        <v>0.57500000000000007</v>
      </c>
      <c r="L181" s="275">
        <v>0.91666666666666663</v>
      </c>
      <c r="M181" s="275">
        <v>0.34166666666666656</v>
      </c>
      <c r="N181" s="275">
        <v>0.63888888888888895</v>
      </c>
      <c r="O181" s="275">
        <v>0.6875</v>
      </c>
      <c r="P181" s="275">
        <v>0.86805555555555547</v>
      </c>
      <c r="Q181" s="276">
        <v>40711</v>
      </c>
      <c r="R181" s="284" t="s">
        <v>2</v>
      </c>
      <c r="S181" s="276">
        <v>40734</v>
      </c>
      <c r="T181" s="284" t="s">
        <v>2</v>
      </c>
      <c r="U181" s="274" t="s">
        <v>707</v>
      </c>
      <c r="V181" s="276">
        <v>42185</v>
      </c>
      <c r="W181" s="276">
        <v>42188</v>
      </c>
      <c r="X181" s="276">
        <v>42188</v>
      </c>
      <c r="Y181" s="274" t="s">
        <v>2199</v>
      </c>
      <c r="Z181" s="274" t="s">
        <v>2</v>
      </c>
      <c r="AA181" s="274" t="s">
        <v>2</v>
      </c>
      <c r="AB181" s="276" t="s">
        <v>2</v>
      </c>
      <c r="AC181" s="274" t="s">
        <v>2</v>
      </c>
      <c r="AD181" s="274">
        <v>3811030</v>
      </c>
      <c r="AE181" s="276"/>
      <c r="AF181" s="274" t="s">
        <v>2195</v>
      </c>
      <c r="AG181" s="274" t="s">
        <v>775</v>
      </c>
      <c r="AH181" s="274" t="s">
        <v>2197</v>
      </c>
      <c r="AI181" s="274" t="s">
        <v>89</v>
      </c>
      <c r="AJ181" s="281">
        <v>810140</v>
      </c>
      <c r="AK181" s="281" t="s">
        <v>1939</v>
      </c>
      <c r="AL181" s="281" t="s">
        <v>1768</v>
      </c>
      <c r="AM181" s="281" t="s">
        <v>2</v>
      </c>
      <c r="AN181" s="281" t="s">
        <v>422</v>
      </c>
      <c r="AO181" s="281" t="s">
        <v>2108</v>
      </c>
      <c r="AP181" s="281" t="s">
        <v>2</v>
      </c>
      <c r="AQ181" s="302" t="s">
        <v>1249</v>
      </c>
    </row>
    <row r="182" spans="1:43" ht="15" customHeight="1">
      <c r="A182" s="90"/>
      <c r="B182" s="84"/>
      <c r="C182" s="91"/>
      <c r="D182" s="301">
        <v>30470</v>
      </c>
      <c r="E182" s="283">
        <v>876683</v>
      </c>
      <c r="F182" s="273">
        <v>17072</v>
      </c>
      <c r="G182" s="274" t="s">
        <v>1594</v>
      </c>
      <c r="H182" s="274" t="s">
        <v>420</v>
      </c>
      <c r="I182" s="274" t="s">
        <v>9</v>
      </c>
      <c r="J182" s="274" t="s">
        <v>398</v>
      </c>
      <c r="K182" s="275">
        <v>0.63888888888888895</v>
      </c>
      <c r="L182" s="275">
        <v>0.90277777777777779</v>
      </c>
      <c r="M182" s="275">
        <v>0.26388888888888884</v>
      </c>
      <c r="N182" s="275">
        <v>0.6875</v>
      </c>
      <c r="O182" s="275">
        <v>0.78472222222222221</v>
      </c>
      <c r="P182" s="275">
        <v>0.84027777777777779</v>
      </c>
      <c r="Q182" s="276">
        <v>42079</v>
      </c>
      <c r="R182" s="284" t="s">
        <v>2</v>
      </c>
      <c r="S182" s="276">
        <v>42100</v>
      </c>
      <c r="T182" s="284" t="s">
        <v>2</v>
      </c>
      <c r="U182" s="274" t="s">
        <v>707</v>
      </c>
      <c r="V182" s="276">
        <v>42199</v>
      </c>
      <c r="W182" s="276">
        <v>42199</v>
      </c>
      <c r="X182" s="276" t="s">
        <v>2</v>
      </c>
      <c r="Y182" s="274" t="s">
        <v>1438</v>
      </c>
      <c r="Z182" s="274" t="s">
        <v>2</v>
      </c>
      <c r="AA182" s="274" t="s">
        <v>2</v>
      </c>
      <c r="AB182" s="276" t="s">
        <v>2</v>
      </c>
      <c r="AC182" s="274" t="s">
        <v>2</v>
      </c>
      <c r="AD182" s="274" t="s">
        <v>2183</v>
      </c>
      <c r="AE182" s="276"/>
      <c r="AF182" s="274" t="s">
        <v>2194</v>
      </c>
      <c r="AG182" s="274" t="s">
        <v>775</v>
      </c>
      <c r="AH182" s="274" t="s">
        <v>2197</v>
      </c>
      <c r="AI182" s="274" t="s">
        <v>89</v>
      </c>
      <c r="AJ182" s="281">
        <v>810297</v>
      </c>
      <c r="AK182" s="281" t="s">
        <v>1940</v>
      </c>
      <c r="AL182" s="281" t="s">
        <v>1769</v>
      </c>
      <c r="AM182" s="281" t="s">
        <v>2</v>
      </c>
      <c r="AN182" s="281" t="s">
        <v>422</v>
      </c>
      <c r="AO182" s="281" t="s">
        <v>2109</v>
      </c>
      <c r="AP182" s="281" t="s">
        <v>2</v>
      </c>
      <c r="AQ182" s="302" t="s">
        <v>2</v>
      </c>
    </row>
    <row r="183" spans="1:43" ht="15" customHeight="1">
      <c r="A183" s="90"/>
      <c r="B183" s="84"/>
      <c r="C183" s="91"/>
      <c r="D183" s="301">
        <v>30466</v>
      </c>
      <c r="E183" s="283">
        <v>876679</v>
      </c>
      <c r="F183" s="273">
        <v>12544</v>
      </c>
      <c r="G183" s="274" t="s">
        <v>1595</v>
      </c>
      <c r="H183" s="274" t="s">
        <v>420</v>
      </c>
      <c r="I183" s="274" t="s">
        <v>9</v>
      </c>
      <c r="J183" s="274" t="s">
        <v>398</v>
      </c>
      <c r="K183" s="275">
        <v>0.65277777777777779</v>
      </c>
      <c r="L183" s="275">
        <v>0.91666666666666663</v>
      </c>
      <c r="M183" s="275">
        <v>0.26388888888888884</v>
      </c>
      <c r="N183" s="275">
        <v>0.72916666666666663</v>
      </c>
      <c r="O183" s="275">
        <v>0.80555555555555547</v>
      </c>
      <c r="P183" s="275">
        <v>0.86111111111111116</v>
      </c>
      <c r="Q183" s="276">
        <v>42079</v>
      </c>
      <c r="R183" s="284" t="s">
        <v>2</v>
      </c>
      <c r="S183" s="276">
        <v>42100</v>
      </c>
      <c r="T183" s="284" t="s">
        <v>2</v>
      </c>
      <c r="U183" s="274" t="s">
        <v>707</v>
      </c>
      <c r="V183" s="276">
        <v>42191</v>
      </c>
      <c r="W183" s="276">
        <v>42191</v>
      </c>
      <c r="X183" s="276" t="s">
        <v>2</v>
      </c>
      <c r="Y183" s="274" t="s">
        <v>1438</v>
      </c>
      <c r="Z183" s="274" t="s">
        <v>2</v>
      </c>
      <c r="AA183" s="274" t="s">
        <v>2</v>
      </c>
      <c r="AB183" s="276" t="s">
        <v>2</v>
      </c>
      <c r="AC183" s="274" t="s">
        <v>2</v>
      </c>
      <c r="AD183" s="274" t="s">
        <v>2184</v>
      </c>
      <c r="AE183" s="276"/>
      <c r="AF183" s="274" t="s">
        <v>2192</v>
      </c>
      <c r="AG183" s="274" t="s">
        <v>775</v>
      </c>
      <c r="AH183" s="274" t="s">
        <v>2197</v>
      </c>
      <c r="AI183" s="274" t="s">
        <v>89</v>
      </c>
      <c r="AJ183" s="281">
        <v>810289</v>
      </c>
      <c r="AK183" s="281" t="s">
        <v>1941</v>
      </c>
      <c r="AL183" s="281" t="s">
        <v>1770</v>
      </c>
      <c r="AM183" s="281" t="s">
        <v>2</v>
      </c>
      <c r="AN183" s="281" t="s">
        <v>422</v>
      </c>
      <c r="AO183" s="281" t="s">
        <v>2110</v>
      </c>
      <c r="AP183" s="281" t="s">
        <v>1249</v>
      </c>
      <c r="AQ183" s="302" t="s">
        <v>2</v>
      </c>
    </row>
    <row r="184" spans="1:43" ht="15" customHeight="1">
      <c r="A184" s="90"/>
      <c r="B184" s="84"/>
      <c r="C184" s="91"/>
      <c r="D184" s="301">
        <v>30605</v>
      </c>
      <c r="E184" s="283">
        <v>879247</v>
      </c>
      <c r="F184" s="273">
        <v>17004</v>
      </c>
      <c r="G184" s="274" t="s">
        <v>1596</v>
      </c>
      <c r="H184" s="274" t="s">
        <v>421</v>
      </c>
      <c r="I184" s="274" t="s">
        <v>9</v>
      </c>
      <c r="J184" s="274" t="s">
        <v>398</v>
      </c>
      <c r="K184" s="275">
        <v>0.375</v>
      </c>
      <c r="L184" s="275">
        <v>0.63888888888888895</v>
      </c>
      <c r="M184" s="275">
        <v>0.26388888888888895</v>
      </c>
      <c r="N184" s="275">
        <v>0.4375</v>
      </c>
      <c r="O184" s="275">
        <v>0.51388888888888895</v>
      </c>
      <c r="P184" s="275">
        <v>0.57638888888888895</v>
      </c>
      <c r="Q184" s="276">
        <v>42107</v>
      </c>
      <c r="R184" s="284" t="s">
        <v>2</v>
      </c>
      <c r="S184" s="276">
        <v>42128</v>
      </c>
      <c r="T184" s="284" t="s">
        <v>2</v>
      </c>
      <c r="U184" s="274" t="s">
        <v>708</v>
      </c>
      <c r="V184" s="276">
        <v>42195</v>
      </c>
      <c r="W184" s="276">
        <v>42195</v>
      </c>
      <c r="X184" s="276" t="s">
        <v>2</v>
      </c>
      <c r="Y184" s="274" t="s">
        <v>2199</v>
      </c>
      <c r="Z184" s="274" t="s">
        <v>2</v>
      </c>
      <c r="AA184" s="274" t="s">
        <v>2</v>
      </c>
      <c r="AB184" s="276" t="s">
        <v>2</v>
      </c>
      <c r="AC184" s="274" t="s">
        <v>2</v>
      </c>
      <c r="AD184" s="274">
        <v>6766361</v>
      </c>
      <c r="AE184" s="276"/>
      <c r="AF184" s="274" t="s">
        <v>2193</v>
      </c>
      <c r="AG184" s="274" t="s">
        <v>775</v>
      </c>
      <c r="AH184" s="274" t="s">
        <v>2197</v>
      </c>
      <c r="AI184" s="274" t="s">
        <v>89</v>
      </c>
      <c r="AJ184" s="281">
        <v>810321</v>
      </c>
      <c r="AK184" s="281" t="s">
        <v>1942</v>
      </c>
      <c r="AL184" s="281" t="s">
        <v>1771</v>
      </c>
      <c r="AM184" s="281" t="s">
        <v>2</v>
      </c>
      <c r="AN184" s="281" t="s">
        <v>422</v>
      </c>
      <c r="AO184" s="281" t="s">
        <v>2111</v>
      </c>
      <c r="AP184" s="281" t="s">
        <v>2</v>
      </c>
      <c r="AQ184" s="302" t="s">
        <v>2</v>
      </c>
    </row>
    <row r="185" spans="1:43" ht="15" customHeight="1">
      <c r="A185" s="90"/>
      <c r="B185" s="84"/>
      <c r="C185" s="91"/>
      <c r="D185" s="301">
        <v>29923</v>
      </c>
      <c r="E185" s="283">
        <v>869827</v>
      </c>
      <c r="F185" s="273">
        <v>17117</v>
      </c>
      <c r="G185" s="274" t="s">
        <v>1597</v>
      </c>
      <c r="H185" s="274" t="s">
        <v>421</v>
      </c>
      <c r="I185" s="274" t="s">
        <v>9</v>
      </c>
      <c r="J185" s="274" t="s">
        <v>398</v>
      </c>
      <c r="K185" s="275">
        <v>0.39583333333333331</v>
      </c>
      <c r="L185" s="275">
        <v>0.73749999999999993</v>
      </c>
      <c r="M185" s="275">
        <v>0.34166666666666662</v>
      </c>
      <c r="N185" s="275">
        <v>0.52777777777777779</v>
      </c>
      <c r="O185" s="275">
        <v>0.58333333333333337</v>
      </c>
      <c r="P185" s="275">
        <v>0.67361111111111116</v>
      </c>
      <c r="Q185" s="276">
        <v>42010</v>
      </c>
      <c r="R185" s="284" t="s">
        <v>2</v>
      </c>
      <c r="S185" s="276">
        <v>42036</v>
      </c>
      <c r="T185" s="284" t="s">
        <v>2</v>
      </c>
      <c r="U185" s="274" t="s">
        <v>707</v>
      </c>
      <c r="V185" s="276">
        <v>42191</v>
      </c>
      <c r="W185" s="276">
        <v>42191</v>
      </c>
      <c r="X185" s="276" t="s">
        <v>2</v>
      </c>
      <c r="Y185" s="274" t="s">
        <v>1438</v>
      </c>
      <c r="Z185" s="274" t="s">
        <v>2</v>
      </c>
      <c r="AA185" s="274" t="s">
        <v>2</v>
      </c>
      <c r="AB185" s="276" t="s">
        <v>2</v>
      </c>
      <c r="AC185" s="274" t="s">
        <v>2</v>
      </c>
      <c r="AD185" s="274">
        <v>9390800</v>
      </c>
      <c r="AE185" s="276"/>
      <c r="AF185" s="274" t="s">
        <v>2190</v>
      </c>
      <c r="AG185" s="274" t="s">
        <v>775</v>
      </c>
      <c r="AH185" s="274" t="s">
        <v>2197</v>
      </c>
      <c r="AI185" s="274" t="s">
        <v>89</v>
      </c>
      <c r="AJ185" s="281">
        <v>810224</v>
      </c>
      <c r="AK185" s="281" t="s">
        <v>1943</v>
      </c>
      <c r="AL185" s="281" t="s">
        <v>1772</v>
      </c>
      <c r="AM185" s="281" t="s">
        <v>2</v>
      </c>
      <c r="AN185" s="281" t="s">
        <v>422</v>
      </c>
      <c r="AO185" s="281" t="s">
        <v>2112</v>
      </c>
      <c r="AP185" s="281" t="s">
        <v>2</v>
      </c>
      <c r="AQ185" s="302" t="s">
        <v>2</v>
      </c>
    </row>
    <row r="186" spans="1:43" ht="15" customHeight="1">
      <c r="A186" s="90"/>
      <c r="B186" s="84"/>
      <c r="C186" s="91"/>
      <c r="D186" s="301">
        <v>29314</v>
      </c>
      <c r="E186" s="283">
        <v>858692</v>
      </c>
      <c r="F186" s="273">
        <v>17016</v>
      </c>
      <c r="G186" s="274" t="s">
        <v>1598</v>
      </c>
      <c r="H186" s="274" t="s">
        <v>421</v>
      </c>
      <c r="I186" s="274" t="s">
        <v>9</v>
      </c>
      <c r="J186" s="274" t="s">
        <v>398</v>
      </c>
      <c r="K186" s="275">
        <v>0.41666666666666669</v>
      </c>
      <c r="L186" s="275">
        <v>0.7583333333333333</v>
      </c>
      <c r="M186" s="275">
        <v>0.34166666666666662</v>
      </c>
      <c r="N186" s="275">
        <v>0.5</v>
      </c>
      <c r="O186" s="275">
        <v>0.5625</v>
      </c>
      <c r="P186" s="275">
        <v>0.68055555555555547</v>
      </c>
      <c r="Q186" s="276">
        <v>41918</v>
      </c>
      <c r="R186" s="284" t="s">
        <v>2</v>
      </c>
      <c r="S186" s="276">
        <v>41944</v>
      </c>
      <c r="T186" s="284" t="s">
        <v>2</v>
      </c>
      <c r="U186" s="274" t="s">
        <v>707</v>
      </c>
      <c r="V186" s="276">
        <v>42188</v>
      </c>
      <c r="W186" s="276">
        <v>42188</v>
      </c>
      <c r="X186" s="276" t="s">
        <v>2</v>
      </c>
      <c r="Y186" s="274" t="s">
        <v>2198</v>
      </c>
      <c r="Z186" s="274" t="s">
        <v>2</v>
      </c>
      <c r="AA186" s="274" t="s">
        <v>2</v>
      </c>
      <c r="AB186" s="276" t="s">
        <v>2</v>
      </c>
      <c r="AC186" s="274" t="s">
        <v>2</v>
      </c>
      <c r="AD186" s="274" t="s">
        <v>2185</v>
      </c>
      <c r="AE186" s="276"/>
      <c r="AF186" s="274" t="s">
        <v>2193</v>
      </c>
      <c r="AG186" s="274" t="s">
        <v>775</v>
      </c>
      <c r="AH186" s="274" t="s">
        <v>2197</v>
      </c>
      <c r="AI186" s="274" t="s">
        <v>89</v>
      </c>
      <c r="AJ186" s="281">
        <v>810185</v>
      </c>
      <c r="AK186" s="281" t="s">
        <v>1944</v>
      </c>
      <c r="AL186" s="281" t="s">
        <v>1773</v>
      </c>
      <c r="AM186" s="281" t="s">
        <v>2</v>
      </c>
      <c r="AN186" s="281" t="s">
        <v>422</v>
      </c>
      <c r="AO186" s="281" t="s">
        <v>2113</v>
      </c>
      <c r="AP186" s="281" t="s">
        <v>2</v>
      </c>
      <c r="AQ186" s="302" t="s">
        <v>2</v>
      </c>
    </row>
    <row r="187" spans="1:43" ht="15" customHeight="1">
      <c r="A187" s="90"/>
      <c r="B187" s="84"/>
      <c r="C187" s="91"/>
      <c r="D187" s="301">
        <v>17782</v>
      </c>
      <c r="E187" s="283">
        <v>732100</v>
      </c>
      <c r="F187" s="273">
        <v>12902</v>
      </c>
      <c r="G187" s="274" t="s">
        <v>1599</v>
      </c>
      <c r="H187" s="274" t="s">
        <v>424</v>
      </c>
      <c r="I187" s="274" t="s">
        <v>9</v>
      </c>
      <c r="J187" s="274" t="s">
        <v>401</v>
      </c>
      <c r="K187" s="275">
        <v>0.375</v>
      </c>
      <c r="L187" s="275">
        <v>0.71666666666666667</v>
      </c>
      <c r="M187" s="275">
        <v>0.34166666666666667</v>
      </c>
      <c r="N187" s="275" t="s">
        <v>2</v>
      </c>
      <c r="O187" s="275" t="s">
        <v>2</v>
      </c>
      <c r="P187" s="275" t="s">
        <v>2</v>
      </c>
      <c r="Q187" s="276">
        <v>40711</v>
      </c>
      <c r="R187" s="284" t="s">
        <v>2</v>
      </c>
      <c r="S187" s="276">
        <v>40734</v>
      </c>
      <c r="T187" s="284" t="s">
        <v>2</v>
      </c>
      <c r="U187" s="274" t="s">
        <v>707</v>
      </c>
      <c r="V187" s="276">
        <v>42193</v>
      </c>
      <c r="W187" s="276">
        <v>42193</v>
      </c>
      <c r="X187" s="276" t="s">
        <v>2</v>
      </c>
      <c r="Y187" s="274" t="s">
        <v>1438</v>
      </c>
      <c r="Z187" s="274" t="s">
        <v>2</v>
      </c>
      <c r="AA187" s="274" t="s">
        <v>2</v>
      </c>
      <c r="AB187" s="276" t="s">
        <v>2</v>
      </c>
      <c r="AC187" s="274" t="s">
        <v>2</v>
      </c>
      <c r="AD187" s="274">
        <v>7400000</v>
      </c>
      <c r="AE187" s="276"/>
      <c r="AF187" s="274" t="s">
        <v>2196</v>
      </c>
      <c r="AG187" s="274" t="s">
        <v>775</v>
      </c>
      <c r="AH187" s="274" t="s">
        <v>2197</v>
      </c>
      <c r="AI187" s="274" t="s">
        <v>89</v>
      </c>
      <c r="AJ187" s="281" t="s">
        <v>2</v>
      </c>
      <c r="AK187" s="281" t="s">
        <v>1945</v>
      </c>
      <c r="AL187" s="281" t="s">
        <v>1774</v>
      </c>
      <c r="AM187" s="281" t="s">
        <v>2</v>
      </c>
      <c r="AN187" s="281" t="s">
        <v>2</v>
      </c>
      <c r="AO187" s="281" t="s">
        <v>2114</v>
      </c>
      <c r="AP187" s="281" t="s">
        <v>1249</v>
      </c>
      <c r="AQ187" s="302" t="s">
        <v>2</v>
      </c>
    </row>
    <row r="188" spans="1:43" ht="15" customHeight="1">
      <c r="A188" s="90"/>
      <c r="B188" s="84"/>
      <c r="C188" s="91"/>
      <c r="D188" s="301">
        <v>21857</v>
      </c>
      <c r="E188" s="283">
        <v>768778</v>
      </c>
      <c r="F188" s="273">
        <v>12753</v>
      </c>
      <c r="G188" s="274" t="s">
        <v>1600</v>
      </c>
      <c r="H188" s="274" t="s">
        <v>414</v>
      </c>
      <c r="I188" s="274" t="s">
        <v>9</v>
      </c>
      <c r="J188" s="274" t="s">
        <v>403</v>
      </c>
      <c r="K188" s="275">
        <v>0.35416666666666669</v>
      </c>
      <c r="L188" s="275">
        <v>0.6958333333333333</v>
      </c>
      <c r="M188" s="275">
        <v>0.34166666666666662</v>
      </c>
      <c r="N188" s="275">
        <v>0.40277777777777773</v>
      </c>
      <c r="O188" s="275">
        <v>0.49305555555555558</v>
      </c>
      <c r="P188" s="275">
        <v>0.69444444444444453</v>
      </c>
      <c r="Q188" s="276">
        <v>41044</v>
      </c>
      <c r="R188" s="284" t="s">
        <v>2</v>
      </c>
      <c r="S188" s="276">
        <v>41067</v>
      </c>
      <c r="T188" s="284" t="s">
        <v>2</v>
      </c>
      <c r="U188" s="274" t="s">
        <v>707</v>
      </c>
      <c r="V188" s="276">
        <v>42187</v>
      </c>
      <c r="W188" s="276">
        <v>42187</v>
      </c>
      <c r="X188" s="276" t="s">
        <v>2</v>
      </c>
      <c r="Y188" s="274" t="s">
        <v>1438</v>
      </c>
      <c r="Z188" s="274" t="s">
        <v>2</v>
      </c>
      <c r="AA188" s="274" t="s">
        <v>2</v>
      </c>
      <c r="AB188" s="276" t="s">
        <v>2</v>
      </c>
      <c r="AC188" s="274" t="s">
        <v>2</v>
      </c>
      <c r="AD188" s="274">
        <v>6147055</v>
      </c>
      <c r="AE188" s="276"/>
      <c r="AF188" s="274" t="s">
        <v>2193</v>
      </c>
      <c r="AG188" s="274" t="s">
        <v>775</v>
      </c>
      <c r="AH188" s="274" t="s">
        <v>2197</v>
      </c>
      <c r="AI188" s="274" t="s">
        <v>89</v>
      </c>
      <c r="AJ188" s="281">
        <v>810050</v>
      </c>
      <c r="AK188" s="281" t="s">
        <v>1946</v>
      </c>
      <c r="AL188" s="281" t="s">
        <v>1775</v>
      </c>
      <c r="AM188" s="281" t="s">
        <v>2</v>
      </c>
      <c r="AN188" s="281" t="s">
        <v>422</v>
      </c>
      <c r="AO188" s="281" t="s">
        <v>1420</v>
      </c>
      <c r="AP188" s="281" t="s">
        <v>1249</v>
      </c>
      <c r="AQ188" s="302" t="s">
        <v>1249</v>
      </c>
    </row>
    <row r="189" spans="1:43" ht="15" customHeight="1">
      <c r="A189" s="90"/>
      <c r="B189" s="84"/>
      <c r="C189" s="91"/>
      <c r="D189" s="301">
        <v>30687</v>
      </c>
      <c r="E189" s="283">
        <v>882108</v>
      </c>
      <c r="F189" s="273">
        <v>17186</v>
      </c>
      <c r="G189" s="274" t="s">
        <v>1601</v>
      </c>
      <c r="H189" s="274" t="s">
        <v>414</v>
      </c>
      <c r="I189" s="274" t="s">
        <v>9</v>
      </c>
      <c r="J189" s="274" t="s">
        <v>403</v>
      </c>
      <c r="K189" s="275">
        <v>0.375</v>
      </c>
      <c r="L189" s="275">
        <v>0.63888888888888884</v>
      </c>
      <c r="M189" s="275">
        <v>0.26388888888888884</v>
      </c>
      <c r="N189" s="275">
        <v>0.41666666666666669</v>
      </c>
      <c r="O189" s="275">
        <v>0.54166666666666663</v>
      </c>
      <c r="P189" s="275">
        <v>0.59722222222222221</v>
      </c>
      <c r="Q189" s="276">
        <v>42131</v>
      </c>
      <c r="R189" s="284" t="s">
        <v>2</v>
      </c>
      <c r="S189" s="276">
        <v>42156</v>
      </c>
      <c r="T189" s="284" t="s">
        <v>2</v>
      </c>
      <c r="U189" s="274" t="s">
        <v>707</v>
      </c>
      <c r="V189" s="276">
        <v>42201</v>
      </c>
      <c r="W189" s="276">
        <v>42200</v>
      </c>
      <c r="X189" s="276" t="s">
        <v>2</v>
      </c>
      <c r="Y189" s="274" t="s">
        <v>1438</v>
      </c>
      <c r="Z189" s="274" t="s">
        <v>2</v>
      </c>
      <c r="AA189" s="274" t="s">
        <v>2</v>
      </c>
      <c r="AB189" s="276" t="s">
        <v>2</v>
      </c>
      <c r="AC189" s="274" t="s">
        <v>2</v>
      </c>
      <c r="AD189" s="274" t="s">
        <v>2</v>
      </c>
      <c r="AE189" s="276"/>
      <c r="AF189" s="274" t="s">
        <v>2</v>
      </c>
      <c r="AG189" s="274" t="s">
        <v>775</v>
      </c>
      <c r="AH189" s="274" t="s">
        <v>2197</v>
      </c>
      <c r="AI189" s="274" t="s">
        <v>89</v>
      </c>
      <c r="AJ189" s="281">
        <v>810350</v>
      </c>
      <c r="AK189" s="281" t="s">
        <v>1947</v>
      </c>
      <c r="AL189" s="281" t="s">
        <v>1776</v>
      </c>
      <c r="AM189" s="281" t="s">
        <v>2</v>
      </c>
      <c r="AN189" s="281" t="s">
        <v>422</v>
      </c>
      <c r="AO189" s="281" t="s">
        <v>2115</v>
      </c>
      <c r="AP189" s="281" t="s">
        <v>2</v>
      </c>
      <c r="AQ189" s="302" t="s">
        <v>2</v>
      </c>
    </row>
    <row r="190" spans="1:43" ht="15" customHeight="1">
      <c r="A190" s="90"/>
      <c r="B190" s="84"/>
      <c r="C190" s="91"/>
      <c r="D190" s="301">
        <v>30683</v>
      </c>
      <c r="E190" s="283">
        <v>882104</v>
      </c>
      <c r="F190" s="273">
        <v>17171</v>
      </c>
      <c r="G190" s="274" t="s">
        <v>1602</v>
      </c>
      <c r="H190" s="274" t="s">
        <v>422</v>
      </c>
      <c r="I190" s="274" t="s">
        <v>9</v>
      </c>
      <c r="J190" s="274" t="s">
        <v>403</v>
      </c>
      <c r="K190" s="275">
        <v>0.33333333333333331</v>
      </c>
      <c r="L190" s="275">
        <v>0.59722222222222221</v>
      </c>
      <c r="M190" s="275">
        <v>0.2638888888888889</v>
      </c>
      <c r="N190" s="275">
        <v>0.3888888888888889</v>
      </c>
      <c r="O190" s="275">
        <v>0.5</v>
      </c>
      <c r="P190" s="275">
        <v>0.55555555555555558</v>
      </c>
      <c r="Q190" s="276">
        <v>42131</v>
      </c>
      <c r="R190" s="284" t="s">
        <v>2</v>
      </c>
      <c r="S190" s="276">
        <v>42156</v>
      </c>
      <c r="T190" s="284" t="s">
        <v>2</v>
      </c>
      <c r="U190" s="274" t="s">
        <v>707</v>
      </c>
      <c r="V190" s="276">
        <v>42198</v>
      </c>
      <c r="W190" s="276">
        <v>42198</v>
      </c>
      <c r="X190" s="276" t="s">
        <v>2</v>
      </c>
      <c r="Y190" s="274" t="s">
        <v>2</v>
      </c>
      <c r="Z190" s="274" t="s">
        <v>2</v>
      </c>
      <c r="AA190" s="274" t="s">
        <v>2</v>
      </c>
      <c r="AB190" s="276" t="s">
        <v>2</v>
      </c>
      <c r="AC190" s="274" t="s">
        <v>2</v>
      </c>
      <c r="AD190" s="274" t="s">
        <v>2</v>
      </c>
      <c r="AE190" s="276"/>
      <c r="AF190" s="274" t="s">
        <v>2</v>
      </c>
      <c r="AG190" s="274" t="s">
        <v>775</v>
      </c>
      <c r="AH190" s="274" t="s">
        <v>2197</v>
      </c>
      <c r="AI190" s="274" t="s">
        <v>89</v>
      </c>
      <c r="AJ190" s="281">
        <v>810347</v>
      </c>
      <c r="AK190" s="281" t="s">
        <v>1948</v>
      </c>
      <c r="AL190" s="281" t="s">
        <v>1777</v>
      </c>
      <c r="AM190" s="281" t="s">
        <v>2</v>
      </c>
      <c r="AN190" s="281" t="s">
        <v>422</v>
      </c>
      <c r="AO190" s="281" t="s">
        <v>2116</v>
      </c>
      <c r="AP190" s="281" t="s">
        <v>2</v>
      </c>
      <c r="AQ190" s="302" t="s">
        <v>2</v>
      </c>
    </row>
    <row r="191" spans="1:43" ht="15" customHeight="1">
      <c r="A191" s="90"/>
      <c r="B191" s="84"/>
      <c r="C191" s="91"/>
      <c r="D191" s="301">
        <v>15248</v>
      </c>
      <c r="E191" s="283">
        <v>719025</v>
      </c>
      <c r="F191" s="273">
        <v>12402</v>
      </c>
      <c r="G191" s="274" t="s">
        <v>1603</v>
      </c>
      <c r="H191" s="274" t="s">
        <v>422</v>
      </c>
      <c r="I191" s="274" t="s">
        <v>9</v>
      </c>
      <c r="J191" s="274" t="s">
        <v>403</v>
      </c>
      <c r="K191" s="275">
        <v>0.57500000000000007</v>
      </c>
      <c r="L191" s="275">
        <v>0.91666666666666663</v>
      </c>
      <c r="M191" s="275">
        <v>0.34166666666666656</v>
      </c>
      <c r="N191" s="275">
        <v>0.65972222222222221</v>
      </c>
      <c r="O191" s="275">
        <v>0.70833333333333337</v>
      </c>
      <c r="P191" s="275">
        <v>0.875</v>
      </c>
      <c r="Q191" s="276">
        <v>40583</v>
      </c>
      <c r="R191" s="284" t="s">
        <v>2</v>
      </c>
      <c r="S191" s="276">
        <v>40606</v>
      </c>
      <c r="T191" s="284" t="s">
        <v>2</v>
      </c>
      <c r="U191" s="274" t="s">
        <v>707</v>
      </c>
      <c r="V191" s="276">
        <v>42198</v>
      </c>
      <c r="W191" s="276">
        <v>42198</v>
      </c>
      <c r="X191" s="276" t="s">
        <v>2</v>
      </c>
      <c r="Y191" s="274" t="s">
        <v>1438</v>
      </c>
      <c r="Z191" s="274" t="s">
        <v>2</v>
      </c>
      <c r="AA191" s="274" t="s">
        <v>2</v>
      </c>
      <c r="AB191" s="276" t="s">
        <v>2</v>
      </c>
      <c r="AC191" s="274" t="s">
        <v>2</v>
      </c>
      <c r="AD191" s="274">
        <v>3978540</v>
      </c>
      <c r="AE191" s="276"/>
      <c r="AF191" s="274" t="s">
        <v>2195</v>
      </c>
      <c r="AG191" s="274" t="s">
        <v>775</v>
      </c>
      <c r="AH191" s="274" t="s">
        <v>2197</v>
      </c>
      <c r="AI191" s="274" t="s">
        <v>89</v>
      </c>
      <c r="AJ191" s="281">
        <v>810094</v>
      </c>
      <c r="AK191" s="281" t="s">
        <v>1949</v>
      </c>
      <c r="AL191" s="281" t="s">
        <v>1778</v>
      </c>
      <c r="AM191" s="281" t="s">
        <v>2</v>
      </c>
      <c r="AN191" s="281" t="s">
        <v>422</v>
      </c>
      <c r="AO191" s="281" t="s">
        <v>2117</v>
      </c>
      <c r="AP191" s="281" t="s">
        <v>2</v>
      </c>
      <c r="AQ191" s="302" t="s">
        <v>1249</v>
      </c>
    </row>
    <row r="192" spans="1:43" ht="15" customHeight="1">
      <c r="A192" s="90"/>
      <c r="B192" s="84"/>
      <c r="C192" s="91"/>
      <c r="D192" s="301">
        <v>22177</v>
      </c>
      <c r="E192" s="283">
        <v>771004</v>
      </c>
      <c r="F192" s="273">
        <v>17188</v>
      </c>
      <c r="G192" s="274" t="s">
        <v>1604</v>
      </c>
      <c r="H192" s="274" t="s">
        <v>417</v>
      </c>
      <c r="I192" s="274" t="s">
        <v>9</v>
      </c>
      <c r="J192" s="274" t="s">
        <v>403</v>
      </c>
      <c r="K192" s="275">
        <v>0.4916666666666667</v>
      </c>
      <c r="L192" s="275">
        <v>0.83333333333333337</v>
      </c>
      <c r="M192" s="275">
        <v>0.34166666666666667</v>
      </c>
      <c r="N192" s="275">
        <v>0.57638888888888895</v>
      </c>
      <c r="O192" s="275">
        <v>0.66666666666666663</v>
      </c>
      <c r="P192" s="275">
        <v>0.77083333333333337</v>
      </c>
      <c r="Q192" s="276">
        <v>41075</v>
      </c>
      <c r="R192" s="284" t="s">
        <v>2</v>
      </c>
      <c r="S192" s="276">
        <v>41098</v>
      </c>
      <c r="T192" s="284" t="s">
        <v>2</v>
      </c>
      <c r="U192" s="274" t="s">
        <v>707</v>
      </c>
      <c r="V192" s="276">
        <v>42195</v>
      </c>
      <c r="W192" s="276">
        <v>42195</v>
      </c>
      <c r="X192" s="276" t="s">
        <v>2</v>
      </c>
      <c r="Y192" s="274" t="s">
        <v>2199</v>
      </c>
      <c r="Z192" s="274" t="s">
        <v>2</v>
      </c>
      <c r="AA192" s="274" t="s">
        <v>2</v>
      </c>
      <c r="AB192" s="276" t="s">
        <v>2</v>
      </c>
      <c r="AC192" s="274" t="s">
        <v>2</v>
      </c>
      <c r="AD192" s="274">
        <v>2846170</v>
      </c>
      <c r="AE192" s="276"/>
      <c r="AF192" s="274" t="s">
        <v>2189</v>
      </c>
      <c r="AG192" s="274" t="s">
        <v>775</v>
      </c>
      <c r="AH192" s="274" t="s">
        <v>2197</v>
      </c>
      <c r="AI192" s="274" t="s">
        <v>89</v>
      </c>
      <c r="AJ192" s="281">
        <v>810078</v>
      </c>
      <c r="AK192" s="281" t="s">
        <v>1950</v>
      </c>
      <c r="AL192" s="281" t="s">
        <v>1779</v>
      </c>
      <c r="AM192" s="281" t="s">
        <v>2</v>
      </c>
      <c r="AN192" s="281" t="s">
        <v>422</v>
      </c>
      <c r="AO192" s="281" t="s">
        <v>2118</v>
      </c>
      <c r="AP192" s="281" t="s">
        <v>2</v>
      </c>
      <c r="AQ192" s="302" t="s">
        <v>2</v>
      </c>
    </row>
    <row r="193" spans="1:43" ht="15" customHeight="1">
      <c r="A193" s="90"/>
      <c r="B193" s="84"/>
      <c r="C193" s="91"/>
      <c r="D193" s="301">
        <v>29847</v>
      </c>
      <c r="E193" s="283">
        <v>868162</v>
      </c>
      <c r="F193" s="273">
        <v>17028</v>
      </c>
      <c r="G193" s="274" t="s">
        <v>1605</v>
      </c>
      <c r="H193" s="274" t="s">
        <v>417</v>
      </c>
      <c r="I193" s="274" t="s">
        <v>9</v>
      </c>
      <c r="J193" s="274" t="s">
        <v>403</v>
      </c>
      <c r="K193" s="275">
        <v>0.4916666666666667</v>
      </c>
      <c r="L193" s="275">
        <v>0.83333333333333337</v>
      </c>
      <c r="M193" s="275">
        <v>0.34166666666666667</v>
      </c>
      <c r="N193" s="275">
        <v>0.57638888888888895</v>
      </c>
      <c r="O193" s="275">
        <v>0.66666666666666663</v>
      </c>
      <c r="P193" s="275">
        <v>0.77083333333333337</v>
      </c>
      <c r="Q193" s="276">
        <v>41983</v>
      </c>
      <c r="R193" s="284" t="s">
        <v>2</v>
      </c>
      <c r="S193" s="276">
        <v>42009</v>
      </c>
      <c r="T193" s="284" t="s">
        <v>2</v>
      </c>
      <c r="U193" s="274" t="s">
        <v>707</v>
      </c>
      <c r="V193" s="276">
        <v>42187</v>
      </c>
      <c r="W193" s="276">
        <v>42187</v>
      </c>
      <c r="X193" s="276" t="s">
        <v>2</v>
      </c>
      <c r="Y193" s="274" t="s">
        <v>1438</v>
      </c>
      <c r="Z193" s="274" t="s">
        <v>2</v>
      </c>
      <c r="AA193" s="274" t="s">
        <v>2</v>
      </c>
      <c r="AB193" s="276" t="s">
        <v>2</v>
      </c>
      <c r="AC193" s="274" t="s">
        <v>2</v>
      </c>
      <c r="AD193" s="274">
        <v>6600215</v>
      </c>
      <c r="AE193" s="276"/>
      <c r="AF193" s="274" t="s">
        <v>2193</v>
      </c>
      <c r="AG193" s="274" t="s">
        <v>775</v>
      </c>
      <c r="AH193" s="274" t="s">
        <v>2197</v>
      </c>
      <c r="AI193" s="274" t="s">
        <v>89</v>
      </c>
      <c r="AJ193" s="281">
        <v>810257</v>
      </c>
      <c r="AK193" s="281" t="s">
        <v>1951</v>
      </c>
      <c r="AL193" s="281" t="s">
        <v>1780</v>
      </c>
      <c r="AM193" s="281" t="s">
        <v>2</v>
      </c>
      <c r="AN193" s="281" t="s">
        <v>422</v>
      </c>
      <c r="AO193" s="281" t="s">
        <v>2119</v>
      </c>
      <c r="AP193" s="281" t="s">
        <v>2</v>
      </c>
      <c r="AQ193" s="302" t="s">
        <v>2</v>
      </c>
    </row>
    <row r="194" spans="1:43" ht="15" customHeight="1">
      <c r="A194" s="90"/>
      <c r="B194" s="84"/>
      <c r="C194" s="91"/>
      <c r="D194" s="301">
        <v>29849</v>
      </c>
      <c r="E194" s="283">
        <v>868164</v>
      </c>
      <c r="F194" s="273">
        <v>12541</v>
      </c>
      <c r="G194" s="274" t="s">
        <v>1606</v>
      </c>
      <c r="H194" s="274" t="s">
        <v>417</v>
      </c>
      <c r="I194" s="274" t="s">
        <v>9</v>
      </c>
      <c r="J194" s="274" t="s">
        <v>403</v>
      </c>
      <c r="K194" s="275">
        <v>0.57500000000000007</v>
      </c>
      <c r="L194" s="275">
        <v>0.91666666666666663</v>
      </c>
      <c r="M194" s="275">
        <v>0.34166666666666656</v>
      </c>
      <c r="N194" s="275">
        <v>0.61805555555555558</v>
      </c>
      <c r="O194" s="275">
        <v>0.75</v>
      </c>
      <c r="P194" s="275">
        <v>0.86805555555555547</v>
      </c>
      <c r="Q194" s="276">
        <v>41983</v>
      </c>
      <c r="R194" s="284" t="s">
        <v>2</v>
      </c>
      <c r="S194" s="276">
        <v>42009</v>
      </c>
      <c r="T194" s="284" t="s">
        <v>2</v>
      </c>
      <c r="U194" s="274" t="s">
        <v>707</v>
      </c>
      <c r="V194" s="276">
        <v>42205</v>
      </c>
      <c r="W194" s="276">
        <v>42205</v>
      </c>
      <c r="X194" s="276" t="s">
        <v>2</v>
      </c>
      <c r="Y194" s="274" t="s">
        <v>1438</v>
      </c>
      <c r="Z194" s="274" t="s">
        <v>2</v>
      </c>
      <c r="AA194" s="274" t="s">
        <v>2</v>
      </c>
      <c r="AB194" s="276" t="s">
        <v>2</v>
      </c>
      <c r="AC194" s="274" t="s">
        <v>2</v>
      </c>
      <c r="AD194" s="274">
        <v>8575220</v>
      </c>
      <c r="AE194" s="276"/>
      <c r="AF194" s="274" t="s">
        <v>2194</v>
      </c>
      <c r="AG194" s="274" t="s">
        <v>775</v>
      </c>
      <c r="AH194" s="274" t="s">
        <v>2197</v>
      </c>
      <c r="AI194" s="274" t="s">
        <v>89</v>
      </c>
      <c r="AJ194" s="281">
        <v>810269</v>
      </c>
      <c r="AK194" s="281" t="s">
        <v>1952</v>
      </c>
      <c r="AL194" s="281" t="s">
        <v>1781</v>
      </c>
      <c r="AM194" s="281" t="s">
        <v>2</v>
      </c>
      <c r="AN194" s="281" t="s">
        <v>422</v>
      </c>
      <c r="AO194" s="281" t="s">
        <v>2120</v>
      </c>
      <c r="AP194" s="281" t="s">
        <v>1249</v>
      </c>
      <c r="AQ194" s="302" t="s">
        <v>2</v>
      </c>
    </row>
    <row r="195" spans="1:43" ht="15" customHeight="1">
      <c r="A195" s="90"/>
      <c r="B195" s="84"/>
      <c r="C195" s="91"/>
      <c r="D195" s="301">
        <v>30613</v>
      </c>
      <c r="E195" s="283">
        <v>879256</v>
      </c>
      <c r="F195" s="273">
        <v>17079</v>
      </c>
      <c r="G195" s="274" t="s">
        <v>1607</v>
      </c>
      <c r="H195" s="274" t="s">
        <v>422</v>
      </c>
      <c r="I195" s="274" t="s">
        <v>9</v>
      </c>
      <c r="J195" s="274" t="s">
        <v>403</v>
      </c>
      <c r="K195" s="275">
        <v>0.35416666666666669</v>
      </c>
      <c r="L195" s="275">
        <v>0.61805555555555558</v>
      </c>
      <c r="M195" s="275">
        <v>0.2638888888888889</v>
      </c>
      <c r="N195" s="275">
        <v>0.40277777777777773</v>
      </c>
      <c r="O195" s="275">
        <v>0.52083333333333337</v>
      </c>
      <c r="P195" s="275">
        <v>0.57638888888888895</v>
      </c>
      <c r="Q195" s="276">
        <v>42107</v>
      </c>
      <c r="R195" s="284" t="s">
        <v>2</v>
      </c>
      <c r="S195" s="276">
        <v>42128</v>
      </c>
      <c r="T195" s="284" t="s">
        <v>2</v>
      </c>
      <c r="U195" s="274" t="s">
        <v>708</v>
      </c>
      <c r="V195" s="276">
        <v>42194</v>
      </c>
      <c r="W195" s="276">
        <v>42193</v>
      </c>
      <c r="X195" s="276" t="s">
        <v>2</v>
      </c>
      <c r="Y195" s="274" t="s">
        <v>2199</v>
      </c>
      <c r="Z195" s="274" t="s">
        <v>2</v>
      </c>
      <c r="AA195" s="274" t="s">
        <v>2</v>
      </c>
      <c r="AB195" s="276" t="s">
        <v>2</v>
      </c>
      <c r="AC195" s="274" t="s">
        <v>2</v>
      </c>
      <c r="AD195" s="274">
        <v>2652070</v>
      </c>
      <c r="AE195" s="276"/>
      <c r="AF195" s="274" t="s">
        <v>2189</v>
      </c>
      <c r="AG195" s="274" t="s">
        <v>775</v>
      </c>
      <c r="AH195" s="274" t="s">
        <v>2197</v>
      </c>
      <c r="AI195" s="274" t="s">
        <v>89</v>
      </c>
      <c r="AJ195" s="281">
        <v>810344</v>
      </c>
      <c r="AK195" s="281" t="s">
        <v>1953</v>
      </c>
      <c r="AL195" s="281" t="s">
        <v>1782</v>
      </c>
      <c r="AM195" s="281" t="s">
        <v>2</v>
      </c>
      <c r="AN195" s="281" t="s">
        <v>422</v>
      </c>
      <c r="AO195" s="281" t="s">
        <v>2121</v>
      </c>
      <c r="AP195" s="281" t="s">
        <v>2</v>
      </c>
      <c r="AQ195" s="302" t="s">
        <v>2</v>
      </c>
    </row>
    <row r="196" spans="1:43" ht="15" customHeight="1">
      <c r="A196" s="90"/>
      <c r="B196" s="84"/>
      <c r="C196" s="91"/>
      <c r="D196" s="301">
        <v>30611</v>
      </c>
      <c r="E196" s="283">
        <v>879254</v>
      </c>
      <c r="F196" s="273">
        <v>17069</v>
      </c>
      <c r="G196" s="274" t="s">
        <v>1608</v>
      </c>
      <c r="H196" s="274" t="s">
        <v>419</v>
      </c>
      <c r="I196" s="274" t="s">
        <v>9</v>
      </c>
      <c r="J196" s="274" t="s">
        <v>403</v>
      </c>
      <c r="K196" s="275">
        <v>0.65277777777777779</v>
      </c>
      <c r="L196" s="275">
        <v>0.91666666666666663</v>
      </c>
      <c r="M196" s="275">
        <v>0.26388888888888884</v>
      </c>
      <c r="N196" s="275">
        <v>0.70833333333333337</v>
      </c>
      <c r="O196" s="275">
        <v>0.81944444444444453</v>
      </c>
      <c r="P196" s="275">
        <v>0.875</v>
      </c>
      <c r="Q196" s="276">
        <v>42107</v>
      </c>
      <c r="R196" s="284" t="s">
        <v>2</v>
      </c>
      <c r="S196" s="276">
        <v>42128</v>
      </c>
      <c r="T196" s="284" t="s">
        <v>2</v>
      </c>
      <c r="U196" s="274" t="s">
        <v>708</v>
      </c>
      <c r="V196" s="276">
        <v>42198</v>
      </c>
      <c r="W196" s="276">
        <v>42193</v>
      </c>
      <c r="X196" s="276" t="s">
        <v>2</v>
      </c>
      <c r="Y196" s="274" t="s">
        <v>2199</v>
      </c>
      <c r="Z196" s="274" t="s">
        <v>2</v>
      </c>
      <c r="AA196" s="274" t="s">
        <v>2</v>
      </c>
      <c r="AB196" s="276" t="s">
        <v>2</v>
      </c>
      <c r="AC196" s="274" t="s">
        <v>2</v>
      </c>
      <c r="AD196" s="274">
        <v>8539000</v>
      </c>
      <c r="AE196" s="276"/>
      <c r="AF196" s="274" t="s">
        <v>2194</v>
      </c>
      <c r="AG196" s="274" t="s">
        <v>775</v>
      </c>
      <c r="AH196" s="274" t="s">
        <v>2197</v>
      </c>
      <c r="AI196" s="274" t="s">
        <v>89</v>
      </c>
      <c r="AJ196" s="281">
        <v>810343</v>
      </c>
      <c r="AK196" s="281" t="s">
        <v>1954</v>
      </c>
      <c r="AL196" s="281" t="s">
        <v>1783</v>
      </c>
      <c r="AM196" s="281" t="s">
        <v>2</v>
      </c>
      <c r="AN196" s="281" t="s">
        <v>422</v>
      </c>
      <c r="AO196" s="281" t="s">
        <v>2122</v>
      </c>
      <c r="AP196" s="281" t="s">
        <v>2</v>
      </c>
      <c r="AQ196" s="302" t="s">
        <v>2</v>
      </c>
    </row>
    <row r="197" spans="1:43" ht="15" customHeight="1">
      <c r="A197" s="90"/>
      <c r="B197" s="84"/>
      <c r="C197" s="91"/>
      <c r="D197" s="301">
        <v>30688</v>
      </c>
      <c r="E197" s="283">
        <v>882109</v>
      </c>
      <c r="F197" s="273">
        <v>17187</v>
      </c>
      <c r="G197" s="274" t="s">
        <v>1609</v>
      </c>
      <c r="H197" s="274" t="s">
        <v>422</v>
      </c>
      <c r="I197" s="274" t="s">
        <v>9</v>
      </c>
      <c r="J197" s="274" t="s">
        <v>403</v>
      </c>
      <c r="K197" s="275">
        <v>0.35416666666666669</v>
      </c>
      <c r="L197" s="275">
        <v>0.61805555555555558</v>
      </c>
      <c r="M197" s="275">
        <v>0.2638888888888889</v>
      </c>
      <c r="N197" s="275">
        <v>0.40972222222222227</v>
      </c>
      <c r="O197" s="275">
        <v>0.52083333333333337</v>
      </c>
      <c r="P197" s="275">
        <v>0.57638888888888895</v>
      </c>
      <c r="Q197" s="276">
        <v>42131</v>
      </c>
      <c r="R197" s="284" t="s">
        <v>2</v>
      </c>
      <c r="S197" s="276">
        <v>42156</v>
      </c>
      <c r="T197" s="284" t="s">
        <v>2</v>
      </c>
      <c r="U197" s="274" t="s">
        <v>707</v>
      </c>
      <c r="V197" s="276" t="s">
        <v>2</v>
      </c>
      <c r="W197" s="276" t="s">
        <v>2</v>
      </c>
      <c r="X197" s="276" t="s">
        <v>2</v>
      </c>
      <c r="Y197" s="274" t="s">
        <v>2</v>
      </c>
      <c r="Z197" s="274" t="s">
        <v>2</v>
      </c>
      <c r="AA197" s="274" t="s">
        <v>2</v>
      </c>
      <c r="AB197" s="276" t="s">
        <v>2</v>
      </c>
      <c r="AC197" s="274" t="s">
        <v>2</v>
      </c>
      <c r="AD197" s="274" t="s">
        <v>2</v>
      </c>
      <c r="AE197" s="276"/>
      <c r="AF197" s="274" t="s">
        <v>2</v>
      </c>
      <c r="AG197" s="274" t="s">
        <v>775</v>
      </c>
      <c r="AH197" s="274" t="s">
        <v>2197</v>
      </c>
      <c r="AI197" s="274" t="s">
        <v>89</v>
      </c>
      <c r="AJ197" s="281">
        <v>810349</v>
      </c>
      <c r="AK197" s="281" t="s">
        <v>1955</v>
      </c>
      <c r="AL197" s="281" t="s">
        <v>1784</v>
      </c>
      <c r="AM197" s="281" t="s">
        <v>2</v>
      </c>
      <c r="AN197" s="281" t="s">
        <v>422</v>
      </c>
      <c r="AO197" s="281" t="s">
        <v>2123</v>
      </c>
      <c r="AP197" s="281" t="s">
        <v>2</v>
      </c>
      <c r="AQ197" s="302" t="s">
        <v>2</v>
      </c>
    </row>
    <row r="198" spans="1:43" ht="15" customHeight="1">
      <c r="A198" s="90"/>
      <c r="B198" s="84"/>
      <c r="C198" s="91"/>
      <c r="D198" s="301">
        <v>27201</v>
      </c>
      <c r="E198" s="283">
        <v>827426</v>
      </c>
      <c r="F198" s="273">
        <v>12057</v>
      </c>
      <c r="G198" s="274" t="s">
        <v>1610</v>
      </c>
      <c r="H198" s="274" t="s">
        <v>418</v>
      </c>
      <c r="I198" s="274" t="s">
        <v>9</v>
      </c>
      <c r="J198" s="274" t="s">
        <v>403</v>
      </c>
      <c r="K198" s="275">
        <v>0.41666666666666669</v>
      </c>
      <c r="L198" s="275">
        <v>0.7583333333333333</v>
      </c>
      <c r="M198" s="275">
        <v>0.34166666666666662</v>
      </c>
      <c r="N198" s="275">
        <v>0.52083333333333337</v>
      </c>
      <c r="O198" s="275">
        <v>0.58333333333333337</v>
      </c>
      <c r="P198" s="275">
        <v>0.67361111111111116</v>
      </c>
      <c r="Q198" s="276">
        <v>41620</v>
      </c>
      <c r="R198" s="284" t="s">
        <v>2</v>
      </c>
      <c r="S198" s="276">
        <v>41653</v>
      </c>
      <c r="T198" s="284" t="s">
        <v>2</v>
      </c>
      <c r="U198" s="274" t="s">
        <v>707</v>
      </c>
      <c r="V198" s="276" t="s">
        <v>2</v>
      </c>
      <c r="W198" s="276" t="s">
        <v>2</v>
      </c>
      <c r="X198" s="276" t="s">
        <v>2</v>
      </c>
      <c r="Y198" s="274" t="s">
        <v>2</v>
      </c>
      <c r="Z198" s="274" t="s">
        <v>2</v>
      </c>
      <c r="AA198" s="274" t="s">
        <v>2</v>
      </c>
      <c r="AB198" s="276" t="s">
        <v>2</v>
      </c>
      <c r="AC198" s="274" t="s">
        <v>2</v>
      </c>
      <c r="AD198" s="274" t="s">
        <v>2</v>
      </c>
      <c r="AE198" s="276"/>
      <c r="AF198" s="274" t="s">
        <v>2</v>
      </c>
      <c r="AG198" s="274" t="s">
        <v>775</v>
      </c>
      <c r="AH198" s="274" t="s">
        <v>2197</v>
      </c>
      <c r="AI198" s="274" t="s">
        <v>89</v>
      </c>
      <c r="AJ198" s="281">
        <v>810043</v>
      </c>
      <c r="AK198" s="281" t="s">
        <v>1956</v>
      </c>
      <c r="AL198" s="281" t="s">
        <v>1785</v>
      </c>
      <c r="AM198" s="281" t="s">
        <v>2</v>
      </c>
      <c r="AN198" s="281" t="s">
        <v>422</v>
      </c>
      <c r="AO198" s="281" t="s">
        <v>2124</v>
      </c>
      <c r="AP198" s="281" t="s">
        <v>2</v>
      </c>
      <c r="AQ198" s="302" t="s">
        <v>2</v>
      </c>
    </row>
    <row r="199" spans="1:43" ht="15" customHeight="1">
      <c r="A199" s="90"/>
      <c r="B199" s="84"/>
      <c r="C199" s="91"/>
      <c r="D199" s="301">
        <v>29856</v>
      </c>
      <c r="E199" s="283">
        <v>868172</v>
      </c>
      <c r="F199" s="273">
        <v>17070</v>
      </c>
      <c r="G199" s="274" t="s">
        <v>1611</v>
      </c>
      <c r="H199" s="274" t="s">
        <v>417</v>
      </c>
      <c r="I199" s="274" t="s">
        <v>9</v>
      </c>
      <c r="J199" s="274" t="s">
        <v>403</v>
      </c>
      <c r="K199" s="275">
        <v>0.46527777777777773</v>
      </c>
      <c r="L199" s="275">
        <v>0.72916666666666663</v>
      </c>
      <c r="M199" s="275">
        <v>0.2638888888888889</v>
      </c>
      <c r="N199" s="275">
        <v>0.52083333333333337</v>
      </c>
      <c r="O199" s="275">
        <v>0.58333333333333337</v>
      </c>
      <c r="P199" s="275">
        <v>0.6875</v>
      </c>
      <c r="Q199" s="276">
        <v>41983</v>
      </c>
      <c r="R199" s="284" t="s">
        <v>2</v>
      </c>
      <c r="S199" s="276">
        <v>42009</v>
      </c>
      <c r="T199" s="284" t="s">
        <v>2</v>
      </c>
      <c r="U199" s="274" t="s">
        <v>707</v>
      </c>
      <c r="V199" s="276" t="s">
        <v>2</v>
      </c>
      <c r="W199" s="276" t="s">
        <v>2</v>
      </c>
      <c r="X199" s="276" t="s">
        <v>2</v>
      </c>
      <c r="Y199" s="274" t="s">
        <v>2</v>
      </c>
      <c r="Z199" s="274" t="s">
        <v>2</v>
      </c>
      <c r="AA199" s="274" t="s">
        <v>2</v>
      </c>
      <c r="AB199" s="276" t="s">
        <v>2</v>
      </c>
      <c r="AC199" s="274" t="s">
        <v>2</v>
      </c>
      <c r="AD199" s="274">
        <v>2977210</v>
      </c>
      <c r="AE199" s="276"/>
      <c r="AF199" s="274" t="s">
        <v>2189</v>
      </c>
      <c r="AG199" s="274" t="s">
        <v>775</v>
      </c>
      <c r="AH199" s="274" t="s">
        <v>2197</v>
      </c>
      <c r="AI199" s="274" t="s">
        <v>89</v>
      </c>
      <c r="AJ199" s="281">
        <v>810280</v>
      </c>
      <c r="AK199" s="281" t="s">
        <v>1957</v>
      </c>
      <c r="AL199" s="281" t="s">
        <v>1786</v>
      </c>
      <c r="AM199" s="281" t="s">
        <v>2</v>
      </c>
      <c r="AN199" s="281" t="s">
        <v>422</v>
      </c>
      <c r="AO199" s="281" t="s">
        <v>2125</v>
      </c>
      <c r="AP199" s="281" t="s">
        <v>2</v>
      </c>
      <c r="AQ199" s="302" t="s">
        <v>2</v>
      </c>
    </row>
    <row r="200" spans="1:43" ht="15" customHeight="1">
      <c r="A200" s="90"/>
      <c r="B200" s="84"/>
      <c r="C200" s="91"/>
      <c r="D200" s="301">
        <v>29891</v>
      </c>
      <c r="E200" s="283">
        <v>868207</v>
      </c>
      <c r="F200" s="273">
        <v>17027</v>
      </c>
      <c r="G200" s="274" t="s">
        <v>1612</v>
      </c>
      <c r="H200" s="274" t="s">
        <v>415</v>
      </c>
      <c r="I200" s="274" t="s">
        <v>9</v>
      </c>
      <c r="J200" s="274" t="s">
        <v>398</v>
      </c>
      <c r="K200" s="275">
        <v>0.41666666666666669</v>
      </c>
      <c r="L200" s="275">
        <v>0.7583333333333333</v>
      </c>
      <c r="M200" s="275">
        <v>0.34166666666666662</v>
      </c>
      <c r="N200" s="275">
        <v>0.49305555555555558</v>
      </c>
      <c r="O200" s="275">
        <v>0.54166666666666663</v>
      </c>
      <c r="P200" s="275">
        <v>0.67361111111111116</v>
      </c>
      <c r="Q200" s="276">
        <v>41983</v>
      </c>
      <c r="R200" s="284" t="s">
        <v>2</v>
      </c>
      <c r="S200" s="276">
        <v>42009</v>
      </c>
      <c r="T200" s="284" t="s">
        <v>2</v>
      </c>
      <c r="U200" s="274" t="s">
        <v>707</v>
      </c>
      <c r="V200" s="276">
        <v>42212</v>
      </c>
      <c r="W200" s="276">
        <v>42212</v>
      </c>
      <c r="X200" s="276" t="s">
        <v>2</v>
      </c>
      <c r="Y200" s="274" t="s">
        <v>1438</v>
      </c>
      <c r="Z200" s="274" t="s">
        <v>2</v>
      </c>
      <c r="AA200" s="274" t="s">
        <v>2</v>
      </c>
      <c r="AB200" s="276" t="s">
        <v>2</v>
      </c>
      <c r="AC200" s="274" t="s">
        <v>2</v>
      </c>
      <c r="AD200" s="274" t="s">
        <v>2186</v>
      </c>
      <c r="AE200" s="276"/>
      <c r="AF200" s="274" t="s">
        <v>2192</v>
      </c>
      <c r="AG200" s="274" t="s">
        <v>775</v>
      </c>
      <c r="AH200" s="274" t="s">
        <v>2197</v>
      </c>
      <c r="AI200" s="274" t="s">
        <v>89</v>
      </c>
      <c r="AJ200" s="281">
        <v>810203</v>
      </c>
      <c r="AK200" s="281" t="s">
        <v>1958</v>
      </c>
      <c r="AL200" s="281" t="s">
        <v>1787</v>
      </c>
      <c r="AM200" s="281" t="s">
        <v>2</v>
      </c>
      <c r="AN200" s="281" t="s">
        <v>422</v>
      </c>
      <c r="AO200" s="281" t="s">
        <v>2126</v>
      </c>
      <c r="AP200" s="281" t="s">
        <v>2</v>
      </c>
      <c r="AQ200" s="302" t="s">
        <v>2</v>
      </c>
    </row>
    <row r="201" spans="1:43" ht="15" customHeight="1">
      <c r="A201" s="90"/>
      <c r="B201" s="84"/>
      <c r="C201" s="91"/>
      <c r="D201" s="301">
        <v>30451</v>
      </c>
      <c r="E201" s="283">
        <v>876656</v>
      </c>
      <c r="F201" s="273">
        <v>17071</v>
      </c>
      <c r="G201" s="274" t="s">
        <v>1613</v>
      </c>
      <c r="H201" s="274" t="s">
        <v>416</v>
      </c>
      <c r="I201" s="274" t="s">
        <v>9</v>
      </c>
      <c r="J201" s="274" t="s">
        <v>398</v>
      </c>
      <c r="K201" s="275">
        <v>0.33333333333333331</v>
      </c>
      <c r="L201" s="275">
        <v>0.59722222222222221</v>
      </c>
      <c r="M201" s="275">
        <v>0.2638888888888889</v>
      </c>
      <c r="N201" s="275">
        <v>0.375</v>
      </c>
      <c r="O201" s="275">
        <v>0.5</v>
      </c>
      <c r="P201" s="275">
        <v>0.54861111111111105</v>
      </c>
      <c r="Q201" s="276">
        <v>42079</v>
      </c>
      <c r="R201" s="284" t="s">
        <v>2</v>
      </c>
      <c r="S201" s="276">
        <v>42100</v>
      </c>
      <c r="T201" s="284" t="s">
        <v>2</v>
      </c>
      <c r="U201" s="274" t="s">
        <v>707</v>
      </c>
      <c r="V201" s="276">
        <v>42206</v>
      </c>
      <c r="W201" s="276">
        <v>42205</v>
      </c>
      <c r="X201" s="276" t="s">
        <v>2</v>
      </c>
      <c r="Y201" s="274" t="s">
        <v>1438</v>
      </c>
      <c r="Z201" s="274" t="s">
        <v>2</v>
      </c>
      <c r="AA201" s="274" t="s">
        <v>2</v>
      </c>
      <c r="AB201" s="276" t="s">
        <v>2</v>
      </c>
      <c r="AC201" s="274" t="s">
        <v>2</v>
      </c>
      <c r="AD201" s="274" t="s">
        <v>2187</v>
      </c>
      <c r="AE201" s="276"/>
      <c r="AF201" s="274" t="s">
        <v>2190</v>
      </c>
      <c r="AG201" s="274" t="s">
        <v>775</v>
      </c>
      <c r="AH201" s="274" t="s">
        <v>2197</v>
      </c>
      <c r="AI201" s="274" t="s">
        <v>89</v>
      </c>
      <c r="AJ201" s="281">
        <v>810296</v>
      </c>
      <c r="AK201" s="281" t="s">
        <v>1959</v>
      </c>
      <c r="AL201" s="281" t="s">
        <v>1788</v>
      </c>
      <c r="AM201" s="281" t="s">
        <v>2</v>
      </c>
      <c r="AN201" s="281" t="s">
        <v>422</v>
      </c>
      <c r="AO201" s="281" t="s">
        <v>2127</v>
      </c>
      <c r="AP201" s="281" t="s">
        <v>2</v>
      </c>
      <c r="AQ201" s="302" t="s">
        <v>2</v>
      </c>
    </row>
    <row r="202" spans="1:43" ht="15" customHeight="1">
      <c r="A202" s="90"/>
      <c r="B202" s="84"/>
      <c r="C202" s="91"/>
      <c r="D202" s="301">
        <v>17853</v>
      </c>
      <c r="E202" s="283">
        <v>732246</v>
      </c>
      <c r="F202" s="273">
        <v>12568</v>
      </c>
      <c r="G202" s="274" t="s">
        <v>113</v>
      </c>
      <c r="H202" s="274" t="s">
        <v>409</v>
      </c>
      <c r="I202" s="274" t="s">
        <v>9</v>
      </c>
      <c r="J202" s="274" t="s">
        <v>392</v>
      </c>
      <c r="K202" s="275">
        <v>0.3888888888888889</v>
      </c>
      <c r="L202" s="275">
        <v>0.65277777777777779</v>
      </c>
      <c r="M202" s="275">
        <v>0.2638888888888889</v>
      </c>
      <c r="N202" s="275">
        <v>0.43055555555555558</v>
      </c>
      <c r="O202" s="275">
        <v>0.49305555555555558</v>
      </c>
      <c r="P202" s="275">
        <v>0.57638888888888895</v>
      </c>
      <c r="Q202" s="276">
        <v>40711</v>
      </c>
      <c r="R202" s="284" t="s">
        <v>2</v>
      </c>
      <c r="S202" s="276">
        <v>40734</v>
      </c>
      <c r="T202" s="284" t="s">
        <v>2</v>
      </c>
      <c r="U202" s="274" t="s">
        <v>707</v>
      </c>
      <c r="V202" s="276">
        <v>42216</v>
      </c>
      <c r="W202" s="276">
        <v>42216</v>
      </c>
      <c r="X202" s="276" t="s">
        <v>2</v>
      </c>
      <c r="Y202" s="274" t="s">
        <v>2199</v>
      </c>
      <c r="Z202" s="274" t="s">
        <v>2</v>
      </c>
      <c r="AA202" s="274" t="s">
        <v>2</v>
      </c>
      <c r="AB202" s="276" t="s">
        <v>2</v>
      </c>
      <c r="AC202" s="274" t="s">
        <v>2</v>
      </c>
      <c r="AD202" s="274">
        <v>2737090</v>
      </c>
      <c r="AE202" s="276"/>
      <c r="AF202" s="274" t="s">
        <v>2189</v>
      </c>
      <c r="AG202" s="274" t="s">
        <v>775</v>
      </c>
      <c r="AH202" s="274" t="s">
        <v>2197</v>
      </c>
      <c r="AI202" s="274" t="s">
        <v>89</v>
      </c>
      <c r="AJ202" s="281">
        <v>810015</v>
      </c>
      <c r="AK202" s="281" t="s">
        <v>800</v>
      </c>
      <c r="AL202" s="281" t="s">
        <v>448</v>
      </c>
      <c r="AM202" s="281" t="s">
        <v>2</v>
      </c>
      <c r="AN202" s="281" t="s">
        <v>2</v>
      </c>
      <c r="AO202" s="281" t="s">
        <v>1090</v>
      </c>
      <c r="AP202" s="281" t="s">
        <v>1249</v>
      </c>
      <c r="AQ202" s="302" t="s">
        <v>1249</v>
      </c>
    </row>
    <row r="203" spans="1:43" ht="15" customHeight="1">
      <c r="A203" s="90"/>
      <c r="B203" s="84"/>
      <c r="C203" s="91"/>
      <c r="D203" s="301">
        <v>28086</v>
      </c>
      <c r="E203" s="283">
        <v>836289</v>
      </c>
      <c r="F203" s="273">
        <v>12815</v>
      </c>
      <c r="G203" s="274" t="s">
        <v>343</v>
      </c>
      <c r="H203" s="274" t="s">
        <v>418</v>
      </c>
      <c r="I203" s="274" t="s">
        <v>9</v>
      </c>
      <c r="J203" s="274" t="s">
        <v>403</v>
      </c>
      <c r="K203" s="275">
        <v>0.375</v>
      </c>
      <c r="L203" s="275">
        <v>0.63888888888888884</v>
      </c>
      <c r="M203" s="275">
        <v>0.26388888888888884</v>
      </c>
      <c r="N203" s="275">
        <v>0.4513888888888889</v>
      </c>
      <c r="O203" s="275">
        <v>0.52777777777777779</v>
      </c>
      <c r="P203" s="275">
        <v>0.59027777777777779</v>
      </c>
      <c r="Q203" s="276">
        <v>41731</v>
      </c>
      <c r="R203" s="284" t="s">
        <v>2</v>
      </c>
      <c r="S203" s="276">
        <v>41762</v>
      </c>
      <c r="T203" s="284" t="s">
        <v>2</v>
      </c>
      <c r="U203" s="274" t="s">
        <v>707</v>
      </c>
      <c r="V203" s="276">
        <v>42215</v>
      </c>
      <c r="W203" s="276">
        <v>42215</v>
      </c>
      <c r="X203" s="276" t="s">
        <v>2</v>
      </c>
      <c r="Y203" s="274" t="s">
        <v>1438</v>
      </c>
      <c r="Z203" s="274" t="s">
        <v>2</v>
      </c>
      <c r="AA203" s="274" t="s">
        <v>2</v>
      </c>
      <c r="AB203" s="276" t="s">
        <v>2</v>
      </c>
      <c r="AC203" s="274" t="s">
        <v>2</v>
      </c>
      <c r="AD203" s="274" t="s">
        <v>2</v>
      </c>
      <c r="AE203" s="276"/>
      <c r="AF203" s="274" t="s">
        <v>2</v>
      </c>
      <c r="AG203" s="274" t="s">
        <v>775</v>
      </c>
      <c r="AH203" s="274" t="s">
        <v>2197</v>
      </c>
      <c r="AI203" s="274" t="s">
        <v>89</v>
      </c>
      <c r="AJ203" s="281">
        <v>810041</v>
      </c>
      <c r="AK203" s="281" t="s">
        <v>1021</v>
      </c>
      <c r="AL203" s="281" t="s">
        <v>670</v>
      </c>
      <c r="AM203" s="281" t="s">
        <v>2</v>
      </c>
      <c r="AN203" s="281" t="s">
        <v>422</v>
      </c>
      <c r="AO203" s="281" t="s">
        <v>1205</v>
      </c>
      <c r="AP203" s="281" t="s">
        <v>2</v>
      </c>
      <c r="AQ203" s="302" t="s">
        <v>2</v>
      </c>
    </row>
    <row r="204" spans="1:43" ht="15" customHeight="1">
      <c r="A204" s="90"/>
      <c r="B204" s="84"/>
      <c r="C204" s="91"/>
      <c r="D204" s="301">
        <v>29199</v>
      </c>
      <c r="E204" s="283">
        <v>854901</v>
      </c>
      <c r="F204" s="273">
        <v>12003</v>
      </c>
      <c r="G204" s="274" t="s">
        <v>348</v>
      </c>
      <c r="H204" s="274" t="s">
        <v>418</v>
      </c>
      <c r="I204" s="274" t="s">
        <v>9</v>
      </c>
      <c r="J204" s="274" t="s">
        <v>403</v>
      </c>
      <c r="K204" s="275">
        <v>0.41666666666666669</v>
      </c>
      <c r="L204" s="275">
        <v>0.7583333333333333</v>
      </c>
      <c r="M204" s="275">
        <v>0.34166666666666662</v>
      </c>
      <c r="N204" s="275">
        <v>0.45833333333333331</v>
      </c>
      <c r="O204" s="275">
        <v>0.58333333333333337</v>
      </c>
      <c r="P204" s="275">
        <v>0.70833333333333337</v>
      </c>
      <c r="Q204" s="276">
        <v>41891</v>
      </c>
      <c r="R204" s="284" t="s">
        <v>2</v>
      </c>
      <c r="S204" s="276">
        <v>41918</v>
      </c>
      <c r="T204" s="284" t="s">
        <v>2</v>
      </c>
      <c r="U204" s="274" t="s">
        <v>707</v>
      </c>
      <c r="V204" s="276">
        <v>42215</v>
      </c>
      <c r="W204" s="276">
        <v>42215</v>
      </c>
      <c r="X204" s="276" t="s">
        <v>2</v>
      </c>
      <c r="Y204" s="274" t="s">
        <v>1438</v>
      </c>
      <c r="Z204" s="274" t="s">
        <v>2</v>
      </c>
      <c r="AA204" s="274" t="s">
        <v>2</v>
      </c>
      <c r="AB204" s="276" t="s">
        <v>2</v>
      </c>
      <c r="AC204" s="274" t="s">
        <v>2</v>
      </c>
      <c r="AD204" s="274" t="s">
        <v>2</v>
      </c>
      <c r="AE204" s="276"/>
      <c r="AF204" s="274" t="s">
        <v>2</v>
      </c>
      <c r="AG204" s="274" t="s">
        <v>775</v>
      </c>
      <c r="AH204" s="274" t="s">
        <v>2197</v>
      </c>
      <c r="AI204" s="274" t="s">
        <v>89</v>
      </c>
      <c r="AJ204" s="281">
        <v>810049</v>
      </c>
      <c r="AK204" s="281" t="s">
        <v>1026</v>
      </c>
      <c r="AL204" s="281" t="s">
        <v>675</v>
      </c>
      <c r="AM204" s="281" t="s">
        <v>2</v>
      </c>
      <c r="AN204" s="281" t="s">
        <v>422</v>
      </c>
      <c r="AO204" s="281" t="s">
        <v>1207</v>
      </c>
      <c r="AP204" s="281" t="s">
        <v>2</v>
      </c>
      <c r="AQ204" s="302" t="s">
        <v>2</v>
      </c>
    </row>
    <row r="205" spans="1:43" ht="15" customHeight="1">
      <c r="A205" s="90"/>
      <c r="B205" s="84"/>
      <c r="C205" s="91"/>
      <c r="D205" s="301">
        <v>23074</v>
      </c>
      <c r="E205" s="283">
        <v>779692</v>
      </c>
      <c r="F205" s="273">
        <v>12812</v>
      </c>
      <c r="G205" s="274" t="s">
        <v>166</v>
      </c>
      <c r="H205" s="274" t="s">
        <v>413</v>
      </c>
      <c r="I205" s="274" t="s">
        <v>9</v>
      </c>
      <c r="J205" s="274" t="s">
        <v>395</v>
      </c>
      <c r="K205" s="275">
        <v>0.33333333333333331</v>
      </c>
      <c r="L205" s="275">
        <v>0.59722222222222221</v>
      </c>
      <c r="M205" s="275">
        <v>0.2638888888888889</v>
      </c>
      <c r="N205" s="275">
        <v>0.375</v>
      </c>
      <c r="O205" s="275">
        <v>0.49305555555555558</v>
      </c>
      <c r="P205" s="275">
        <v>0.54861111111111105</v>
      </c>
      <c r="Q205" s="276">
        <v>41162</v>
      </c>
      <c r="R205" s="284" t="s">
        <v>2</v>
      </c>
      <c r="S205" s="276">
        <v>41185</v>
      </c>
      <c r="T205" s="284" t="s">
        <v>2</v>
      </c>
      <c r="U205" s="274" t="s">
        <v>707</v>
      </c>
      <c r="V205" s="276">
        <v>42215</v>
      </c>
      <c r="W205" s="276">
        <v>42215</v>
      </c>
      <c r="X205" s="276" t="s">
        <v>2</v>
      </c>
      <c r="Y205" s="274" t="s">
        <v>1438</v>
      </c>
      <c r="Z205" s="274" t="s">
        <v>2</v>
      </c>
      <c r="AA205" s="274" t="s">
        <v>2</v>
      </c>
      <c r="AB205" s="276" t="s">
        <v>2</v>
      </c>
      <c r="AC205" s="274" t="s">
        <v>2</v>
      </c>
      <c r="AD205" s="274">
        <v>4220003</v>
      </c>
      <c r="AE205" s="276"/>
      <c r="AF205" s="274" t="s">
        <v>2188</v>
      </c>
      <c r="AG205" s="274" t="s">
        <v>775</v>
      </c>
      <c r="AH205" s="274" t="s">
        <v>2197</v>
      </c>
      <c r="AI205" s="274" t="s">
        <v>89</v>
      </c>
      <c r="AJ205" s="281">
        <v>810103</v>
      </c>
      <c r="AK205" s="281" t="s">
        <v>852</v>
      </c>
      <c r="AL205" s="281" t="s">
        <v>500</v>
      </c>
      <c r="AM205" s="281" t="s">
        <v>2</v>
      </c>
      <c r="AN205" s="281" t="s">
        <v>2</v>
      </c>
      <c r="AO205" s="281" t="s">
        <v>1140</v>
      </c>
      <c r="AP205" s="281" t="s">
        <v>2</v>
      </c>
      <c r="AQ205" s="302" t="s">
        <v>1249</v>
      </c>
    </row>
    <row r="206" spans="1:43" ht="15" customHeight="1">
      <c r="A206" s="90"/>
      <c r="B206" s="84"/>
      <c r="C206" s="91"/>
      <c r="D206" s="301">
        <v>21399</v>
      </c>
      <c r="E206" s="283">
        <v>765895</v>
      </c>
      <c r="F206" s="273">
        <v>17029</v>
      </c>
      <c r="G206" s="274" t="s">
        <v>128</v>
      </c>
      <c r="H206" s="274" t="s">
        <v>410</v>
      </c>
      <c r="I206" s="274" t="s">
        <v>9</v>
      </c>
      <c r="J206" s="274" t="s">
        <v>393</v>
      </c>
      <c r="K206" s="275">
        <v>0.33333333333333331</v>
      </c>
      <c r="L206" s="275">
        <v>0.59722222222222221</v>
      </c>
      <c r="M206" s="275">
        <v>0.2638888888888889</v>
      </c>
      <c r="N206" s="275">
        <v>0.38194444444444442</v>
      </c>
      <c r="O206" s="275">
        <v>0.45833333333333331</v>
      </c>
      <c r="P206" s="275">
        <v>0.52777777777777779</v>
      </c>
      <c r="Q206" s="276">
        <v>41001</v>
      </c>
      <c r="R206" s="284" t="s">
        <v>2</v>
      </c>
      <c r="S206" s="276">
        <v>41024</v>
      </c>
      <c r="T206" s="284" t="s">
        <v>2</v>
      </c>
      <c r="U206" s="274" t="s">
        <v>707</v>
      </c>
      <c r="V206" s="276">
        <v>42215</v>
      </c>
      <c r="W206" s="276">
        <v>42215</v>
      </c>
      <c r="X206" s="276" t="s">
        <v>2</v>
      </c>
      <c r="Y206" s="274" t="s">
        <v>2199</v>
      </c>
      <c r="Z206" s="274" t="s">
        <v>2</v>
      </c>
      <c r="AA206" s="274" t="s">
        <v>2</v>
      </c>
      <c r="AB206" s="276" t="s">
        <v>2</v>
      </c>
      <c r="AC206" s="274" t="s">
        <v>2</v>
      </c>
      <c r="AD206" s="274">
        <v>8143015</v>
      </c>
      <c r="AE206" s="276"/>
      <c r="AF206" s="274" t="s">
        <v>2194</v>
      </c>
      <c r="AG206" s="274" t="s">
        <v>775</v>
      </c>
      <c r="AH206" s="274" t="s">
        <v>2197</v>
      </c>
      <c r="AI206" s="274" t="s">
        <v>89</v>
      </c>
      <c r="AJ206" s="281" t="s">
        <v>2</v>
      </c>
      <c r="AK206" s="281" t="s">
        <v>815</v>
      </c>
      <c r="AL206" s="281" t="s">
        <v>463</v>
      </c>
      <c r="AM206" s="281" t="s">
        <v>2</v>
      </c>
      <c r="AN206" s="281" t="s">
        <v>2</v>
      </c>
      <c r="AO206" s="281" t="s">
        <v>1105</v>
      </c>
      <c r="AP206" s="281" t="s">
        <v>2</v>
      </c>
      <c r="AQ206" s="302" t="s">
        <v>1249</v>
      </c>
    </row>
    <row r="207" spans="1:43" ht="15" customHeight="1">
      <c r="A207" s="90"/>
      <c r="B207" s="84"/>
      <c r="C207" s="91"/>
      <c r="D207" s="301">
        <v>19469</v>
      </c>
      <c r="E207" s="283">
        <v>750165</v>
      </c>
      <c r="F207" s="273">
        <v>12435</v>
      </c>
      <c r="G207" s="274" t="s">
        <v>127</v>
      </c>
      <c r="H207" s="274" t="s">
        <v>410</v>
      </c>
      <c r="I207" s="274" t="s">
        <v>9</v>
      </c>
      <c r="J207" s="274" t="s">
        <v>393</v>
      </c>
      <c r="K207" s="275">
        <v>0.33333333333333331</v>
      </c>
      <c r="L207" s="275">
        <v>0.59722222222222221</v>
      </c>
      <c r="M207" s="275">
        <v>0.2638888888888889</v>
      </c>
      <c r="N207" s="275">
        <v>0.3888888888888889</v>
      </c>
      <c r="O207" s="275">
        <v>0.4375</v>
      </c>
      <c r="P207" s="275">
        <v>0.53472222222222221</v>
      </c>
      <c r="Q207" s="276">
        <v>40848</v>
      </c>
      <c r="R207" s="284" t="s">
        <v>2</v>
      </c>
      <c r="S207" s="276">
        <v>40871</v>
      </c>
      <c r="T207" s="284" t="s">
        <v>2</v>
      </c>
      <c r="U207" s="274" t="s">
        <v>707</v>
      </c>
      <c r="V207" s="276">
        <v>42215</v>
      </c>
      <c r="W207" s="276">
        <v>42215</v>
      </c>
      <c r="X207" s="276" t="s">
        <v>2</v>
      </c>
      <c r="Y207" s="274" t="s">
        <v>2199</v>
      </c>
      <c r="Z207" s="274" t="s">
        <v>2</v>
      </c>
      <c r="AA207" s="274" t="s">
        <v>2</v>
      </c>
      <c r="AB207" s="276" t="s">
        <v>2</v>
      </c>
      <c r="AC207" s="274" t="s">
        <v>2</v>
      </c>
      <c r="AD207" s="274">
        <v>9260450</v>
      </c>
      <c r="AE207" s="276"/>
      <c r="AF207" s="274" t="s">
        <v>2190</v>
      </c>
      <c r="AG207" s="274" t="s">
        <v>775</v>
      </c>
      <c r="AH207" s="274" t="s">
        <v>2197</v>
      </c>
      <c r="AI207" s="274" t="s">
        <v>89</v>
      </c>
      <c r="AJ207" s="281" t="s">
        <v>2</v>
      </c>
      <c r="AK207" s="281" t="s">
        <v>814</v>
      </c>
      <c r="AL207" s="281" t="s">
        <v>462</v>
      </c>
      <c r="AM207" s="281" t="s">
        <v>2</v>
      </c>
      <c r="AN207" s="281" t="s">
        <v>2</v>
      </c>
      <c r="AO207" s="281" t="s">
        <v>1104</v>
      </c>
      <c r="AP207" s="281" t="s">
        <v>1249</v>
      </c>
      <c r="AQ207" s="302" t="s">
        <v>2</v>
      </c>
    </row>
    <row r="208" spans="1:43" ht="15" customHeight="1">
      <c r="A208" s="90"/>
      <c r="B208" s="84"/>
      <c r="C208" s="91"/>
      <c r="D208" s="301">
        <v>20262</v>
      </c>
      <c r="E208" s="283">
        <v>758415</v>
      </c>
      <c r="F208" s="273">
        <v>12666</v>
      </c>
      <c r="G208" s="274" t="s">
        <v>92</v>
      </c>
      <c r="H208" s="274" t="s">
        <v>407</v>
      </c>
      <c r="I208" s="274" t="s">
        <v>9</v>
      </c>
      <c r="J208" s="274" t="s">
        <v>392</v>
      </c>
      <c r="K208" s="275">
        <v>0.5</v>
      </c>
      <c r="L208" s="275">
        <v>0.84166666666666667</v>
      </c>
      <c r="M208" s="275">
        <v>0.34166666666666667</v>
      </c>
      <c r="N208" s="275">
        <v>0.61805555555555558</v>
      </c>
      <c r="O208" s="275">
        <v>0.66666666666666663</v>
      </c>
      <c r="P208" s="275">
        <v>0.77083333333333337</v>
      </c>
      <c r="Q208" s="276">
        <v>40919</v>
      </c>
      <c r="R208" s="284" t="s">
        <v>2</v>
      </c>
      <c r="S208" s="276">
        <v>40942</v>
      </c>
      <c r="T208" s="284" t="s">
        <v>2</v>
      </c>
      <c r="U208" s="274" t="s">
        <v>707</v>
      </c>
      <c r="V208" s="276">
        <v>42216</v>
      </c>
      <c r="W208" s="276">
        <v>42216</v>
      </c>
      <c r="X208" s="276" t="s">
        <v>2</v>
      </c>
      <c r="Y208" s="274" t="s">
        <v>2199</v>
      </c>
      <c r="Z208" s="274" t="s">
        <v>2</v>
      </c>
      <c r="AA208" s="274" t="s">
        <v>2</v>
      </c>
      <c r="AB208" s="276" t="s">
        <v>2</v>
      </c>
      <c r="AC208" s="274" t="s">
        <v>2</v>
      </c>
      <c r="AD208" s="274">
        <v>8581160</v>
      </c>
      <c r="AE208" s="276"/>
      <c r="AF208" s="274" t="s">
        <v>2194</v>
      </c>
      <c r="AG208" s="274" t="s">
        <v>775</v>
      </c>
      <c r="AH208" s="274" t="s">
        <v>2197</v>
      </c>
      <c r="AI208" s="274" t="s">
        <v>89</v>
      </c>
      <c r="AJ208" s="281">
        <v>810021</v>
      </c>
      <c r="AK208" s="281" t="s">
        <v>779</v>
      </c>
      <c r="AL208" s="281" t="s">
        <v>427</v>
      </c>
      <c r="AM208" s="281" t="s">
        <v>2</v>
      </c>
      <c r="AN208" s="281" t="s">
        <v>2</v>
      </c>
      <c r="AO208" s="281" t="s">
        <v>1069</v>
      </c>
      <c r="AP208" s="281" t="s">
        <v>1249</v>
      </c>
      <c r="AQ208" s="302" t="s">
        <v>1249</v>
      </c>
    </row>
    <row r="209" spans="1:43" ht="15" customHeight="1">
      <c r="A209" s="90"/>
      <c r="B209" s="84"/>
      <c r="C209" s="91"/>
      <c r="D209" s="301">
        <v>15809</v>
      </c>
      <c r="E209" s="283">
        <v>721519</v>
      </c>
      <c r="F209" s="273">
        <v>12694</v>
      </c>
      <c r="G209" s="274" t="s">
        <v>99</v>
      </c>
      <c r="H209" s="274" t="s">
        <v>407</v>
      </c>
      <c r="I209" s="274" t="s">
        <v>9</v>
      </c>
      <c r="J209" s="274" t="s">
        <v>392</v>
      </c>
      <c r="K209" s="275">
        <v>0.65277777777777779</v>
      </c>
      <c r="L209" s="275">
        <v>0.91666666666666663</v>
      </c>
      <c r="M209" s="275">
        <v>0.26388888888888884</v>
      </c>
      <c r="N209" s="275">
        <v>0.69444444444444453</v>
      </c>
      <c r="O209" s="275">
        <v>0.74305555555555547</v>
      </c>
      <c r="P209" s="275">
        <v>0.84027777777777779</v>
      </c>
      <c r="Q209" s="276">
        <v>40611</v>
      </c>
      <c r="R209" s="284" t="s">
        <v>2</v>
      </c>
      <c r="S209" s="276">
        <v>40634</v>
      </c>
      <c r="T209" s="284" t="s">
        <v>2</v>
      </c>
      <c r="U209" s="274" t="s">
        <v>707</v>
      </c>
      <c r="V209" s="276">
        <v>42216</v>
      </c>
      <c r="W209" s="276">
        <v>42216</v>
      </c>
      <c r="X209" s="276" t="s">
        <v>2</v>
      </c>
      <c r="Y209" s="274" t="s">
        <v>2199</v>
      </c>
      <c r="Z209" s="274" t="s">
        <v>2</v>
      </c>
      <c r="AA209" s="274" t="s">
        <v>2</v>
      </c>
      <c r="AB209" s="276" t="s">
        <v>2</v>
      </c>
      <c r="AC209" s="274" t="s">
        <v>2</v>
      </c>
      <c r="AD209" s="274">
        <v>8122260</v>
      </c>
      <c r="AE209" s="276"/>
      <c r="AF209" s="274" t="s">
        <v>2194</v>
      </c>
      <c r="AG209" s="274" t="s">
        <v>775</v>
      </c>
      <c r="AH209" s="274" t="s">
        <v>2197</v>
      </c>
      <c r="AI209" s="274" t="s">
        <v>89</v>
      </c>
      <c r="AJ209" s="281">
        <v>810032</v>
      </c>
      <c r="AK209" s="281" t="s">
        <v>786</v>
      </c>
      <c r="AL209" s="281" t="s">
        <v>434</v>
      </c>
      <c r="AM209" s="281" t="s">
        <v>2</v>
      </c>
      <c r="AN209" s="281" t="s">
        <v>2</v>
      </c>
      <c r="AO209" s="281" t="s">
        <v>1076</v>
      </c>
      <c r="AP209" s="281" t="s">
        <v>1249</v>
      </c>
      <c r="AQ209" s="302" t="s">
        <v>1249</v>
      </c>
    </row>
    <row r="210" spans="1:43" ht="15" customHeight="1">
      <c r="A210" s="90"/>
      <c r="B210" s="84"/>
      <c r="C210" s="91"/>
      <c r="D210" s="301">
        <v>30186</v>
      </c>
      <c r="E210" s="283">
        <v>873192</v>
      </c>
      <c r="F210" s="273">
        <v>12955</v>
      </c>
      <c r="G210" s="274" t="s">
        <v>163</v>
      </c>
      <c r="H210" s="274" t="s">
        <v>412</v>
      </c>
      <c r="I210" s="274" t="s">
        <v>9</v>
      </c>
      <c r="J210" s="274" t="s">
        <v>395</v>
      </c>
      <c r="K210" s="275">
        <v>0.625</v>
      </c>
      <c r="L210" s="275">
        <v>0.88888888888888884</v>
      </c>
      <c r="M210" s="275">
        <v>0.2638888888888889</v>
      </c>
      <c r="N210" s="275" t="s">
        <v>2</v>
      </c>
      <c r="O210" s="275" t="s">
        <v>2</v>
      </c>
      <c r="P210" s="275" t="s">
        <v>2</v>
      </c>
      <c r="Q210" s="276">
        <v>42044</v>
      </c>
      <c r="R210" s="284" t="s">
        <v>2</v>
      </c>
      <c r="S210" s="276">
        <v>42068</v>
      </c>
      <c r="T210" s="284" t="s">
        <v>2</v>
      </c>
      <c r="U210" s="274" t="s">
        <v>2218</v>
      </c>
      <c r="V210" s="276" t="s">
        <v>2</v>
      </c>
      <c r="W210" s="276" t="s">
        <v>2</v>
      </c>
      <c r="X210" s="276" t="s">
        <v>2</v>
      </c>
      <c r="Y210" s="274" t="s">
        <v>2</v>
      </c>
      <c r="Z210" s="274" t="s">
        <v>2</v>
      </c>
      <c r="AA210" s="274" t="s">
        <v>2</v>
      </c>
      <c r="AB210" s="276" t="s">
        <v>2</v>
      </c>
      <c r="AC210" s="274" t="s">
        <v>2</v>
      </c>
      <c r="AD210" s="274" t="s">
        <v>714</v>
      </c>
      <c r="AE210" s="276"/>
      <c r="AF210" s="274" t="s">
        <v>2194</v>
      </c>
      <c r="AG210" s="274" t="s">
        <v>775</v>
      </c>
      <c r="AH210" s="274" t="s">
        <v>2197</v>
      </c>
      <c r="AI210" s="274" t="s">
        <v>89</v>
      </c>
      <c r="AJ210" s="281" t="s">
        <v>2</v>
      </c>
      <c r="AK210" s="281" t="s">
        <v>849</v>
      </c>
      <c r="AL210" s="281" t="s">
        <v>497</v>
      </c>
      <c r="AM210" s="281" t="s">
        <v>2</v>
      </c>
      <c r="AN210" s="281" t="s">
        <v>2</v>
      </c>
      <c r="AO210" s="281" t="s">
        <v>1137</v>
      </c>
      <c r="AP210" s="281" t="s">
        <v>2</v>
      </c>
      <c r="AQ210" s="302" t="s">
        <v>2</v>
      </c>
    </row>
    <row r="211" spans="1:43" ht="15" customHeight="1">
      <c r="A211" s="90"/>
      <c r="B211" s="84"/>
      <c r="C211" s="91"/>
      <c r="D211" s="301">
        <v>30695</v>
      </c>
      <c r="E211" s="283">
        <v>882225</v>
      </c>
      <c r="F211" s="273">
        <v>17172</v>
      </c>
      <c r="G211" s="274" t="s">
        <v>352</v>
      </c>
      <c r="H211" s="274" t="s">
        <v>419</v>
      </c>
      <c r="I211" s="274" t="s">
        <v>9</v>
      </c>
      <c r="J211" s="274" t="s">
        <v>403</v>
      </c>
      <c r="K211" s="275">
        <v>0.61111111111111105</v>
      </c>
      <c r="L211" s="275">
        <v>0.875</v>
      </c>
      <c r="M211" s="275">
        <v>0.2638888888888889</v>
      </c>
      <c r="N211" s="275">
        <v>0.65277777777777779</v>
      </c>
      <c r="O211" s="275">
        <v>0.73611111111111116</v>
      </c>
      <c r="P211" s="275">
        <v>0.80555555555555547</v>
      </c>
      <c r="Q211" s="276">
        <v>42131</v>
      </c>
      <c r="R211" s="284" t="s">
        <v>2</v>
      </c>
      <c r="S211" s="276">
        <v>42156</v>
      </c>
      <c r="T211" s="284" t="s">
        <v>2</v>
      </c>
      <c r="U211" s="274" t="s">
        <v>2218</v>
      </c>
      <c r="V211" s="276">
        <v>42216</v>
      </c>
      <c r="W211" s="276">
        <v>42216</v>
      </c>
      <c r="X211" s="276" t="s">
        <v>2</v>
      </c>
      <c r="Y211" s="274" t="s">
        <v>1438</v>
      </c>
      <c r="Z211" s="274" t="s">
        <v>2</v>
      </c>
      <c r="AA211" s="274" t="s">
        <v>2</v>
      </c>
      <c r="AB211" s="276" t="s">
        <v>2</v>
      </c>
      <c r="AC211" s="274" t="s">
        <v>2</v>
      </c>
      <c r="AD211" s="274" t="s">
        <v>2</v>
      </c>
      <c r="AE211" s="276"/>
      <c r="AF211" s="274" t="s">
        <v>2</v>
      </c>
      <c r="AG211" s="274" t="s">
        <v>775</v>
      </c>
      <c r="AH211" s="274" t="s">
        <v>2197</v>
      </c>
      <c r="AI211" s="274" t="s">
        <v>89</v>
      </c>
      <c r="AJ211" s="281">
        <v>810353</v>
      </c>
      <c r="AK211" s="281" t="s">
        <v>1031</v>
      </c>
      <c r="AL211" s="281" t="s">
        <v>680</v>
      </c>
      <c r="AM211" s="281" t="s">
        <v>2</v>
      </c>
      <c r="AN211" s="281" t="s">
        <v>422</v>
      </c>
      <c r="AO211" s="281" t="s">
        <v>1210</v>
      </c>
      <c r="AP211" s="281" t="s">
        <v>2</v>
      </c>
      <c r="AQ211" s="302" t="s">
        <v>2</v>
      </c>
    </row>
    <row r="212" spans="1:43" ht="15" customHeight="1">
      <c r="A212" s="90"/>
      <c r="B212" s="84"/>
      <c r="C212" s="91"/>
      <c r="D212" s="301">
        <v>18793</v>
      </c>
      <c r="E212" s="283">
        <v>740459</v>
      </c>
      <c r="F212" s="273">
        <v>12744</v>
      </c>
      <c r="G212" s="274" t="s">
        <v>312</v>
      </c>
      <c r="H212" s="274" t="s">
        <v>422</v>
      </c>
      <c r="I212" s="274" t="s">
        <v>9</v>
      </c>
      <c r="J212" s="274" t="s">
        <v>403</v>
      </c>
      <c r="K212" s="275">
        <v>0.63888888888888895</v>
      </c>
      <c r="L212" s="275">
        <v>0.90277777777777779</v>
      </c>
      <c r="M212" s="275">
        <v>0.2638888888888889</v>
      </c>
      <c r="N212" s="275">
        <v>0.6875</v>
      </c>
      <c r="O212" s="275">
        <v>0.77083333333333337</v>
      </c>
      <c r="P212" s="275">
        <v>0.85416666666666663</v>
      </c>
      <c r="Q212" s="276">
        <v>40798</v>
      </c>
      <c r="R212" s="284" t="s">
        <v>2</v>
      </c>
      <c r="S212" s="276">
        <v>40821</v>
      </c>
      <c r="T212" s="284" t="s">
        <v>2</v>
      </c>
      <c r="U212" s="274" t="s">
        <v>2218</v>
      </c>
      <c r="V212" s="276">
        <v>42188</v>
      </c>
      <c r="W212" s="276">
        <v>42188</v>
      </c>
      <c r="X212" s="276" t="s">
        <v>2</v>
      </c>
      <c r="Y212" s="274" t="s">
        <v>2245</v>
      </c>
      <c r="Z212" s="274" t="s">
        <v>2</v>
      </c>
      <c r="AA212" s="274" t="s">
        <v>2</v>
      </c>
      <c r="AB212" s="276" t="s">
        <v>2</v>
      </c>
      <c r="AC212" s="274" t="s">
        <v>2</v>
      </c>
      <c r="AD212" s="274">
        <v>8430660</v>
      </c>
      <c r="AE212" s="276"/>
      <c r="AF212" s="274" t="s">
        <v>2194</v>
      </c>
      <c r="AG212" s="274" t="s">
        <v>775</v>
      </c>
      <c r="AH212" s="274" t="s">
        <v>2197</v>
      </c>
      <c r="AI212" s="274" t="s">
        <v>89</v>
      </c>
      <c r="AJ212" s="281">
        <v>805222</v>
      </c>
      <c r="AK212" s="281" t="s">
        <v>990</v>
      </c>
      <c r="AL212" s="281" t="s">
        <v>639</v>
      </c>
      <c r="AM212" s="281" t="s">
        <v>2</v>
      </c>
      <c r="AN212" s="281" t="s">
        <v>422</v>
      </c>
      <c r="AO212" s="281" t="s">
        <v>1195</v>
      </c>
      <c r="AP212" s="281" t="s">
        <v>2</v>
      </c>
      <c r="AQ212" s="302" t="s">
        <v>1249</v>
      </c>
    </row>
    <row r="213" spans="1:43" ht="15" customHeight="1">
      <c r="A213" s="90"/>
      <c r="B213" s="84"/>
      <c r="C213" s="91"/>
      <c r="D213" s="301">
        <v>29886</v>
      </c>
      <c r="E213" s="283">
        <v>868202</v>
      </c>
      <c r="F213" s="273">
        <v>12042</v>
      </c>
      <c r="G213" s="274" t="s">
        <v>212</v>
      </c>
      <c r="H213" s="274" t="s">
        <v>422</v>
      </c>
      <c r="I213" s="274" t="s">
        <v>9</v>
      </c>
      <c r="J213" s="274" t="s">
        <v>398</v>
      </c>
      <c r="K213" s="275">
        <v>0.375</v>
      </c>
      <c r="L213" s="275">
        <v>0.71666666666666667</v>
      </c>
      <c r="M213" s="275">
        <v>0.34166666666666662</v>
      </c>
      <c r="N213" s="275">
        <v>0.41666666666666669</v>
      </c>
      <c r="O213" s="275">
        <v>0.54166666666666663</v>
      </c>
      <c r="P213" s="275">
        <v>0.63194444444444442</v>
      </c>
      <c r="Q213" s="276">
        <v>41983</v>
      </c>
      <c r="R213" s="284" t="s">
        <v>72</v>
      </c>
      <c r="S213" s="276">
        <v>42009</v>
      </c>
      <c r="T213" s="284" t="s">
        <v>2</v>
      </c>
      <c r="U213" s="274" t="s">
        <v>2218</v>
      </c>
      <c r="V213" s="276">
        <v>42229</v>
      </c>
      <c r="W213" s="276">
        <v>42229</v>
      </c>
      <c r="X213" s="276" t="s">
        <v>2</v>
      </c>
      <c r="Y213" s="274" t="s">
        <v>2251</v>
      </c>
      <c r="Z213" s="274" t="s">
        <v>2</v>
      </c>
      <c r="AA213" s="274" t="s">
        <v>2</v>
      </c>
      <c r="AB213" s="276" t="s">
        <v>2</v>
      </c>
      <c r="AC213" s="274" t="s">
        <v>2</v>
      </c>
      <c r="AD213" s="274" t="s">
        <v>729</v>
      </c>
      <c r="AE213" s="276"/>
      <c r="AF213" s="274" t="s">
        <v>2196</v>
      </c>
      <c r="AG213" s="274" t="s">
        <v>775</v>
      </c>
      <c r="AH213" s="274" t="s">
        <v>2197</v>
      </c>
      <c r="AI213" s="274" t="s">
        <v>89</v>
      </c>
      <c r="AJ213" s="281">
        <v>810229</v>
      </c>
      <c r="AK213" s="281" t="s">
        <v>895</v>
      </c>
      <c r="AL213" s="281" t="s">
        <v>545</v>
      </c>
      <c r="AM213" s="281" t="s">
        <v>2</v>
      </c>
      <c r="AN213" s="281" t="s">
        <v>422</v>
      </c>
      <c r="AO213" s="281" t="s">
        <v>1169</v>
      </c>
      <c r="AP213" s="281" t="s">
        <v>2</v>
      </c>
      <c r="AQ213" s="302" t="s">
        <v>2</v>
      </c>
    </row>
    <row r="214" spans="1:43" ht="15" customHeight="1">
      <c r="A214" s="90"/>
      <c r="B214" s="84"/>
      <c r="C214" s="91"/>
      <c r="D214" s="301">
        <v>29201</v>
      </c>
      <c r="E214" s="283">
        <v>854903</v>
      </c>
      <c r="F214" s="273">
        <v>17099</v>
      </c>
      <c r="G214" s="274" t="s">
        <v>199</v>
      </c>
      <c r="H214" s="274" t="s">
        <v>415</v>
      </c>
      <c r="I214" s="274" t="s">
        <v>9</v>
      </c>
      <c r="J214" s="274" t="s">
        <v>398</v>
      </c>
      <c r="K214" s="275">
        <v>0.39583333333333331</v>
      </c>
      <c r="L214" s="275">
        <v>0.73749999999999993</v>
      </c>
      <c r="M214" s="275">
        <v>0.34166666666666662</v>
      </c>
      <c r="N214" s="275">
        <v>0.52083333333333337</v>
      </c>
      <c r="O214" s="275">
        <v>0.58333333333333337</v>
      </c>
      <c r="P214" s="275">
        <v>0.67361111111111116</v>
      </c>
      <c r="Q214" s="276">
        <v>41891</v>
      </c>
      <c r="R214" s="284" t="s">
        <v>2</v>
      </c>
      <c r="S214" s="276">
        <v>41918</v>
      </c>
      <c r="T214" s="284" t="s">
        <v>2</v>
      </c>
      <c r="U214" s="274" t="s">
        <v>2218</v>
      </c>
      <c r="V214" s="276">
        <v>42236</v>
      </c>
      <c r="W214" s="276">
        <v>42236</v>
      </c>
      <c r="X214" s="276" t="s">
        <v>2</v>
      </c>
      <c r="Y214" s="274" t="s">
        <v>2246</v>
      </c>
      <c r="Z214" s="274" t="s">
        <v>2</v>
      </c>
      <c r="AA214" s="274" t="s">
        <v>2</v>
      </c>
      <c r="AB214" s="276" t="s">
        <v>2</v>
      </c>
      <c r="AC214" s="274" t="s">
        <v>2</v>
      </c>
      <c r="AD214" s="274" t="s">
        <v>2</v>
      </c>
      <c r="AE214" s="276"/>
      <c r="AF214" s="274" t="s">
        <v>2</v>
      </c>
      <c r="AG214" s="274" t="s">
        <v>775</v>
      </c>
      <c r="AH214" s="274" t="s">
        <v>2197</v>
      </c>
      <c r="AI214" s="274" t="s">
        <v>89</v>
      </c>
      <c r="AJ214" s="281">
        <v>810137</v>
      </c>
      <c r="AK214" s="281" t="s">
        <v>883</v>
      </c>
      <c r="AL214" s="281" t="s">
        <v>532</v>
      </c>
      <c r="AM214" s="281" t="s">
        <v>2</v>
      </c>
      <c r="AN214" s="281" t="s">
        <v>422</v>
      </c>
      <c r="AO214" s="281" t="s">
        <v>1160</v>
      </c>
      <c r="AP214" s="281" t="s">
        <v>2</v>
      </c>
      <c r="AQ214" s="302" t="s">
        <v>2</v>
      </c>
    </row>
    <row r="215" spans="1:43" ht="15" customHeight="1">
      <c r="A215" s="90"/>
      <c r="B215" s="84"/>
      <c r="C215" s="91"/>
      <c r="D215" s="301">
        <v>30176</v>
      </c>
      <c r="E215" s="283">
        <v>873182</v>
      </c>
      <c r="F215" s="273">
        <v>17060</v>
      </c>
      <c r="G215" s="274" t="s">
        <v>236</v>
      </c>
      <c r="H215" s="274" t="s">
        <v>420</v>
      </c>
      <c r="I215" s="274" t="s">
        <v>9</v>
      </c>
      <c r="J215" s="274" t="s">
        <v>398</v>
      </c>
      <c r="K215" s="275">
        <v>0.4916666666666667</v>
      </c>
      <c r="L215" s="275">
        <v>0.83333333333333337</v>
      </c>
      <c r="M215" s="275">
        <v>0.34166666666666662</v>
      </c>
      <c r="N215" s="275">
        <v>0.54861111111111105</v>
      </c>
      <c r="O215" s="275">
        <v>0.60416666666666663</v>
      </c>
      <c r="P215" s="275">
        <v>0.72916666666666663</v>
      </c>
      <c r="Q215" s="276">
        <v>42044</v>
      </c>
      <c r="R215" s="284" t="s">
        <v>2</v>
      </c>
      <c r="S215" s="276">
        <v>42068</v>
      </c>
      <c r="T215" s="284" t="s">
        <v>2</v>
      </c>
      <c r="U215" s="274" t="s">
        <v>2218</v>
      </c>
      <c r="V215" s="276">
        <v>42220</v>
      </c>
      <c r="W215" s="276">
        <v>42220</v>
      </c>
      <c r="X215" s="276" t="s">
        <v>2</v>
      </c>
      <c r="Y215" s="274" t="s">
        <v>2246</v>
      </c>
      <c r="Z215" s="274" t="s">
        <v>2</v>
      </c>
      <c r="AA215" s="274" t="s">
        <v>2</v>
      </c>
      <c r="AB215" s="276" t="s">
        <v>2</v>
      </c>
      <c r="AC215" s="274" t="s">
        <v>2</v>
      </c>
      <c r="AD215" s="274" t="s">
        <v>738</v>
      </c>
      <c r="AE215" s="276"/>
      <c r="AF215" s="274" t="s">
        <v>2189</v>
      </c>
      <c r="AG215" s="274" t="s">
        <v>775</v>
      </c>
      <c r="AH215" s="274" t="s">
        <v>2197</v>
      </c>
      <c r="AI215" s="274" t="s">
        <v>89</v>
      </c>
      <c r="AJ215" s="281">
        <v>810214</v>
      </c>
      <c r="AK215" s="281" t="s">
        <v>919</v>
      </c>
      <c r="AL215" s="281" t="s">
        <v>568</v>
      </c>
      <c r="AM215" s="281" t="s">
        <v>2</v>
      </c>
      <c r="AN215" s="281" t="s">
        <v>422</v>
      </c>
      <c r="AO215" s="281" t="s">
        <v>1177</v>
      </c>
      <c r="AP215" s="281" t="s">
        <v>2</v>
      </c>
      <c r="AQ215" s="302" t="s">
        <v>2</v>
      </c>
    </row>
    <row r="216" spans="1:43" ht="15" customHeight="1">
      <c r="A216" s="90"/>
      <c r="B216" s="84"/>
      <c r="C216" s="91"/>
      <c r="D216" s="301">
        <v>30189</v>
      </c>
      <c r="E216" s="283">
        <v>873195</v>
      </c>
      <c r="F216" s="273">
        <v>17074</v>
      </c>
      <c r="G216" s="274" t="s">
        <v>237</v>
      </c>
      <c r="H216" s="274" t="s">
        <v>420</v>
      </c>
      <c r="I216" s="274" t="s">
        <v>9</v>
      </c>
      <c r="J216" s="274" t="s">
        <v>398</v>
      </c>
      <c r="K216" s="275">
        <v>0.4916666666666667</v>
      </c>
      <c r="L216" s="275">
        <v>0.83333333333333337</v>
      </c>
      <c r="M216" s="275">
        <v>0.34166666666666662</v>
      </c>
      <c r="N216" s="275">
        <v>0.54861111111111105</v>
      </c>
      <c r="O216" s="275">
        <v>0.60416666666666663</v>
      </c>
      <c r="P216" s="275">
        <v>0.71527777777777779</v>
      </c>
      <c r="Q216" s="276">
        <v>42044</v>
      </c>
      <c r="R216" s="284" t="s">
        <v>2</v>
      </c>
      <c r="S216" s="276">
        <v>42068</v>
      </c>
      <c r="T216" s="284" t="s">
        <v>2</v>
      </c>
      <c r="U216" s="274" t="s">
        <v>2218</v>
      </c>
      <c r="V216" s="276">
        <v>42220</v>
      </c>
      <c r="W216" s="276">
        <v>42220</v>
      </c>
      <c r="X216" s="276" t="s">
        <v>2</v>
      </c>
      <c r="Y216" s="274" t="s">
        <v>2246</v>
      </c>
      <c r="Z216" s="274" t="s">
        <v>2</v>
      </c>
      <c r="AA216" s="274" t="s">
        <v>2</v>
      </c>
      <c r="AB216" s="276" t="s">
        <v>2</v>
      </c>
      <c r="AC216" s="274" t="s">
        <v>2</v>
      </c>
      <c r="AD216" s="274" t="s">
        <v>739</v>
      </c>
      <c r="AE216" s="276"/>
      <c r="AF216" s="274" t="s">
        <v>2190</v>
      </c>
      <c r="AG216" s="274" t="s">
        <v>775</v>
      </c>
      <c r="AH216" s="274" t="s">
        <v>2197</v>
      </c>
      <c r="AI216" s="274" t="s">
        <v>89</v>
      </c>
      <c r="AJ216" s="281">
        <v>810207</v>
      </c>
      <c r="AK216" s="281" t="s">
        <v>920</v>
      </c>
      <c r="AL216" s="281" t="s">
        <v>569</v>
      </c>
      <c r="AM216" s="281" t="s">
        <v>2</v>
      </c>
      <c r="AN216" s="281" t="s">
        <v>422</v>
      </c>
      <c r="AO216" s="281" t="s">
        <v>1178</v>
      </c>
      <c r="AP216" s="281" t="s">
        <v>2</v>
      </c>
      <c r="AQ216" s="302" t="s">
        <v>2</v>
      </c>
    </row>
    <row r="217" spans="1:43" ht="15" customHeight="1">
      <c r="A217" s="90"/>
      <c r="B217" s="84"/>
      <c r="C217" s="91"/>
      <c r="D217" s="301">
        <v>27870</v>
      </c>
      <c r="E217" s="283">
        <v>833824</v>
      </c>
      <c r="F217" s="273">
        <v>17173</v>
      </c>
      <c r="G217" s="274" t="s">
        <v>223</v>
      </c>
      <c r="H217" s="274" t="s">
        <v>419</v>
      </c>
      <c r="I217" s="274" t="s">
        <v>9</v>
      </c>
      <c r="J217" s="274" t="s">
        <v>398</v>
      </c>
      <c r="K217" s="275">
        <v>0.57500000000000007</v>
      </c>
      <c r="L217" s="275">
        <v>0.91666666666666663</v>
      </c>
      <c r="M217" s="275">
        <v>0.34166666666666662</v>
      </c>
      <c r="N217" s="275">
        <v>0.61805555555555558</v>
      </c>
      <c r="O217" s="275">
        <v>0.70833333333333337</v>
      </c>
      <c r="P217" s="275">
        <v>0.85416666666666663</v>
      </c>
      <c r="Q217" s="276">
        <v>41704</v>
      </c>
      <c r="R217" s="284" t="s">
        <v>2</v>
      </c>
      <c r="S217" s="276">
        <v>41727</v>
      </c>
      <c r="T217" s="284" t="s">
        <v>2</v>
      </c>
      <c r="U217" s="274" t="s">
        <v>2218</v>
      </c>
      <c r="V217" s="276">
        <v>42221</v>
      </c>
      <c r="W217" s="276">
        <v>42221</v>
      </c>
      <c r="X217" s="276" t="s">
        <v>2</v>
      </c>
      <c r="Y217" s="274" t="s">
        <v>2246</v>
      </c>
      <c r="Z217" s="274" t="s">
        <v>2</v>
      </c>
      <c r="AA217" s="274" t="s">
        <v>2</v>
      </c>
      <c r="AB217" s="276" t="s">
        <v>2</v>
      </c>
      <c r="AC217" s="274" t="s">
        <v>2</v>
      </c>
      <c r="AD217" s="274" t="s">
        <v>734</v>
      </c>
      <c r="AE217" s="276"/>
      <c r="AF217" s="274" t="s">
        <v>2194</v>
      </c>
      <c r="AG217" s="274" t="s">
        <v>775</v>
      </c>
      <c r="AH217" s="274" t="s">
        <v>2197</v>
      </c>
      <c r="AI217" s="274" t="s">
        <v>89</v>
      </c>
      <c r="AJ217" s="281">
        <v>810134</v>
      </c>
      <c r="AK217" s="281" t="s">
        <v>906</v>
      </c>
      <c r="AL217" s="281" t="s">
        <v>555</v>
      </c>
      <c r="AM217" s="281" t="s">
        <v>2</v>
      </c>
      <c r="AN217" s="281" t="s">
        <v>422</v>
      </c>
      <c r="AO217" s="281" t="s">
        <v>1173</v>
      </c>
      <c r="AP217" s="281" t="s">
        <v>2</v>
      </c>
      <c r="AQ217" s="302" t="s">
        <v>2</v>
      </c>
    </row>
    <row r="218" spans="1:43" ht="15" customHeight="1">
      <c r="A218" s="90"/>
      <c r="B218" s="84"/>
      <c r="C218" s="91"/>
      <c r="D218" s="301">
        <v>30468</v>
      </c>
      <c r="E218" s="283">
        <v>876681</v>
      </c>
      <c r="F218" s="273">
        <v>17048</v>
      </c>
      <c r="G218" s="274" t="s">
        <v>220</v>
      </c>
      <c r="H218" s="274" t="s">
        <v>417</v>
      </c>
      <c r="I218" s="274" t="s">
        <v>9</v>
      </c>
      <c r="J218" s="274" t="s">
        <v>398</v>
      </c>
      <c r="K218" s="275">
        <v>0.625</v>
      </c>
      <c r="L218" s="275">
        <v>0.88888888888888884</v>
      </c>
      <c r="M218" s="275">
        <v>0.2638888888888889</v>
      </c>
      <c r="N218" s="275">
        <v>0.68055555555555547</v>
      </c>
      <c r="O218" s="275">
        <v>0.72916666666666663</v>
      </c>
      <c r="P218" s="275">
        <v>0.81944444444444453</v>
      </c>
      <c r="Q218" s="276">
        <v>42079</v>
      </c>
      <c r="R218" s="284" t="s">
        <v>2</v>
      </c>
      <c r="S218" s="276">
        <v>42100</v>
      </c>
      <c r="T218" s="284" t="s">
        <v>2</v>
      </c>
      <c r="U218" s="274" t="s">
        <v>2218</v>
      </c>
      <c r="V218" s="276">
        <v>42236</v>
      </c>
      <c r="W218" s="276">
        <v>42236</v>
      </c>
      <c r="X218" s="276" t="s">
        <v>2</v>
      </c>
      <c r="Y218" s="274" t="s">
        <v>2246</v>
      </c>
      <c r="Z218" s="274" t="s">
        <v>2</v>
      </c>
      <c r="AA218" s="274" t="s">
        <v>2</v>
      </c>
      <c r="AB218" s="276" t="s">
        <v>2</v>
      </c>
      <c r="AC218" s="274" t="s">
        <v>2</v>
      </c>
      <c r="AD218" s="274" t="s">
        <v>732</v>
      </c>
      <c r="AE218" s="276"/>
      <c r="AF218" s="274" t="s">
        <v>2188</v>
      </c>
      <c r="AG218" s="274" t="s">
        <v>775</v>
      </c>
      <c r="AH218" s="274" t="s">
        <v>2197</v>
      </c>
      <c r="AI218" s="274" t="s">
        <v>89</v>
      </c>
      <c r="AJ218" s="281">
        <v>810292</v>
      </c>
      <c r="AK218" s="281" t="s">
        <v>903</v>
      </c>
      <c r="AL218" s="281" t="s">
        <v>552</v>
      </c>
      <c r="AM218" s="281" t="s">
        <v>2</v>
      </c>
      <c r="AN218" s="281" t="s">
        <v>422</v>
      </c>
      <c r="AO218" s="281" t="s">
        <v>1172</v>
      </c>
      <c r="AP218" s="281" t="s">
        <v>2</v>
      </c>
      <c r="AQ218" s="302" t="s">
        <v>2</v>
      </c>
    </row>
    <row r="219" spans="1:43" ht="15" customHeight="1">
      <c r="A219" s="90"/>
      <c r="B219" s="84"/>
      <c r="C219" s="91"/>
      <c r="D219" s="301">
        <v>30692</v>
      </c>
      <c r="E219" s="283">
        <v>882222</v>
      </c>
      <c r="F219" s="273">
        <v>17143</v>
      </c>
      <c r="G219" s="274" t="s">
        <v>202</v>
      </c>
      <c r="H219" s="274" t="s">
        <v>422</v>
      </c>
      <c r="I219" s="274" t="s">
        <v>9</v>
      </c>
      <c r="J219" s="274" t="s">
        <v>398</v>
      </c>
      <c r="K219" s="275">
        <v>0.65277777777777779</v>
      </c>
      <c r="L219" s="275">
        <v>0.91666666666666663</v>
      </c>
      <c r="M219" s="275">
        <v>0.2638888888888889</v>
      </c>
      <c r="N219" s="275">
        <v>0.70833333333333337</v>
      </c>
      <c r="O219" s="275">
        <v>0.80555555555555547</v>
      </c>
      <c r="P219" s="275">
        <v>0.86111111111111116</v>
      </c>
      <c r="Q219" s="276">
        <v>42131</v>
      </c>
      <c r="R219" s="284" t="s">
        <v>2</v>
      </c>
      <c r="S219" s="276">
        <v>42156</v>
      </c>
      <c r="T219" s="284" t="s">
        <v>2</v>
      </c>
      <c r="U219" s="274" t="s">
        <v>2218</v>
      </c>
      <c r="V219" s="276">
        <v>42220</v>
      </c>
      <c r="W219" s="276">
        <v>42220</v>
      </c>
      <c r="X219" s="276" t="s">
        <v>2</v>
      </c>
      <c r="Y219" s="274" t="s">
        <v>2245</v>
      </c>
      <c r="Z219" s="274" t="s">
        <v>2</v>
      </c>
      <c r="AA219" s="274" t="s">
        <v>2</v>
      </c>
      <c r="AB219" s="276" t="s">
        <v>2</v>
      </c>
      <c r="AC219" s="274" t="s">
        <v>2</v>
      </c>
      <c r="AD219" s="274" t="s">
        <v>2</v>
      </c>
      <c r="AE219" s="276"/>
      <c r="AF219" s="274" t="s">
        <v>2</v>
      </c>
      <c r="AG219" s="274" t="s">
        <v>775</v>
      </c>
      <c r="AH219" s="274" t="s">
        <v>2197</v>
      </c>
      <c r="AI219" s="274" t="s">
        <v>89</v>
      </c>
      <c r="AJ219" s="281">
        <v>810337</v>
      </c>
      <c r="AK219" s="281" t="s">
        <v>886</v>
      </c>
      <c r="AL219" s="281" t="s">
        <v>535</v>
      </c>
      <c r="AM219" s="281" t="s">
        <v>2</v>
      </c>
      <c r="AN219" s="281" t="s">
        <v>422</v>
      </c>
      <c r="AO219" s="281" t="s">
        <v>1162</v>
      </c>
      <c r="AP219" s="281" t="s">
        <v>2</v>
      </c>
      <c r="AQ219" s="302" t="s">
        <v>2</v>
      </c>
    </row>
    <row r="220" spans="1:43" ht="15" customHeight="1">
      <c r="A220" s="90"/>
      <c r="B220" s="84"/>
      <c r="C220" s="91"/>
      <c r="D220" s="301">
        <v>30686</v>
      </c>
      <c r="E220" s="283">
        <v>882107</v>
      </c>
      <c r="F220" s="273">
        <v>17177</v>
      </c>
      <c r="G220" s="274" t="s">
        <v>310</v>
      </c>
      <c r="H220" s="274" t="s">
        <v>414</v>
      </c>
      <c r="I220" s="274" t="s">
        <v>9</v>
      </c>
      <c r="J220" s="274" t="s">
        <v>403</v>
      </c>
      <c r="K220" s="275">
        <v>0.41666666666666669</v>
      </c>
      <c r="L220" s="275">
        <v>0.68055555555555558</v>
      </c>
      <c r="M220" s="275">
        <v>0.2638888888888889</v>
      </c>
      <c r="N220" s="275">
        <v>0.49305555555555558</v>
      </c>
      <c r="O220" s="275">
        <v>0.56944444444444442</v>
      </c>
      <c r="P220" s="275">
        <v>0.625</v>
      </c>
      <c r="Q220" s="276">
        <v>42131</v>
      </c>
      <c r="R220" s="284" t="s">
        <v>2</v>
      </c>
      <c r="S220" s="276">
        <v>42156</v>
      </c>
      <c r="T220" s="284" t="s">
        <v>2</v>
      </c>
      <c r="U220" s="274" t="s">
        <v>2218</v>
      </c>
      <c r="V220" s="276">
        <v>42220</v>
      </c>
      <c r="W220" s="276">
        <v>42220</v>
      </c>
      <c r="X220" s="276" t="s">
        <v>2</v>
      </c>
      <c r="Y220" s="274" t="s">
        <v>2245</v>
      </c>
      <c r="Z220" s="274" t="s">
        <v>2</v>
      </c>
      <c r="AA220" s="274" t="s">
        <v>2</v>
      </c>
      <c r="AB220" s="276" t="s">
        <v>2</v>
      </c>
      <c r="AC220" s="274" t="s">
        <v>2</v>
      </c>
      <c r="AD220" s="274" t="s">
        <v>2</v>
      </c>
      <c r="AE220" s="276"/>
      <c r="AF220" s="274" t="s">
        <v>2</v>
      </c>
      <c r="AG220" s="274" t="s">
        <v>775</v>
      </c>
      <c r="AH220" s="274" t="s">
        <v>2197</v>
      </c>
      <c r="AI220" s="274" t="s">
        <v>89</v>
      </c>
      <c r="AJ220" s="281">
        <v>810348</v>
      </c>
      <c r="AK220" s="281" t="s">
        <v>988</v>
      </c>
      <c r="AL220" s="281" t="s">
        <v>637</v>
      </c>
      <c r="AM220" s="281" t="s">
        <v>2</v>
      </c>
      <c r="AN220" s="281" t="s">
        <v>422</v>
      </c>
      <c r="AO220" s="281" t="s">
        <v>1193</v>
      </c>
      <c r="AP220" s="281" t="s">
        <v>2</v>
      </c>
      <c r="AQ220" s="302" t="s">
        <v>2</v>
      </c>
    </row>
    <row r="221" spans="1:43" ht="15" customHeight="1">
      <c r="A221" s="90"/>
      <c r="B221" s="84"/>
      <c r="C221" s="91"/>
      <c r="D221" s="301">
        <v>29854</v>
      </c>
      <c r="E221" s="283">
        <v>868169</v>
      </c>
      <c r="F221" s="273">
        <v>17093</v>
      </c>
      <c r="G221" s="274" t="s">
        <v>321</v>
      </c>
      <c r="H221" s="274" t="s">
        <v>417</v>
      </c>
      <c r="I221" s="274" t="s">
        <v>9</v>
      </c>
      <c r="J221" s="274" t="s">
        <v>403</v>
      </c>
      <c r="K221" s="275">
        <v>0.57500000000000007</v>
      </c>
      <c r="L221" s="275">
        <v>0.91666666666666663</v>
      </c>
      <c r="M221" s="275">
        <v>0.34166666666666662</v>
      </c>
      <c r="N221" s="275">
        <v>0.65277777777777779</v>
      </c>
      <c r="O221" s="275">
        <v>0.77777777777777779</v>
      </c>
      <c r="P221" s="275">
        <v>0.86111111111111116</v>
      </c>
      <c r="Q221" s="276">
        <v>41983</v>
      </c>
      <c r="R221" s="284" t="s">
        <v>2</v>
      </c>
      <c r="S221" s="276">
        <v>42009</v>
      </c>
      <c r="T221" s="284" t="s">
        <v>2</v>
      </c>
      <c r="U221" s="274" t="s">
        <v>2218</v>
      </c>
      <c r="V221" s="276">
        <v>42219</v>
      </c>
      <c r="W221" s="276">
        <v>42219</v>
      </c>
      <c r="X221" s="276" t="s">
        <v>2</v>
      </c>
      <c r="Y221" s="274" t="s">
        <v>2246</v>
      </c>
      <c r="Z221" s="274" t="s">
        <v>2</v>
      </c>
      <c r="AA221" s="274" t="s">
        <v>2</v>
      </c>
      <c r="AB221" s="276" t="s">
        <v>2</v>
      </c>
      <c r="AC221" s="274" t="s">
        <v>2</v>
      </c>
      <c r="AD221" s="274">
        <v>2810000</v>
      </c>
      <c r="AE221" s="276"/>
      <c r="AF221" s="274" t="s">
        <v>2189</v>
      </c>
      <c r="AG221" s="274" t="s">
        <v>775</v>
      </c>
      <c r="AH221" s="274" t="s">
        <v>2197</v>
      </c>
      <c r="AI221" s="274" t="s">
        <v>89</v>
      </c>
      <c r="AJ221" s="281">
        <v>810260</v>
      </c>
      <c r="AK221" s="281" t="s">
        <v>999</v>
      </c>
      <c r="AL221" s="281" t="s">
        <v>648</v>
      </c>
      <c r="AM221" s="281" t="s">
        <v>2</v>
      </c>
      <c r="AN221" s="281" t="s">
        <v>422</v>
      </c>
      <c r="AO221" s="281" t="s">
        <v>1196</v>
      </c>
      <c r="AP221" s="281" t="s">
        <v>2</v>
      </c>
      <c r="AQ221" s="302" t="s">
        <v>2</v>
      </c>
    </row>
    <row r="222" spans="1:43" ht="15" customHeight="1">
      <c r="A222" s="90"/>
      <c r="B222" s="84"/>
      <c r="C222" s="91"/>
      <c r="D222" s="301">
        <v>11590</v>
      </c>
      <c r="E222" s="283">
        <v>689786</v>
      </c>
      <c r="F222" s="273">
        <v>12585</v>
      </c>
      <c r="G222" s="274" t="s">
        <v>390</v>
      </c>
      <c r="H222" s="274" t="s">
        <v>776</v>
      </c>
      <c r="I222" s="274" t="s">
        <v>9</v>
      </c>
      <c r="J222" s="274" t="s">
        <v>406</v>
      </c>
      <c r="K222" s="275">
        <v>0.375</v>
      </c>
      <c r="L222" s="275">
        <v>0.75</v>
      </c>
      <c r="M222" s="275">
        <v>0.375</v>
      </c>
      <c r="N222" s="275" t="s">
        <v>2</v>
      </c>
      <c r="O222" s="275" t="s">
        <v>2</v>
      </c>
      <c r="P222" s="275" t="s">
        <v>2</v>
      </c>
      <c r="Q222" s="276">
        <v>40105</v>
      </c>
      <c r="R222" s="284" t="s">
        <v>2</v>
      </c>
      <c r="S222" s="276">
        <v>40128</v>
      </c>
      <c r="T222" s="284" t="s">
        <v>2</v>
      </c>
      <c r="U222" s="274" t="s">
        <v>2226</v>
      </c>
      <c r="V222" s="276">
        <v>42223</v>
      </c>
      <c r="W222" s="276">
        <v>42223</v>
      </c>
      <c r="X222" s="276" t="s">
        <v>2</v>
      </c>
      <c r="Y222" s="274" t="s">
        <v>2201</v>
      </c>
      <c r="Z222" s="274" t="s">
        <v>2</v>
      </c>
      <c r="AA222" s="274" t="s">
        <v>2</v>
      </c>
      <c r="AB222" s="276" t="s">
        <v>2</v>
      </c>
      <c r="AC222" s="274" t="s">
        <v>2</v>
      </c>
      <c r="AD222" s="274">
        <v>2040020</v>
      </c>
      <c r="AE222" s="276"/>
      <c r="AF222" s="274" t="s">
        <v>2189</v>
      </c>
      <c r="AG222" s="274" t="s">
        <v>776</v>
      </c>
      <c r="AH222" s="274" t="s">
        <v>2197</v>
      </c>
      <c r="AI222" s="274" t="s">
        <v>89</v>
      </c>
      <c r="AJ222" s="281" t="s">
        <v>2</v>
      </c>
      <c r="AK222" s="281" t="s">
        <v>1062</v>
      </c>
      <c r="AL222" s="281" t="s">
        <v>706</v>
      </c>
      <c r="AM222" s="281" t="s">
        <v>2</v>
      </c>
      <c r="AN222" s="281" t="s">
        <v>2</v>
      </c>
      <c r="AO222" s="281" t="s">
        <v>1247</v>
      </c>
      <c r="AP222" s="281" t="s">
        <v>1249</v>
      </c>
      <c r="AQ222" s="302" t="s">
        <v>2</v>
      </c>
    </row>
    <row r="223" spans="1:43" ht="15" customHeight="1">
      <c r="A223" s="90"/>
      <c r="B223" s="84"/>
      <c r="C223" s="91"/>
      <c r="D223" s="301">
        <v>24425</v>
      </c>
      <c r="E223" s="283">
        <v>796365</v>
      </c>
      <c r="F223" s="273">
        <v>12407</v>
      </c>
      <c r="G223" s="274" t="s">
        <v>1343</v>
      </c>
      <c r="H223" s="274" t="s">
        <v>1269</v>
      </c>
      <c r="I223" s="274" t="s">
        <v>9</v>
      </c>
      <c r="J223" s="274" t="s">
        <v>1274</v>
      </c>
      <c r="K223" s="275">
        <v>0.5625</v>
      </c>
      <c r="L223" s="275">
        <v>0.82638888888888884</v>
      </c>
      <c r="M223" s="275">
        <v>0.2638888888888889</v>
      </c>
      <c r="N223" s="275" t="s">
        <v>2</v>
      </c>
      <c r="O223" s="275" t="s">
        <v>2</v>
      </c>
      <c r="P223" s="275" t="s">
        <v>2</v>
      </c>
      <c r="Q223" s="276">
        <v>41319</v>
      </c>
      <c r="R223" s="284" t="s">
        <v>2</v>
      </c>
      <c r="S223" s="276">
        <v>919</v>
      </c>
      <c r="T223" s="284" t="s">
        <v>2</v>
      </c>
      <c r="U223" s="284" t="s">
        <v>2241</v>
      </c>
      <c r="V223" s="276">
        <v>42228</v>
      </c>
      <c r="W223" s="276">
        <v>42228</v>
      </c>
      <c r="X223" s="276" t="s">
        <v>2</v>
      </c>
      <c r="Y223" s="276" t="s">
        <v>2246</v>
      </c>
      <c r="Z223" s="274" t="s">
        <v>2</v>
      </c>
      <c r="AA223" s="274" t="s">
        <v>2</v>
      </c>
      <c r="AB223" s="274" t="s">
        <v>2</v>
      </c>
      <c r="AC223" s="276" t="s">
        <v>2</v>
      </c>
      <c r="AD223" s="274">
        <v>3812060</v>
      </c>
      <c r="AE223" s="276"/>
      <c r="AF223" s="52" t="s">
        <v>2195</v>
      </c>
      <c r="AG223" s="274" t="s">
        <v>776</v>
      </c>
      <c r="AH223" s="274" t="s">
        <v>2197</v>
      </c>
      <c r="AI223" s="274" t="s">
        <v>89</v>
      </c>
      <c r="AJ223" s="274" t="s">
        <v>2</v>
      </c>
      <c r="AK223" s="281" t="s">
        <v>1402</v>
      </c>
      <c r="AL223" s="281" t="s">
        <v>1377</v>
      </c>
      <c r="AM223" s="281" t="s">
        <v>2</v>
      </c>
      <c r="AN223" s="281" t="s">
        <v>2</v>
      </c>
      <c r="AO223" s="281" t="s">
        <v>1424</v>
      </c>
      <c r="AP223" s="281" t="s">
        <v>2</v>
      </c>
      <c r="AQ223" s="302" t="s">
        <v>2</v>
      </c>
    </row>
    <row r="224" spans="1:43" ht="15" customHeight="1">
      <c r="A224" s="90"/>
      <c r="B224" s="84"/>
      <c r="C224" s="91"/>
      <c r="D224" s="301">
        <v>22046</v>
      </c>
      <c r="E224" s="283">
        <v>770447</v>
      </c>
      <c r="F224" s="273">
        <v>17165</v>
      </c>
      <c r="G224" s="274" t="s">
        <v>179</v>
      </c>
      <c r="H224" s="274" t="s">
        <v>414</v>
      </c>
      <c r="I224" s="274" t="s">
        <v>9</v>
      </c>
      <c r="J224" s="274" t="s">
        <v>398</v>
      </c>
      <c r="K224" s="275">
        <v>0.35416666666666669</v>
      </c>
      <c r="L224" s="275">
        <v>0.6958333333333333</v>
      </c>
      <c r="M224" s="275">
        <v>0.34166666666666662</v>
      </c>
      <c r="N224" s="275">
        <v>0.39583333333333331</v>
      </c>
      <c r="O224" s="275">
        <v>0.54166666666666663</v>
      </c>
      <c r="P224" s="275">
        <v>0.63194444444444442</v>
      </c>
      <c r="Q224" s="276">
        <v>41065</v>
      </c>
      <c r="R224" s="284" t="s">
        <v>72</v>
      </c>
      <c r="S224" s="276">
        <v>41088</v>
      </c>
      <c r="T224" s="284">
        <v>1180</v>
      </c>
      <c r="U224" s="274" t="s">
        <v>2220</v>
      </c>
      <c r="V224" s="276">
        <v>42220</v>
      </c>
      <c r="W224" s="276">
        <v>42220</v>
      </c>
      <c r="X224" s="276">
        <v>42220</v>
      </c>
      <c r="Y224" s="274" t="s">
        <v>2246</v>
      </c>
      <c r="Z224" s="274" t="s">
        <v>2</v>
      </c>
      <c r="AA224" s="274" t="s">
        <v>2</v>
      </c>
      <c r="AB224" s="276" t="s">
        <v>2</v>
      </c>
      <c r="AC224" s="274" t="s">
        <v>2</v>
      </c>
      <c r="AD224" s="274">
        <v>5283100</v>
      </c>
      <c r="AE224" s="276"/>
      <c r="AF224" s="274" t="s">
        <v>2191</v>
      </c>
      <c r="AG224" s="274" t="s">
        <v>775</v>
      </c>
      <c r="AH224" s="274" t="s">
        <v>2197</v>
      </c>
      <c r="AI224" s="274" t="s">
        <v>89</v>
      </c>
      <c r="AJ224" s="281">
        <v>810163</v>
      </c>
      <c r="AK224" s="281" t="s">
        <v>865</v>
      </c>
      <c r="AL224" s="281" t="s">
        <v>513</v>
      </c>
      <c r="AM224" s="281" t="s">
        <v>2</v>
      </c>
      <c r="AN224" s="281" t="s">
        <v>422</v>
      </c>
      <c r="AO224" s="281" t="s">
        <v>1150</v>
      </c>
      <c r="AP224" s="281" t="s">
        <v>2</v>
      </c>
      <c r="AQ224" s="302" t="s">
        <v>1249</v>
      </c>
    </row>
    <row r="225" spans="1:43" ht="15" customHeight="1">
      <c r="A225" s="90"/>
      <c r="B225" s="84"/>
      <c r="C225" s="91"/>
      <c r="D225" s="301">
        <v>30452</v>
      </c>
      <c r="E225" s="283">
        <v>876657</v>
      </c>
      <c r="F225" s="273">
        <v>17077</v>
      </c>
      <c r="G225" s="274" t="s">
        <v>249</v>
      </c>
      <c r="H225" s="274" t="s">
        <v>415</v>
      </c>
      <c r="I225" s="274" t="s">
        <v>9</v>
      </c>
      <c r="J225" s="274" t="s">
        <v>398</v>
      </c>
      <c r="K225" s="275">
        <v>0.35416666666666669</v>
      </c>
      <c r="L225" s="275">
        <v>0.61805555555555558</v>
      </c>
      <c r="M225" s="275">
        <v>0.2638888888888889</v>
      </c>
      <c r="N225" s="275">
        <v>0.40277777777777773</v>
      </c>
      <c r="O225" s="275">
        <v>0.50694444444444442</v>
      </c>
      <c r="P225" s="275">
        <v>0.57638888888888895</v>
      </c>
      <c r="Q225" s="276">
        <v>42079</v>
      </c>
      <c r="R225" s="284" t="s">
        <v>72</v>
      </c>
      <c r="S225" s="276">
        <v>42100</v>
      </c>
      <c r="T225" s="284">
        <v>168</v>
      </c>
      <c r="U225" s="274" t="s">
        <v>2218</v>
      </c>
      <c r="V225" s="276">
        <v>42262</v>
      </c>
      <c r="W225" s="276">
        <v>42262</v>
      </c>
      <c r="X225" s="276">
        <v>42262</v>
      </c>
      <c r="Y225" s="274" t="s">
        <v>2246</v>
      </c>
      <c r="Z225" s="274" t="s">
        <v>2</v>
      </c>
      <c r="AA225" s="274" t="s">
        <v>2</v>
      </c>
      <c r="AB225" s="276" t="s">
        <v>2</v>
      </c>
      <c r="AC225" s="274" t="s">
        <v>2</v>
      </c>
      <c r="AD225" s="274" t="s">
        <v>748</v>
      </c>
      <c r="AE225" s="276"/>
      <c r="AF225" s="274" t="s">
        <v>2195</v>
      </c>
      <c r="AG225" s="274" t="s">
        <v>775</v>
      </c>
      <c r="AH225" s="274" t="s">
        <v>2197</v>
      </c>
      <c r="AI225" s="274" t="s">
        <v>89</v>
      </c>
      <c r="AJ225" s="281">
        <v>810298</v>
      </c>
      <c r="AK225" s="281" t="s">
        <v>932</v>
      </c>
      <c r="AL225" s="281" t="s">
        <v>581</v>
      </c>
      <c r="AM225" s="281" t="s">
        <v>2</v>
      </c>
      <c r="AN225" s="281" t="s">
        <v>422</v>
      </c>
      <c r="AO225" s="281" t="s">
        <v>1183</v>
      </c>
      <c r="AP225" s="281" t="s">
        <v>2</v>
      </c>
      <c r="AQ225" s="302" t="s">
        <v>2</v>
      </c>
    </row>
    <row r="226" spans="1:43" ht="15" customHeight="1">
      <c r="A226" s="90"/>
      <c r="B226" s="84"/>
      <c r="C226" s="91"/>
      <c r="D226" s="301">
        <v>30678</v>
      </c>
      <c r="E226" s="283">
        <v>882099</v>
      </c>
      <c r="F226" s="273">
        <v>17138</v>
      </c>
      <c r="G226" s="274" t="s">
        <v>189</v>
      </c>
      <c r="H226" s="274" t="s">
        <v>422</v>
      </c>
      <c r="I226" s="274" t="s">
        <v>9</v>
      </c>
      <c r="J226" s="274" t="s">
        <v>398</v>
      </c>
      <c r="K226" s="275">
        <v>0.375</v>
      </c>
      <c r="L226" s="275">
        <v>0.63888888888888895</v>
      </c>
      <c r="M226" s="275">
        <v>0.2638888888888889</v>
      </c>
      <c r="N226" s="275">
        <v>0.44444444444444442</v>
      </c>
      <c r="O226" s="275">
        <v>0.52777777777777779</v>
      </c>
      <c r="P226" s="275">
        <v>0.58333333333333337</v>
      </c>
      <c r="Q226" s="276">
        <v>42131</v>
      </c>
      <c r="R226" s="284" t="s">
        <v>72</v>
      </c>
      <c r="S226" s="276">
        <v>42156</v>
      </c>
      <c r="T226" s="284">
        <v>112</v>
      </c>
      <c r="U226" s="274" t="s">
        <v>2218</v>
      </c>
      <c r="V226" s="276">
        <v>42263</v>
      </c>
      <c r="W226" s="276">
        <v>42247</v>
      </c>
      <c r="X226" s="276">
        <v>42247</v>
      </c>
      <c r="Y226" s="274" t="s">
        <v>2246</v>
      </c>
      <c r="Z226" s="274" t="s">
        <v>2</v>
      </c>
      <c r="AA226" s="274" t="s">
        <v>2</v>
      </c>
      <c r="AB226" s="276" t="s">
        <v>2</v>
      </c>
      <c r="AC226" s="274" t="s">
        <v>2</v>
      </c>
      <c r="AD226" s="274" t="s">
        <v>2</v>
      </c>
      <c r="AE226" s="276"/>
      <c r="AF226" s="274" t="s">
        <v>2</v>
      </c>
      <c r="AG226" s="274" t="s">
        <v>775</v>
      </c>
      <c r="AH226" s="274" t="s">
        <v>2197</v>
      </c>
      <c r="AI226" s="274" t="s">
        <v>89</v>
      </c>
      <c r="AJ226" s="281">
        <v>810330</v>
      </c>
      <c r="AK226" s="281" t="s">
        <v>874</v>
      </c>
      <c r="AL226" s="281" t="s">
        <v>522</v>
      </c>
      <c r="AM226" s="281" t="s">
        <v>2</v>
      </c>
      <c r="AN226" s="281" t="s">
        <v>422</v>
      </c>
      <c r="AO226" s="281" t="s">
        <v>1157</v>
      </c>
      <c r="AP226" s="281" t="s">
        <v>2</v>
      </c>
      <c r="AQ226" s="302" t="s">
        <v>2</v>
      </c>
    </row>
    <row r="227" spans="1:43" ht="15" customHeight="1">
      <c r="A227" s="90"/>
      <c r="B227" s="84"/>
      <c r="C227" s="91"/>
      <c r="D227" s="301">
        <v>30458</v>
      </c>
      <c r="E227" s="283">
        <v>876663</v>
      </c>
      <c r="F227" s="273">
        <v>17128</v>
      </c>
      <c r="G227" s="274" t="s">
        <v>252</v>
      </c>
      <c r="H227" s="274" t="s">
        <v>415</v>
      </c>
      <c r="I227" s="274" t="s">
        <v>9</v>
      </c>
      <c r="J227" s="274" t="s">
        <v>398</v>
      </c>
      <c r="K227" s="275">
        <v>0.375</v>
      </c>
      <c r="L227" s="275">
        <v>0.63888888888888895</v>
      </c>
      <c r="M227" s="275">
        <v>0.2638888888888889</v>
      </c>
      <c r="N227" s="275">
        <v>0.4375</v>
      </c>
      <c r="O227" s="275">
        <v>0.51388888888888895</v>
      </c>
      <c r="P227" s="275">
        <v>0.57638888888888895</v>
      </c>
      <c r="Q227" s="276">
        <v>42079</v>
      </c>
      <c r="R227" s="284" t="s">
        <v>72</v>
      </c>
      <c r="S227" s="276">
        <v>42100</v>
      </c>
      <c r="T227" s="284">
        <v>168</v>
      </c>
      <c r="U227" s="274" t="s">
        <v>2218</v>
      </c>
      <c r="V227" s="276">
        <v>42259</v>
      </c>
      <c r="W227" s="276">
        <v>42259</v>
      </c>
      <c r="X227" s="276">
        <v>42259</v>
      </c>
      <c r="Y227" s="274" t="s">
        <v>2246</v>
      </c>
      <c r="Z227" s="274" t="s">
        <v>2</v>
      </c>
      <c r="AA227" s="274" t="s">
        <v>2</v>
      </c>
      <c r="AB227" s="276" t="s">
        <v>2</v>
      </c>
      <c r="AC227" s="274" t="s">
        <v>2</v>
      </c>
      <c r="AD227" s="274" t="s">
        <v>751</v>
      </c>
      <c r="AE227" s="276"/>
      <c r="AF227" s="274" t="s">
        <v>2194</v>
      </c>
      <c r="AG227" s="274" t="s">
        <v>775</v>
      </c>
      <c r="AH227" s="274" t="s">
        <v>2197</v>
      </c>
      <c r="AI227" s="274" t="s">
        <v>89</v>
      </c>
      <c r="AJ227" s="281">
        <v>810305</v>
      </c>
      <c r="AK227" s="281" t="s">
        <v>935</v>
      </c>
      <c r="AL227" s="281" t="s">
        <v>584</v>
      </c>
      <c r="AM227" s="281" t="s">
        <v>2</v>
      </c>
      <c r="AN227" s="281" t="s">
        <v>422</v>
      </c>
      <c r="AO227" s="281" t="s">
        <v>1185</v>
      </c>
      <c r="AP227" s="281" t="s">
        <v>2</v>
      </c>
      <c r="AQ227" s="302" t="s">
        <v>2</v>
      </c>
    </row>
    <row r="228" spans="1:43" ht="15" customHeight="1">
      <c r="A228" s="90"/>
      <c r="B228" s="84"/>
      <c r="C228" s="91"/>
      <c r="D228" s="301">
        <v>24433</v>
      </c>
      <c r="E228" s="283">
        <v>796373</v>
      </c>
      <c r="F228" s="273">
        <v>12112</v>
      </c>
      <c r="G228" s="274" t="s">
        <v>231</v>
      </c>
      <c r="H228" s="274" t="s">
        <v>420</v>
      </c>
      <c r="I228" s="274" t="s">
        <v>9</v>
      </c>
      <c r="J228" s="274" t="s">
        <v>398</v>
      </c>
      <c r="K228" s="275">
        <v>0.39583333333333331</v>
      </c>
      <c r="L228" s="275">
        <v>0.73749999999999993</v>
      </c>
      <c r="M228" s="275">
        <v>0.34166666666666662</v>
      </c>
      <c r="N228" s="275">
        <v>0.49305555555555558</v>
      </c>
      <c r="O228" s="275">
        <v>0.54166666666666663</v>
      </c>
      <c r="P228" s="275">
        <v>0.66666666666666663</v>
      </c>
      <c r="Q228" s="276">
        <v>41319</v>
      </c>
      <c r="R228" s="284" t="s">
        <v>72</v>
      </c>
      <c r="S228" s="276">
        <v>41342</v>
      </c>
      <c r="T228" s="284">
        <v>926</v>
      </c>
      <c r="U228" s="274" t="s">
        <v>2218</v>
      </c>
      <c r="V228" s="276">
        <v>42256</v>
      </c>
      <c r="W228" s="276">
        <v>42256</v>
      </c>
      <c r="X228" s="276">
        <v>42256</v>
      </c>
      <c r="Y228" s="274" t="s">
        <v>2246</v>
      </c>
      <c r="Z228" s="274" t="s">
        <v>2</v>
      </c>
      <c r="AA228" s="274" t="s">
        <v>2</v>
      </c>
      <c r="AB228" s="276" t="s">
        <v>2</v>
      </c>
      <c r="AC228" s="274" t="s">
        <v>2</v>
      </c>
      <c r="AD228" s="274">
        <v>2252120</v>
      </c>
      <c r="AE228" s="276"/>
      <c r="AF228" s="274" t="s">
        <v>2189</v>
      </c>
      <c r="AG228" s="274" t="s">
        <v>775</v>
      </c>
      <c r="AH228" s="274" t="s">
        <v>2197</v>
      </c>
      <c r="AI228" s="274" t="s">
        <v>89</v>
      </c>
      <c r="AJ228" s="281">
        <v>810108</v>
      </c>
      <c r="AK228" s="281" t="s">
        <v>915</v>
      </c>
      <c r="AL228" s="281" t="s">
        <v>564</v>
      </c>
      <c r="AM228" s="281" t="s">
        <v>2</v>
      </c>
      <c r="AN228" s="281" t="s">
        <v>422</v>
      </c>
      <c r="AO228" s="281" t="s">
        <v>1175</v>
      </c>
      <c r="AP228" s="281" t="s">
        <v>2</v>
      </c>
      <c r="AQ228" s="302" t="s">
        <v>2</v>
      </c>
    </row>
    <row r="229" spans="1:43" ht="15" customHeight="1">
      <c r="A229" s="90"/>
      <c r="B229" s="84"/>
      <c r="C229" s="91"/>
      <c r="D229" s="301">
        <v>28056</v>
      </c>
      <c r="E229" s="283">
        <v>836131</v>
      </c>
      <c r="F229" s="273">
        <v>12772</v>
      </c>
      <c r="G229" s="274" t="s">
        <v>254</v>
      </c>
      <c r="H229" s="274" t="s">
        <v>415</v>
      </c>
      <c r="I229" s="274" t="s">
        <v>9</v>
      </c>
      <c r="J229" s="274" t="s">
        <v>398</v>
      </c>
      <c r="K229" s="275">
        <v>0.39583333333333331</v>
      </c>
      <c r="L229" s="275">
        <v>0.73749999999999993</v>
      </c>
      <c r="M229" s="275">
        <v>0.34166666666666662</v>
      </c>
      <c r="N229" s="275">
        <v>0.49305555555555558</v>
      </c>
      <c r="O229" s="275">
        <v>0.54166666666666663</v>
      </c>
      <c r="P229" s="275">
        <v>0.66666666666666663</v>
      </c>
      <c r="Q229" s="276">
        <v>41731</v>
      </c>
      <c r="R229" s="284" t="s">
        <v>72</v>
      </c>
      <c r="S229" s="276">
        <v>41761</v>
      </c>
      <c r="T229" s="284">
        <v>507</v>
      </c>
      <c r="U229" s="274" t="s">
        <v>2218</v>
      </c>
      <c r="V229" s="276">
        <v>42262</v>
      </c>
      <c r="W229" s="276">
        <v>42262</v>
      </c>
      <c r="X229" s="276">
        <v>42262</v>
      </c>
      <c r="Y229" s="274" t="s">
        <v>2</v>
      </c>
      <c r="Z229" s="274" t="s">
        <v>2</v>
      </c>
      <c r="AA229" s="274" t="s">
        <v>2</v>
      </c>
      <c r="AB229" s="276" t="s">
        <v>2</v>
      </c>
      <c r="AC229" s="274" t="s">
        <v>2</v>
      </c>
      <c r="AD229" s="274" t="s">
        <v>2</v>
      </c>
      <c r="AE229" s="276"/>
      <c r="AF229" s="274" t="s">
        <v>2</v>
      </c>
      <c r="AG229" s="274" t="s">
        <v>775</v>
      </c>
      <c r="AH229" s="274" t="s">
        <v>2197</v>
      </c>
      <c r="AI229" s="274" t="s">
        <v>89</v>
      </c>
      <c r="AJ229" s="281">
        <v>810111</v>
      </c>
      <c r="AK229" s="281" t="s">
        <v>937</v>
      </c>
      <c r="AL229" s="281" t="s">
        <v>586</v>
      </c>
      <c r="AM229" s="281" t="s">
        <v>2</v>
      </c>
      <c r="AN229" s="281" t="s">
        <v>422</v>
      </c>
      <c r="AO229" s="281" t="s">
        <v>1186</v>
      </c>
      <c r="AP229" s="281" t="s">
        <v>2</v>
      </c>
      <c r="AQ229" s="302" t="s">
        <v>2</v>
      </c>
    </row>
    <row r="230" spans="1:43" ht="15" customHeight="1">
      <c r="A230" s="90"/>
      <c r="B230" s="84"/>
      <c r="C230" s="91"/>
      <c r="D230" s="301">
        <v>27245</v>
      </c>
      <c r="E230" s="283">
        <v>827470</v>
      </c>
      <c r="F230" s="273">
        <v>12104</v>
      </c>
      <c r="G230" s="274" t="s">
        <v>345</v>
      </c>
      <c r="H230" s="274" t="s">
        <v>418</v>
      </c>
      <c r="I230" s="274" t="s">
        <v>9</v>
      </c>
      <c r="J230" s="274" t="s">
        <v>403</v>
      </c>
      <c r="K230" s="275">
        <v>0.375</v>
      </c>
      <c r="L230" s="275">
        <v>0.71666666666666656</v>
      </c>
      <c r="M230" s="275">
        <v>0.34166666666666662</v>
      </c>
      <c r="N230" s="275">
        <v>0.41666666666666669</v>
      </c>
      <c r="O230" s="275">
        <v>0.5625</v>
      </c>
      <c r="P230" s="275">
        <v>0.65972222222222221</v>
      </c>
      <c r="Q230" s="276">
        <v>41620</v>
      </c>
      <c r="R230" s="284" t="s">
        <v>72</v>
      </c>
      <c r="S230" s="276">
        <v>41653</v>
      </c>
      <c r="T230" s="284">
        <v>615</v>
      </c>
      <c r="U230" s="274" t="s">
        <v>2218</v>
      </c>
      <c r="V230" s="276">
        <v>42251</v>
      </c>
      <c r="W230" s="276">
        <v>42251</v>
      </c>
      <c r="X230" s="276">
        <v>42251</v>
      </c>
      <c r="Y230" s="274" t="s">
        <v>2246</v>
      </c>
      <c r="Z230" s="274" t="s">
        <v>2</v>
      </c>
      <c r="AA230" s="274" t="s">
        <v>2</v>
      </c>
      <c r="AB230" s="276" t="s">
        <v>2</v>
      </c>
      <c r="AC230" s="274" t="s">
        <v>2</v>
      </c>
      <c r="AD230" s="274" t="s">
        <v>2</v>
      </c>
      <c r="AE230" s="276"/>
      <c r="AF230" s="274" t="s">
        <v>2</v>
      </c>
      <c r="AG230" s="274" t="s">
        <v>775</v>
      </c>
      <c r="AH230" s="274" t="s">
        <v>2197</v>
      </c>
      <c r="AI230" s="274" t="s">
        <v>89</v>
      </c>
      <c r="AJ230" s="281">
        <v>810093</v>
      </c>
      <c r="AK230" s="281" t="s">
        <v>1023</v>
      </c>
      <c r="AL230" s="281" t="s">
        <v>672</v>
      </c>
      <c r="AM230" s="281" t="s">
        <v>2</v>
      </c>
      <c r="AN230" s="281" t="s">
        <v>422</v>
      </c>
      <c r="AO230" s="281" t="s">
        <v>1206</v>
      </c>
      <c r="AP230" s="281" t="s">
        <v>2</v>
      </c>
      <c r="AQ230" s="302" t="s">
        <v>2</v>
      </c>
    </row>
    <row r="231" spans="1:43" ht="15" customHeight="1">
      <c r="A231" s="90"/>
      <c r="B231" s="84"/>
      <c r="C231" s="91"/>
      <c r="D231" s="301">
        <v>31051</v>
      </c>
      <c r="E231" s="283">
        <v>893766</v>
      </c>
      <c r="F231" s="273">
        <v>17187</v>
      </c>
      <c r="G231" s="274" t="s">
        <v>2253</v>
      </c>
      <c r="H231" s="274" t="s">
        <v>414</v>
      </c>
      <c r="I231" s="274" t="s">
        <v>9</v>
      </c>
      <c r="J231" s="274" t="s">
        <v>403</v>
      </c>
      <c r="K231" s="275">
        <v>0.41666666666666669</v>
      </c>
      <c r="L231" s="275">
        <v>0.68055555555555558</v>
      </c>
      <c r="M231" s="275">
        <v>0.2638888888888889</v>
      </c>
      <c r="N231" s="275">
        <v>0.45833333333333331</v>
      </c>
      <c r="O231" s="275">
        <v>0.54166666666666663</v>
      </c>
      <c r="P231" s="275">
        <v>0.61111111111111105</v>
      </c>
      <c r="Q231" s="276">
        <v>42227</v>
      </c>
      <c r="R231" s="284" t="s">
        <v>85</v>
      </c>
      <c r="S231" s="276">
        <v>42254</v>
      </c>
      <c r="T231" s="284">
        <v>14</v>
      </c>
      <c r="U231" s="274" t="s">
        <v>2218</v>
      </c>
      <c r="V231" s="276">
        <v>42257</v>
      </c>
      <c r="W231" s="276">
        <v>42257</v>
      </c>
      <c r="X231" s="276">
        <v>42257</v>
      </c>
      <c r="Y231" s="274" t="s">
        <v>2246</v>
      </c>
      <c r="Z231" s="274" t="s">
        <v>2</v>
      </c>
      <c r="AA231" s="274" t="s">
        <v>2</v>
      </c>
      <c r="AB231" s="276" t="s">
        <v>2</v>
      </c>
      <c r="AC231" s="274" t="s">
        <v>2</v>
      </c>
      <c r="AD231" s="274" t="s">
        <v>2</v>
      </c>
      <c r="AE231" s="276"/>
      <c r="AF231" s="274" t="s">
        <v>2</v>
      </c>
      <c r="AG231" s="274" t="s">
        <v>775</v>
      </c>
      <c r="AH231" s="274" t="s">
        <v>2197</v>
      </c>
      <c r="AI231" s="274" t="s">
        <v>89</v>
      </c>
      <c r="AJ231" s="281" t="s">
        <v>2</v>
      </c>
      <c r="AK231" s="281" t="s">
        <v>2271</v>
      </c>
      <c r="AL231" s="281" t="s">
        <v>2300</v>
      </c>
      <c r="AM231" s="281" t="s">
        <v>2</v>
      </c>
      <c r="AN231" s="281" t="s">
        <v>422</v>
      </c>
      <c r="AO231" s="281" t="s">
        <v>2317</v>
      </c>
      <c r="AP231" s="281" t="s">
        <v>2</v>
      </c>
      <c r="AQ231" s="302" t="s">
        <v>2</v>
      </c>
    </row>
    <row r="232" spans="1:43" ht="15" customHeight="1">
      <c r="A232" s="90"/>
      <c r="B232" s="84"/>
      <c r="C232" s="91"/>
      <c r="D232" s="301">
        <v>31064</v>
      </c>
      <c r="E232" s="283">
        <v>893779</v>
      </c>
      <c r="F232" s="273">
        <v>17083</v>
      </c>
      <c r="G232" s="274" t="s">
        <v>2269</v>
      </c>
      <c r="H232" s="274" t="s">
        <v>417</v>
      </c>
      <c r="I232" s="274" t="s">
        <v>9</v>
      </c>
      <c r="J232" s="274" t="s">
        <v>403</v>
      </c>
      <c r="K232" s="275">
        <v>0.65277777777777779</v>
      </c>
      <c r="L232" s="275">
        <v>0.91666666666666663</v>
      </c>
      <c r="M232" s="275">
        <v>0.2638888888888889</v>
      </c>
      <c r="N232" s="275">
        <v>0.70138888888888884</v>
      </c>
      <c r="O232" s="275">
        <v>0.77777777777777779</v>
      </c>
      <c r="P232" s="275">
        <v>0.86805555555555547</v>
      </c>
      <c r="Q232" s="276">
        <v>42227</v>
      </c>
      <c r="R232" s="284" t="s">
        <v>85</v>
      </c>
      <c r="S232" s="276">
        <v>42254</v>
      </c>
      <c r="T232" s="284">
        <v>14</v>
      </c>
      <c r="U232" s="274" t="s">
        <v>2218</v>
      </c>
      <c r="V232" s="276">
        <v>42251</v>
      </c>
      <c r="W232" s="276">
        <v>42251</v>
      </c>
      <c r="X232" s="276">
        <v>42251</v>
      </c>
      <c r="Y232" s="274" t="s">
        <v>2246</v>
      </c>
      <c r="Z232" s="274" t="s">
        <v>2</v>
      </c>
      <c r="AA232" s="274" t="s">
        <v>2</v>
      </c>
      <c r="AB232" s="276" t="s">
        <v>2</v>
      </c>
      <c r="AC232" s="274" t="s">
        <v>2</v>
      </c>
      <c r="AD232" s="274" t="s">
        <v>2</v>
      </c>
      <c r="AE232" s="276"/>
      <c r="AF232" s="274" t="s">
        <v>2</v>
      </c>
      <c r="AG232" s="274" t="s">
        <v>775</v>
      </c>
      <c r="AH232" s="274" t="s">
        <v>2197</v>
      </c>
      <c r="AI232" s="274" t="s">
        <v>89</v>
      </c>
      <c r="AJ232" s="281" t="s">
        <v>2</v>
      </c>
      <c r="AK232" s="281" t="s">
        <v>2286</v>
      </c>
      <c r="AL232" s="281" t="s">
        <v>2309</v>
      </c>
      <c r="AM232" s="281" t="s">
        <v>2</v>
      </c>
      <c r="AN232" s="281" t="s">
        <v>422</v>
      </c>
      <c r="AO232" s="281" t="s">
        <v>2323</v>
      </c>
      <c r="AP232" s="281" t="s">
        <v>2</v>
      </c>
      <c r="AQ232" s="302" t="s">
        <v>2</v>
      </c>
    </row>
    <row r="233" spans="1:43" ht="15" customHeight="1">
      <c r="A233" s="90"/>
      <c r="B233" s="84"/>
      <c r="C233" s="91"/>
      <c r="D233" s="301">
        <v>31067</v>
      </c>
      <c r="E233" s="283">
        <v>893782</v>
      </c>
      <c r="F233" s="273">
        <v>17088</v>
      </c>
      <c r="G233" s="274" t="s">
        <v>2265</v>
      </c>
      <c r="H233" s="274" t="s">
        <v>417</v>
      </c>
      <c r="I233" s="274" t="s">
        <v>9</v>
      </c>
      <c r="J233" s="274" t="s">
        <v>403</v>
      </c>
      <c r="K233" s="275">
        <v>0.65277777777777779</v>
      </c>
      <c r="L233" s="275">
        <v>0.91666666666666663</v>
      </c>
      <c r="M233" s="275">
        <v>0.2638888888888889</v>
      </c>
      <c r="N233" s="275">
        <v>0.70138888888888884</v>
      </c>
      <c r="O233" s="275">
        <v>0.79166666666666663</v>
      </c>
      <c r="P233" s="275">
        <v>0.86805555555555547</v>
      </c>
      <c r="Q233" s="276">
        <v>42227</v>
      </c>
      <c r="R233" s="284" t="s">
        <v>85</v>
      </c>
      <c r="S233" s="276">
        <v>42254</v>
      </c>
      <c r="T233" s="284">
        <v>14</v>
      </c>
      <c r="U233" s="274" t="s">
        <v>2218</v>
      </c>
      <c r="V233" s="276">
        <v>42263</v>
      </c>
      <c r="W233" s="276">
        <v>42263</v>
      </c>
      <c r="X233" s="276">
        <v>42263</v>
      </c>
      <c r="Y233" s="274" t="s">
        <v>2</v>
      </c>
      <c r="Z233" s="274" t="s">
        <v>2</v>
      </c>
      <c r="AA233" s="274" t="s">
        <v>2</v>
      </c>
      <c r="AB233" s="276" t="s">
        <v>2</v>
      </c>
      <c r="AC233" s="274" t="s">
        <v>2</v>
      </c>
      <c r="AD233" s="274" t="s">
        <v>2</v>
      </c>
      <c r="AE233" s="276"/>
      <c r="AF233" s="274" t="s">
        <v>2</v>
      </c>
      <c r="AG233" s="274" t="s">
        <v>775</v>
      </c>
      <c r="AH233" s="274" t="s">
        <v>2197</v>
      </c>
      <c r="AI233" s="274" t="s">
        <v>89</v>
      </c>
      <c r="AJ233" s="281" t="s">
        <v>2</v>
      </c>
      <c r="AK233" s="281" t="s">
        <v>2287</v>
      </c>
      <c r="AL233" s="281" t="s">
        <v>2310</v>
      </c>
      <c r="AM233" s="281" t="s">
        <v>2</v>
      </c>
      <c r="AN233" s="281" t="s">
        <v>422</v>
      </c>
      <c r="AO233" s="281" t="s">
        <v>2324</v>
      </c>
      <c r="AP233" s="281" t="s">
        <v>2</v>
      </c>
      <c r="AQ233" s="302" t="s">
        <v>2</v>
      </c>
    </row>
    <row r="234" spans="1:43" ht="15" customHeight="1">
      <c r="A234" s="90"/>
      <c r="B234" s="84"/>
      <c r="C234" s="91"/>
      <c r="D234" s="301">
        <v>30477</v>
      </c>
      <c r="E234" s="283">
        <v>876824</v>
      </c>
      <c r="F234" s="273">
        <v>12409</v>
      </c>
      <c r="G234" s="274" t="s">
        <v>362</v>
      </c>
      <c r="H234" s="274" t="s">
        <v>408</v>
      </c>
      <c r="I234" s="274" t="s">
        <v>9</v>
      </c>
      <c r="J234" s="274" t="s">
        <v>404</v>
      </c>
      <c r="K234" s="275">
        <v>0.65277777777777779</v>
      </c>
      <c r="L234" s="275">
        <v>0.91666666666666674</v>
      </c>
      <c r="M234" s="275">
        <v>0.2638888888888889</v>
      </c>
      <c r="N234" s="275">
        <v>0.69444444444444453</v>
      </c>
      <c r="O234" s="275">
        <v>0.77083333333333337</v>
      </c>
      <c r="P234" s="275">
        <v>0.86805555555555547</v>
      </c>
      <c r="Q234" s="276">
        <v>42079</v>
      </c>
      <c r="R234" s="284" t="s">
        <v>72</v>
      </c>
      <c r="S234" s="276">
        <v>42086</v>
      </c>
      <c r="T234" s="284">
        <v>182</v>
      </c>
      <c r="U234" s="274" t="s">
        <v>2219</v>
      </c>
      <c r="V234" s="276">
        <v>42250</v>
      </c>
      <c r="W234" s="276">
        <v>42250</v>
      </c>
      <c r="X234" s="276">
        <v>42250</v>
      </c>
      <c r="Y234" s="274" t="s">
        <v>2</v>
      </c>
      <c r="Z234" s="274" t="s">
        <v>2</v>
      </c>
      <c r="AA234" s="274" t="s">
        <v>2</v>
      </c>
      <c r="AB234" s="276" t="s">
        <v>2</v>
      </c>
      <c r="AC234" s="274" t="s">
        <v>2</v>
      </c>
      <c r="AD234" s="274" t="s">
        <v>2</v>
      </c>
      <c r="AE234" s="276"/>
      <c r="AF234" s="274" t="s">
        <v>2</v>
      </c>
      <c r="AG234" s="274" t="s">
        <v>775</v>
      </c>
      <c r="AH234" s="274" t="s">
        <v>2197</v>
      </c>
      <c r="AI234" s="274" t="s">
        <v>89</v>
      </c>
      <c r="AJ234" s="281">
        <v>810365</v>
      </c>
      <c r="AK234" s="281" t="s">
        <v>1040</v>
      </c>
      <c r="AL234" s="281" t="s">
        <v>690</v>
      </c>
      <c r="AM234" s="281" t="s">
        <v>2</v>
      </c>
      <c r="AN234" s="281" t="s">
        <v>2</v>
      </c>
      <c r="AO234" s="281" t="s">
        <v>1220</v>
      </c>
      <c r="AP234" s="281" t="s">
        <v>1249</v>
      </c>
      <c r="AQ234" s="302" t="s">
        <v>2</v>
      </c>
    </row>
    <row r="235" spans="1:43" ht="15" customHeight="1">
      <c r="A235" s="90"/>
      <c r="B235" s="84"/>
      <c r="C235" s="91"/>
      <c r="D235" s="301">
        <v>11441</v>
      </c>
      <c r="E235" s="283">
        <v>689519</v>
      </c>
      <c r="F235" s="273">
        <v>10188</v>
      </c>
      <c r="G235" s="274" t="s">
        <v>421</v>
      </c>
      <c r="H235" s="274" t="s">
        <v>422</v>
      </c>
      <c r="I235" s="274" t="s">
        <v>9</v>
      </c>
      <c r="J235" s="274" t="s">
        <v>398</v>
      </c>
      <c r="K235" s="275">
        <v>0.35416666666666669</v>
      </c>
      <c r="L235" s="275">
        <v>0.70138888888888884</v>
      </c>
      <c r="M235" s="275">
        <v>0.34722222222222227</v>
      </c>
      <c r="N235" s="275" t="s">
        <v>2</v>
      </c>
      <c r="O235" s="275" t="s">
        <v>2</v>
      </c>
      <c r="P235" s="275" t="s">
        <v>2</v>
      </c>
      <c r="Q235" s="276">
        <v>40078</v>
      </c>
      <c r="R235" s="276" t="s">
        <v>72</v>
      </c>
      <c r="S235" s="276" t="s">
        <v>2</v>
      </c>
      <c r="T235" s="284">
        <v>2190</v>
      </c>
      <c r="U235" s="274" t="s">
        <v>2230</v>
      </c>
      <c r="V235" s="276">
        <v>42251</v>
      </c>
      <c r="W235" s="276">
        <v>42251</v>
      </c>
      <c r="X235" s="276">
        <v>42251</v>
      </c>
      <c r="Y235" s="274" t="s">
        <v>2245</v>
      </c>
      <c r="Z235" s="274" t="s">
        <v>2</v>
      </c>
      <c r="AA235" s="274" t="s">
        <v>2</v>
      </c>
      <c r="AB235" s="274" t="s">
        <v>2</v>
      </c>
      <c r="AC235" s="274" t="s">
        <v>2</v>
      </c>
      <c r="AD235" s="277">
        <v>5882060</v>
      </c>
      <c r="AE235" s="276"/>
      <c r="AF235" s="274" t="s">
        <v>2191</v>
      </c>
      <c r="AG235" s="274" t="s">
        <v>775</v>
      </c>
      <c r="AH235" s="274" t="s">
        <v>2197</v>
      </c>
      <c r="AI235" s="274" t="s">
        <v>89</v>
      </c>
      <c r="AJ235" s="278" t="s">
        <v>2</v>
      </c>
      <c r="AK235" s="281" t="s">
        <v>1283</v>
      </c>
      <c r="AL235" s="281" t="s">
        <v>1298</v>
      </c>
      <c r="AM235" s="274" t="s">
        <v>2</v>
      </c>
      <c r="AN235" s="274" t="s">
        <v>422</v>
      </c>
      <c r="AO235" s="281" t="s">
        <v>1326</v>
      </c>
      <c r="AP235" s="281" t="s">
        <v>2</v>
      </c>
      <c r="AQ235" s="302" t="s">
        <v>2</v>
      </c>
    </row>
    <row r="236" spans="1:43" ht="15" customHeight="1">
      <c r="A236" s="90"/>
      <c r="B236" s="84"/>
      <c r="C236" s="91"/>
      <c r="D236" s="301">
        <v>27527</v>
      </c>
      <c r="E236" s="283">
        <v>831262</v>
      </c>
      <c r="F236" s="273">
        <v>12143</v>
      </c>
      <c r="G236" s="274" t="s">
        <v>307</v>
      </c>
      <c r="H236" s="274" t="s">
        <v>414</v>
      </c>
      <c r="I236" s="274" t="s">
        <v>9</v>
      </c>
      <c r="J236" s="274" t="s">
        <v>403</v>
      </c>
      <c r="K236" s="275">
        <v>0.375</v>
      </c>
      <c r="L236" s="275">
        <v>0.71666666666666667</v>
      </c>
      <c r="M236" s="275">
        <v>0.34166666666666662</v>
      </c>
      <c r="N236" s="275">
        <v>0.41666666666666669</v>
      </c>
      <c r="O236" s="275">
        <v>0.52083333333333337</v>
      </c>
      <c r="P236" s="275">
        <v>0.61111111111111105</v>
      </c>
      <c r="Q236" s="276">
        <v>41676</v>
      </c>
      <c r="R236" s="284" t="s">
        <v>72</v>
      </c>
      <c r="S236" s="276">
        <v>41708</v>
      </c>
      <c r="T236" s="284">
        <v>568</v>
      </c>
      <c r="U236" s="274" t="s">
        <v>2218</v>
      </c>
      <c r="V236" s="276">
        <v>42276</v>
      </c>
      <c r="W236" s="276">
        <v>42276</v>
      </c>
      <c r="X236" s="276" t="s">
        <v>2</v>
      </c>
      <c r="Y236" s="274" t="s">
        <v>2246</v>
      </c>
      <c r="Z236" s="274" t="s">
        <v>2</v>
      </c>
      <c r="AA236" s="274" t="s">
        <v>2</v>
      </c>
      <c r="AB236" s="276" t="s">
        <v>2</v>
      </c>
      <c r="AC236" s="274" t="s">
        <v>2</v>
      </c>
      <c r="AD236" s="274" t="s">
        <v>2</v>
      </c>
      <c r="AE236" s="276"/>
      <c r="AF236" s="274" t="s">
        <v>26</v>
      </c>
      <c r="AG236" s="274" t="s">
        <v>2</v>
      </c>
      <c r="AH236" s="274" t="s">
        <v>2197</v>
      </c>
      <c r="AI236" s="274" t="s">
        <v>89</v>
      </c>
      <c r="AJ236" s="281" t="s">
        <v>2</v>
      </c>
      <c r="AK236" s="281" t="s">
        <v>2</v>
      </c>
      <c r="AL236" s="281" t="s">
        <v>634</v>
      </c>
      <c r="AM236" s="281" t="s">
        <v>2</v>
      </c>
      <c r="AN236" s="274" t="s">
        <v>422</v>
      </c>
      <c r="AO236" s="152" t="s">
        <v>1192</v>
      </c>
      <c r="AP236" s="281" t="s">
        <v>1249</v>
      </c>
      <c r="AQ236" s="302" t="s">
        <v>2</v>
      </c>
    </row>
    <row r="237" spans="1:43" ht="15" customHeight="1">
      <c r="A237" s="90"/>
      <c r="B237" s="84"/>
      <c r="C237" s="91"/>
      <c r="D237" s="301">
        <v>30187</v>
      </c>
      <c r="E237" s="283">
        <v>873193</v>
      </c>
      <c r="F237" s="273">
        <v>17016</v>
      </c>
      <c r="G237" s="274" t="s">
        <v>324</v>
      </c>
      <c r="H237" s="274" t="s">
        <v>417</v>
      </c>
      <c r="I237" s="274" t="s">
        <v>9</v>
      </c>
      <c r="J237" s="274" t="s">
        <v>403</v>
      </c>
      <c r="K237" s="275">
        <v>0.61111111111111105</v>
      </c>
      <c r="L237" s="275">
        <v>0.875</v>
      </c>
      <c r="M237" s="275">
        <v>0.2638888888888889</v>
      </c>
      <c r="N237" s="275">
        <v>0.65972222222222221</v>
      </c>
      <c r="O237" s="275">
        <v>0.72916666666666663</v>
      </c>
      <c r="P237" s="275">
        <v>0.80555555555555547</v>
      </c>
      <c r="Q237" s="276">
        <v>42044</v>
      </c>
      <c r="R237" s="284" t="s">
        <v>72</v>
      </c>
      <c r="S237" s="276">
        <v>42068</v>
      </c>
      <c r="T237" s="284">
        <v>208</v>
      </c>
      <c r="U237" s="274" t="s">
        <v>2218</v>
      </c>
      <c r="V237" s="276" t="s">
        <v>2</v>
      </c>
      <c r="W237" s="276" t="s">
        <v>2</v>
      </c>
      <c r="X237" s="276" t="s">
        <v>2</v>
      </c>
      <c r="Y237" s="274" t="s">
        <v>2</v>
      </c>
      <c r="Z237" s="274" t="s">
        <v>2</v>
      </c>
      <c r="AA237" s="274" t="s">
        <v>2</v>
      </c>
      <c r="AB237" s="276" t="s">
        <v>2</v>
      </c>
      <c r="AC237" s="274" t="s">
        <v>2</v>
      </c>
      <c r="AD237" s="274" t="s">
        <v>764</v>
      </c>
      <c r="AE237" s="276"/>
      <c r="AF237" s="274" t="s">
        <v>2189</v>
      </c>
      <c r="AG237" s="274" t="s">
        <v>775</v>
      </c>
      <c r="AH237" s="274" t="s">
        <v>2197</v>
      </c>
      <c r="AI237" s="274" t="s">
        <v>89</v>
      </c>
      <c r="AJ237" s="281">
        <v>810240</v>
      </c>
      <c r="AK237" s="281" t="s">
        <v>1002</v>
      </c>
      <c r="AL237" s="281" t="s">
        <v>651</v>
      </c>
      <c r="AM237" s="281" t="s">
        <v>2</v>
      </c>
      <c r="AN237" s="281" t="s">
        <v>422</v>
      </c>
      <c r="AO237" s="281" t="s">
        <v>1198</v>
      </c>
      <c r="AP237" s="281" t="s">
        <v>2</v>
      </c>
      <c r="AQ237" s="302" t="s">
        <v>2</v>
      </c>
    </row>
    <row r="238" spans="1:43" ht="15" customHeight="1">
      <c r="A238" s="90"/>
      <c r="B238" s="84"/>
      <c r="C238" s="91"/>
      <c r="D238" s="301">
        <v>10086</v>
      </c>
      <c r="E238" s="283">
        <v>689497</v>
      </c>
      <c r="F238" s="273">
        <v>10030</v>
      </c>
      <c r="G238" s="274" t="s">
        <v>409</v>
      </c>
      <c r="H238" s="274" t="s">
        <v>775</v>
      </c>
      <c r="I238" s="274" t="s">
        <v>16</v>
      </c>
      <c r="J238" s="274" t="s">
        <v>392</v>
      </c>
      <c r="K238" s="275">
        <v>0.33333333333333331</v>
      </c>
      <c r="L238" s="275">
        <v>0.70833333333333337</v>
      </c>
      <c r="M238" s="275">
        <v>0.375</v>
      </c>
      <c r="N238" s="275">
        <v>39773</v>
      </c>
      <c r="O238" s="275">
        <v>39773</v>
      </c>
      <c r="P238" s="275">
        <v>39773</v>
      </c>
      <c r="Q238" s="276">
        <v>39773</v>
      </c>
      <c r="R238" s="284" t="s">
        <v>72</v>
      </c>
      <c r="S238" s="276" t="s">
        <v>2</v>
      </c>
      <c r="T238" s="284">
        <v>2504</v>
      </c>
      <c r="U238" s="276" t="s">
        <v>2228</v>
      </c>
      <c r="V238" s="276">
        <v>42277</v>
      </c>
      <c r="W238" s="276">
        <v>42170</v>
      </c>
      <c r="X238" s="276" t="s">
        <v>2</v>
      </c>
      <c r="Y238" s="274" t="s">
        <v>2</v>
      </c>
      <c r="Z238" s="274" t="s">
        <v>2</v>
      </c>
      <c r="AA238" s="274" t="s">
        <v>2</v>
      </c>
      <c r="AB238" s="276" t="s">
        <v>2</v>
      </c>
      <c r="AC238" s="274" t="s">
        <v>2</v>
      </c>
      <c r="AD238" s="274">
        <v>3257130</v>
      </c>
      <c r="AE238" s="276"/>
      <c r="AF238" s="274" t="s">
        <v>2195</v>
      </c>
      <c r="AG238" s="274" t="s">
        <v>775</v>
      </c>
      <c r="AH238" s="274" t="s">
        <v>2197</v>
      </c>
      <c r="AI238" s="274" t="s">
        <v>89</v>
      </c>
      <c r="AJ238" s="281" t="s">
        <v>2</v>
      </c>
      <c r="AK238" s="281" t="s">
        <v>1276</v>
      </c>
      <c r="AL238" s="281" t="s">
        <v>1293</v>
      </c>
      <c r="AM238" s="281" t="s">
        <v>2</v>
      </c>
      <c r="AN238" s="281" t="s">
        <v>2</v>
      </c>
      <c r="AO238" s="281" t="s">
        <v>1317</v>
      </c>
      <c r="AP238" s="281" t="s">
        <v>2</v>
      </c>
      <c r="AQ238" s="302" t="s">
        <v>2</v>
      </c>
    </row>
    <row r="239" spans="1:43" ht="15" customHeight="1">
      <c r="A239" s="90"/>
      <c r="B239" s="84"/>
      <c r="C239" s="91"/>
      <c r="D239" s="301">
        <v>31201</v>
      </c>
      <c r="E239" s="283">
        <v>897650</v>
      </c>
      <c r="F239" s="273">
        <v>17135</v>
      </c>
      <c r="G239" s="274" t="s">
        <v>2330</v>
      </c>
      <c r="H239" s="274" t="s">
        <v>422</v>
      </c>
      <c r="I239" s="274" t="s">
        <v>9</v>
      </c>
      <c r="J239" s="274" t="s">
        <v>398</v>
      </c>
      <c r="K239" s="275">
        <v>0.375</v>
      </c>
      <c r="L239" s="275">
        <v>0.63888888888888895</v>
      </c>
      <c r="M239" s="275">
        <v>0.2638888888888889</v>
      </c>
      <c r="N239" s="275">
        <v>0.4236111111111111</v>
      </c>
      <c r="O239" s="275">
        <v>0.51388888888888895</v>
      </c>
      <c r="P239" s="275">
        <v>0.59027777777777779</v>
      </c>
      <c r="Q239" s="276">
        <v>42256</v>
      </c>
      <c r="R239" s="284" t="s">
        <v>82</v>
      </c>
      <c r="S239" s="276">
        <v>42282</v>
      </c>
      <c r="T239" s="284">
        <v>-4</v>
      </c>
      <c r="U239" s="274" t="s">
        <v>2218</v>
      </c>
      <c r="V239" s="276">
        <v>42276</v>
      </c>
      <c r="W239" s="276">
        <v>42276</v>
      </c>
      <c r="X239" s="276" t="s">
        <v>2</v>
      </c>
      <c r="Y239" s="274" t="s">
        <v>2246</v>
      </c>
      <c r="Z239" s="274" t="s">
        <v>2</v>
      </c>
      <c r="AA239" s="274" t="s">
        <v>2</v>
      </c>
      <c r="AB239" s="276" t="s">
        <v>2</v>
      </c>
      <c r="AC239" s="274" t="s">
        <v>2</v>
      </c>
      <c r="AD239" s="274" t="s">
        <v>2</v>
      </c>
      <c r="AE239" s="276"/>
      <c r="AF239" s="274" t="s">
        <v>2</v>
      </c>
      <c r="AG239" s="274" t="s">
        <v>775</v>
      </c>
      <c r="AH239" s="274" t="s">
        <v>2197</v>
      </c>
      <c r="AI239" s="274" t="s">
        <v>89</v>
      </c>
      <c r="AJ239" s="281">
        <v>23907</v>
      </c>
      <c r="AK239" s="281" t="s">
        <v>2365</v>
      </c>
      <c r="AL239" s="281" t="s">
        <v>2349</v>
      </c>
      <c r="AM239" s="281" t="s">
        <v>2</v>
      </c>
      <c r="AN239" s="281" t="s">
        <v>422</v>
      </c>
      <c r="AO239" s="281" t="s">
        <v>2380</v>
      </c>
      <c r="AP239" s="281" t="s">
        <v>2</v>
      </c>
      <c r="AQ239" s="302" t="s">
        <v>2</v>
      </c>
    </row>
    <row r="240" spans="1:43" ht="15" customHeight="1">
      <c r="A240" s="90"/>
      <c r="B240" s="84"/>
      <c r="C240" s="91"/>
      <c r="D240" s="301">
        <v>28066</v>
      </c>
      <c r="E240" s="283">
        <v>836141</v>
      </c>
      <c r="F240" s="273">
        <v>12602</v>
      </c>
      <c r="G240" s="274" t="s">
        <v>176</v>
      </c>
      <c r="H240" s="274" t="s">
        <v>422</v>
      </c>
      <c r="I240" s="274" t="s">
        <v>9</v>
      </c>
      <c r="J240" s="274" t="s">
        <v>396</v>
      </c>
      <c r="K240" s="275">
        <v>0.375</v>
      </c>
      <c r="L240" s="275">
        <v>0.71666666666666667</v>
      </c>
      <c r="M240" s="275">
        <v>0.34166666666666662</v>
      </c>
      <c r="N240" s="275" t="s">
        <v>2</v>
      </c>
      <c r="O240" s="275" t="s">
        <v>2</v>
      </c>
      <c r="P240" s="275" t="s">
        <v>2</v>
      </c>
      <c r="Q240" s="276">
        <v>41731</v>
      </c>
      <c r="R240" s="284" t="s">
        <v>72</v>
      </c>
      <c r="S240" s="276">
        <v>41761</v>
      </c>
      <c r="T240" s="284">
        <v>537</v>
      </c>
      <c r="U240" s="274" t="s">
        <v>2218</v>
      </c>
      <c r="V240" s="276">
        <v>42291</v>
      </c>
      <c r="W240" s="276">
        <v>42278</v>
      </c>
      <c r="X240" s="276" t="s">
        <v>2</v>
      </c>
      <c r="Y240" s="274" t="s">
        <v>2246</v>
      </c>
      <c r="Z240" s="274" t="s">
        <v>2</v>
      </c>
      <c r="AA240" s="274" t="s">
        <v>2</v>
      </c>
      <c r="AB240" s="276" t="s">
        <v>2</v>
      </c>
      <c r="AC240" s="274" t="s">
        <v>2</v>
      </c>
      <c r="AD240" s="274" t="s">
        <v>2</v>
      </c>
      <c r="AE240" s="276" t="s">
        <v>2</v>
      </c>
      <c r="AF240" s="274" t="s">
        <v>2</v>
      </c>
      <c r="AG240" s="274" t="s">
        <v>775</v>
      </c>
      <c r="AH240" s="274" t="s">
        <v>2197</v>
      </c>
      <c r="AI240" s="274" t="s">
        <v>89</v>
      </c>
      <c r="AJ240" s="281" t="s">
        <v>2</v>
      </c>
      <c r="AK240" s="281" t="s">
        <v>861</v>
      </c>
      <c r="AL240" s="281" t="s">
        <v>509</v>
      </c>
      <c r="AM240" s="281" t="s">
        <v>2</v>
      </c>
      <c r="AN240" s="281" t="s">
        <v>422</v>
      </c>
      <c r="AO240" s="281" t="s">
        <v>1147</v>
      </c>
      <c r="AP240" s="281" t="s">
        <v>1249</v>
      </c>
      <c r="AQ240" s="302" t="s">
        <v>2</v>
      </c>
    </row>
    <row r="241" spans="1:43" ht="15" customHeight="1">
      <c r="A241" s="90"/>
      <c r="B241" s="84"/>
      <c r="C241" s="91"/>
      <c r="D241" s="301">
        <v>31194</v>
      </c>
      <c r="E241" s="283">
        <v>897569</v>
      </c>
      <c r="F241" s="273">
        <v>17132</v>
      </c>
      <c r="G241" s="274" t="s">
        <v>2328</v>
      </c>
      <c r="H241" s="274" t="s">
        <v>415</v>
      </c>
      <c r="I241" s="274" t="s">
        <v>9</v>
      </c>
      <c r="J241" s="274" t="s">
        <v>398</v>
      </c>
      <c r="K241" s="275">
        <v>0.375</v>
      </c>
      <c r="L241" s="275">
        <v>0.63888888888888895</v>
      </c>
      <c r="M241" s="275">
        <v>0.2638888888888889</v>
      </c>
      <c r="N241" s="275">
        <v>0.4375</v>
      </c>
      <c r="O241" s="275">
        <v>0.51388888888888895</v>
      </c>
      <c r="P241" s="275">
        <v>0.57638888888888895</v>
      </c>
      <c r="Q241" s="276">
        <v>42256</v>
      </c>
      <c r="R241" s="284" t="s">
        <v>85</v>
      </c>
      <c r="S241" s="276">
        <v>42282</v>
      </c>
      <c r="T241" s="284">
        <v>16</v>
      </c>
      <c r="U241" s="274" t="s">
        <v>2218</v>
      </c>
      <c r="V241" s="276">
        <v>42284</v>
      </c>
      <c r="W241" s="276">
        <v>42282</v>
      </c>
      <c r="X241" s="276" t="s">
        <v>2</v>
      </c>
      <c r="Y241" s="274" t="s">
        <v>2246</v>
      </c>
      <c r="Z241" s="274" t="s">
        <v>2</v>
      </c>
      <c r="AA241" s="274" t="s">
        <v>2</v>
      </c>
      <c r="AB241" s="276" t="s">
        <v>2</v>
      </c>
      <c r="AC241" s="274" t="s">
        <v>2</v>
      </c>
      <c r="AD241" s="274" t="s">
        <v>2</v>
      </c>
      <c r="AE241" s="276">
        <v>34219</v>
      </c>
      <c r="AF241" s="274" t="s">
        <v>2</v>
      </c>
      <c r="AG241" s="274" t="s">
        <v>775</v>
      </c>
      <c r="AH241" s="274" t="s">
        <v>2197</v>
      </c>
      <c r="AI241" s="274" t="s">
        <v>89</v>
      </c>
      <c r="AJ241" s="281">
        <v>23910</v>
      </c>
      <c r="AK241" s="281" t="s">
        <v>2363</v>
      </c>
      <c r="AL241" s="281" t="s">
        <v>2347</v>
      </c>
      <c r="AM241" s="281" t="s">
        <v>2</v>
      </c>
      <c r="AN241" s="281" t="s">
        <v>422</v>
      </c>
      <c r="AO241" s="281" t="s">
        <v>2379</v>
      </c>
      <c r="AP241" s="281" t="s">
        <v>2</v>
      </c>
      <c r="AQ241" s="302" t="s">
        <v>2</v>
      </c>
    </row>
    <row r="242" spans="1:43" ht="15" customHeight="1">
      <c r="A242" s="90"/>
      <c r="B242" s="84"/>
      <c r="C242" s="91"/>
      <c r="D242" s="301">
        <v>30165</v>
      </c>
      <c r="E242" s="283">
        <v>873170</v>
      </c>
      <c r="F242" s="273">
        <v>17011</v>
      </c>
      <c r="G242" s="274" t="s">
        <v>185</v>
      </c>
      <c r="H242" s="274" t="s">
        <v>422</v>
      </c>
      <c r="I242" s="274" t="s">
        <v>9</v>
      </c>
      <c r="J242" s="274" t="s">
        <v>398</v>
      </c>
      <c r="K242" s="275">
        <v>0.39583333333333331</v>
      </c>
      <c r="L242" s="275">
        <v>0.65972222222222232</v>
      </c>
      <c r="M242" s="275">
        <v>0.2638888888888889</v>
      </c>
      <c r="N242" s="275">
        <v>0.4513888888888889</v>
      </c>
      <c r="O242" s="275">
        <v>0.52777777777777779</v>
      </c>
      <c r="P242" s="275">
        <v>0.59027777777777779</v>
      </c>
      <c r="Q242" s="276">
        <v>42044</v>
      </c>
      <c r="R242" s="284" t="s">
        <v>72</v>
      </c>
      <c r="S242" s="276">
        <v>42068</v>
      </c>
      <c r="T242" s="284">
        <v>230</v>
      </c>
      <c r="U242" s="274" t="s">
        <v>2218</v>
      </c>
      <c r="V242" s="276">
        <v>42286</v>
      </c>
      <c r="W242" s="276">
        <v>42286</v>
      </c>
      <c r="X242" s="276" t="s">
        <v>2</v>
      </c>
      <c r="Y242" s="274" t="s">
        <v>2245</v>
      </c>
      <c r="Z242" s="274" t="s">
        <v>2</v>
      </c>
      <c r="AA242" s="274" t="s">
        <v>2</v>
      </c>
      <c r="AB242" s="276" t="s">
        <v>2</v>
      </c>
      <c r="AC242" s="274" t="s">
        <v>2</v>
      </c>
      <c r="AD242" s="274" t="s">
        <v>719</v>
      </c>
      <c r="AE242" s="276">
        <v>34303</v>
      </c>
      <c r="AF242" s="274" t="s">
        <v>2189</v>
      </c>
      <c r="AG242" s="274" t="s">
        <v>775</v>
      </c>
      <c r="AH242" s="274" t="s">
        <v>2197</v>
      </c>
      <c r="AI242" s="274" t="s">
        <v>89</v>
      </c>
      <c r="AJ242" s="281">
        <v>810318</v>
      </c>
      <c r="AK242" s="281" t="s">
        <v>870</v>
      </c>
      <c r="AL242" s="281" t="s">
        <v>519</v>
      </c>
      <c r="AM242" s="281" t="s">
        <v>2</v>
      </c>
      <c r="AN242" s="281" t="s">
        <v>422</v>
      </c>
      <c r="AO242" s="281" t="s">
        <v>1155</v>
      </c>
      <c r="AP242" s="281" t="s">
        <v>2</v>
      </c>
      <c r="AQ242" s="302" t="s">
        <v>2</v>
      </c>
    </row>
    <row r="243" spans="1:43" ht="15" customHeight="1">
      <c r="A243" s="90"/>
      <c r="B243" s="84"/>
      <c r="C243" s="91"/>
      <c r="D243" s="301">
        <v>21397</v>
      </c>
      <c r="E243" s="283">
        <v>765893</v>
      </c>
      <c r="F243" s="273">
        <v>17018</v>
      </c>
      <c r="G243" s="274" t="s">
        <v>180</v>
      </c>
      <c r="H243" s="274" t="s">
        <v>422</v>
      </c>
      <c r="I243" s="274" t="s">
        <v>9</v>
      </c>
      <c r="J243" s="274" t="s">
        <v>398</v>
      </c>
      <c r="K243" s="275">
        <v>0.39583333333333331</v>
      </c>
      <c r="L243" s="275">
        <v>0.73749999999999993</v>
      </c>
      <c r="M243" s="275">
        <v>0.34166666666666662</v>
      </c>
      <c r="N243" s="275">
        <v>0.49305555555555558</v>
      </c>
      <c r="O243" s="275">
        <v>0.5625</v>
      </c>
      <c r="P243" s="275">
        <v>0.65277777777777779</v>
      </c>
      <c r="Q243" s="276">
        <v>41001</v>
      </c>
      <c r="R243" s="284" t="s">
        <v>72</v>
      </c>
      <c r="S243" s="276">
        <v>41024</v>
      </c>
      <c r="T243" s="284">
        <v>1274</v>
      </c>
      <c r="U243" s="274" t="s">
        <v>2220</v>
      </c>
      <c r="V243" s="276">
        <v>42278</v>
      </c>
      <c r="W243" s="276">
        <v>42278</v>
      </c>
      <c r="X243" s="276" t="s">
        <v>2</v>
      </c>
      <c r="Y243" s="274" t="s">
        <v>2245</v>
      </c>
      <c r="Z243" s="274" t="s">
        <v>2</v>
      </c>
      <c r="AA243" s="274" t="s">
        <v>2</v>
      </c>
      <c r="AB243" s="276" t="s">
        <v>2</v>
      </c>
      <c r="AC243" s="274" t="s">
        <v>2</v>
      </c>
      <c r="AD243" s="274">
        <v>4433110</v>
      </c>
      <c r="AE243" s="276">
        <v>27308</v>
      </c>
      <c r="AF243" s="274" t="s">
        <v>2188</v>
      </c>
      <c r="AG243" s="274" t="s">
        <v>775</v>
      </c>
      <c r="AH243" s="274" t="s">
        <v>2197</v>
      </c>
      <c r="AI243" s="274" t="s">
        <v>89</v>
      </c>
      <c r="AJ243" s="281">
        <v>810188</v>
      </c>
      <c r="AK243" s="281" t="s">
        <v>866</v>
      </c>
      <c r="AL243" s="281" t="s">
        <v>514</v>
      </c>
      <c r="AM243" s="281" t="s">
        <v>2</v>
      </c>
      <c r="AN243" s="281" t="s">
        <v>422</v>
      </c>
      <c r="AO243" s="281" t="s">
        <v>1151</v>
      </c>
      <c r="AP243" s="281" t="s">
        <v>2</v>
      </c>
      <c r="AQ243" s="302" t="s">
        <v>1249</v>
      </c>
    </row>
    <row r="244" spans="1:43" ht="15" customHeight="1">
      <c r="A244" s="90"/>
      <c r="B244" s="84"/>
      <c r="C244" s="91"/>
      <c r="D244" s="301">
        <v>29894</v>
      </c>
      <c r="E244" s="283">
        <v>868210</v>
      </c>
      <c r="F244" s="273">
        <v>17063</v>
      </c>
      <c r="G244" s="274" t="s">
        <v>235</v>
      </c>
      <c r="H244" s="274" t="s">
        <v>420</v>
      </c>
      <c r="I244" s="274" t="s">
        <v>16</v>
      </c>
      <c r="J244" s="274" t="s">
        <v>398</v>
      </c>
      <c r="K244" s="275">
        <v>0.5</v>
      </c>
      <c r="L244" s="275">
        <v>0.84166666666666667</v>
      </c>
      <c r="M244" s="275">
        <v>0.34166666666666662</v>
      </c>
      <c r="N244" s="275">
        <v>0.55555555555555558</v>
      </c>
      <c r="O244" s="275">
        <v>0.625</v>
      </c>
      <c r="P244" s="275">
        <v>0.72916666666666663</v>
      </c>
      <c r="Q244" s="276">
        <v>41983</v>
      </c>
      <c r="R244" s="284" t="s">
        <v>72</v>
      </c>
      <c r="S244" s="276">
        <v>42009</v>
      </c>
      <c r="T244" s="284">
        <v>289</v>
      </c>
      <c r="U244" s="274" t="s">
        <v>2218</v>
      </c>
      <c r="V244" s="276">
        <v>42286</v>
      </c>
      <c r="W244" s="276">
        <v>42286</v>
      </c>
      <c r="X244" s="276" t="s">
        <v>2</v>
      </c>
      <c r="Y244" s="274" t="s">
        <v>2</v>
      </c>
      <c r="Z244" s="274" t="s">
        <v>398</v>
      </c>
      <c r="AA244" s="274" t="s">
        <v>2389</v>
      </c>
      <c r="AB244" s="276">
        <v>42286</v>
      </c>
      <c r="AC244" s="274" t="s">
        <v>2</v>
      </c>
      <c r="AD244" s="274" t="s">
        <v>737</v>
      </c>
      <c r="AE244" s="276">
        <v>33815</v>
      </c>
      <c r="AF244" s="274" t="s">
        <v>2190</v>
      </c>
      <c r="AG244" s="274" t="s">
        <v>775</v>
      </c>
      <c r="AH244" s="274" t="s">
        <v>2197</v>
      </c>
      <c r="AI244" s="274" t="s">
        <v>89</v>
      </c>
      <c r="AJ244" s="281">
        <v>810250</v>
      </c>
      <c r="AK244" s="281" t="s">
        <v>918</v>
      </c>
      <c r="AL244" s="281" t="s">
        <v>567</v>
      </c>
      <c r="AM244" s="281" t="s">
        <v>2</v>
      </c>
      <c r="AN244" s="281" t="s">
        <v>422</v>
      </c>
      <c r="AO244" s="281" t="s">
        <v>1176</v>
      </c>
      <c r="AP244" s="281" t="s">
        <v>2</v>
      </c>
      <c r="AQ244" s="302" t="s">
        <v>2</v>
      </c>
    </row>
    <row r="245" spans="1:43" ht="15" customHeight="1">
      <c r="A245" s="90"/>
      <c r="B245" s="84"/>
      <c r="C245" s="91"/>
      <c r="D245" s="301">
        <v>31197</v>
      </c>
      <c r="E245" s="283">
        <v>897643</v>
      </c>
      <c r="F245" s="273">
        <v>17152</v>
      </c>
      <c r="G245" s="274" t="s">
        <v>2333</v>
      </c>
      <c r="H245" s="274" t="s">
        <v>422</v>
      </c>
      <c r="I245" s="274" t="s">
        <v>16</v>
      </c>
      <c r="J245" s="274" t="s">
        <v>398</v>
      </c>
      <c r="K245" s="275">
        <v>0.59722222222222221</v>
      </c>
      <c r="L245" s="275">
        <v>0.86111111111111116</v>
      </c>
      <c r="M245" s="275">
        <v>0.2638888888888889</v>
      </c>
      <c r="N245" s="275">
        <v>0.64583333333333337</v>
      </c>
      <c r="O245" s="275">
        <v>0.70833333333333337</v>
      </c>
      <c r="P245" s="275">
        <v>0.8125</v>
      </c>
      <c r="Q245" s="276">
        <v>42256</v>
      </c>
      <c r="R245" s="284" t="s">
        <v>85</v>
      </c>
      <c r="S245" s="276">
        <v>42282</v>
      </c>
      <c r="T245" s="284">
        <v>16</v>
      </c>
      <c r="U245" s="274" t="s">
        <v>2218</v>
      </c>
      <c r="V245" s="276">
        <v>42286</v>
      </c>
      <c r="W245" s="276">
        <v>42286</v>
      </c>
      <c r="X245" s="276" t="s">
        <v>2</v>
      </c>
      <c r="Y245" s="274" t="s">
        <v>2</v>
      </c>
      <c r="Z245" s="274" t="s">
        <v>398</v>
      </c>
      <c r="AA245" s="274" t="s">
        <v>2389</v>
      </c>
      <c r="AB245" s="276">
        <v>42286</v>
      </c>
      <c r="AC245" s="274" t="s">
        <v>2</v>
      </c>
      <c r="AD245" s="274" t="s">
        <v>2</v>
      </c>
      <c r="AE245" s="276">
        <v>31195</v>
      </c>
      <c r="AF245" s="274" t="s">
        <v>2</v>
      </c>
      <c r="AG245" s="274" t="s">
        <v>775</v>
      </c>
      <c r="AH245" s="274" t="s">
        <v>2197</v>
      </c>
      <c r="AI245" s="274" t="s">
        <v>89</v>
      </c>
      <c r="AJ245" s="281">
        <v>23676</v>
      </c>
      <c r="AK245" s="281" t="s">
        <v>2369</v>
      </c>
      <c r="AL245" s="281" t="s">
        <v>2353</v>
      </c>
      <c r="AM245" s="281" t="s">
        <v>2</v>
      </c>
      <c r="AN245" s="281" t="s">
        <v>422</v>
      </c>
      <c r="AO245" s="281" t="s">
        <v>2383</v>
      </c>
      <c r="AP245" s="281" t="s">
        <v>2</v>
      </c>
      <c r="AQ245" s="302" t="s">
        <v>2</v>
      </c>
    </row>
    <row r="246" spans="1:43" ht="15" customHeight="1">
      <c r="A246" s="90"/>
      <c r="B246" s="84"/>
      <c r="C246" s="91"/>
      <c r="D246" s="301">
        <v>31059</v>
      </c>
      <c r="E246" s="283">
        <v>893774</v>
      </c>
      <c r="F246" s="273">
        <v>17195</v>
      </c>
      <c r="G246" s="274" t="s">
        <v>2258</v>
      </c>
      <c r="H246" s="274" t="s">
        <v>420</v>
      </c>
      <c r="I246" s="274" t="s">
        <v>9</v>
      </c>
      <c r="J246" s="274" t="s">
        <v>398</v>
      </c>
      <c r="K246" s="275">
        <v>0.625</v>
      </c>
      <c r="L246" s="275">
        <v>0.88888888888888884</v>
      </c>
      <c r="M246" s="275">
        <v>0.2638888888888889</v>
      </c>
      <c r="N246" s="275">
        <v>0.68055555555555547</v>
      </c>
      <c r="O246" s="275">
        <v>0.78472222222222221</v>
      </c>
      <c r="P246" s="275">
        <v>0.84027777777777779</v>
      </c>
      <c r="Q246" s="276">
        <v>42227</v>
      </c>
      <c r="R246" s="284" t="s">
        <v>72</v>
      </c>
      <c r="S246" s="276">
        <v>42254</v>
      </c>
      <c r="T246" s="284">
        <v>44</v>
      </c>
      <c r="U246" s="274" t="s">
        <v>2218</v>
      </c>
      <c r="V246" s="276">
        <v>42278</v>
      </c>
      <c r="W246" s="276">
        <v>42278</v>
      </c>
      <c r="X246" s="276" t="s">
        <v>2</v>
      </c>
      <c r="Y246" s="274" t="s">
        <v>2245</v>
      </c>
      <c r="Z246" s="274" t="s">
        <v>2</v>
      </c>
      <c r="AA246" s="274" t="s">
        <v>2</v>
      </c>
      <c r="AB246" s="276" t="s">
        <v>2</v>
      </c>
      <c r="AC246" s="274" t="s">
        <v>2</v>
      </c>
      <c r="AD246" s="274" t="s">
        <v>2</v>
      </c>
      <c r="AE246" s="276">
        <v>34743</v>
      </c>
      <c r="AF246" s="274" t="s">
        <v>2</v>
      </c>
      <c r="AG246" s="274" t="s">
        <v>775</v>
      </c>
      <c r="AH246" s="274" t="s">
        <v>2197</v>
      </c>
      <c r="AI246" s="274" t="s">
        <v>89</v>
      </c>
      <c r="AJ246" s="281">
        <v>23470</v>
      </c>
      <c r="AK246" s="281" t="s">
        <v>2279</v>
      </c>
      <c r="AL246" s="281" t="s">
        <v>2295</v>
      </c>
      <c r="AM246" s="281" t="s">
        <v>2</v>
      </c>
      <c r="AN246" s="281" t="s">
        <v>422</v>
      </c>
      <c r="AO246" s="281" t="s">
        <v>2313</v>
      </c>
      <c r="AP246" s="281" t="s">
        <v>2</v>
      </c>
      <c r="AQ246" s="302" t="s">
        <v>2</v>
      </c>
    </row>
    <row r="247" spans="1:43" ht="15" customHeight="1">
      <c r="A247" s="90"/>
      <c r="B247" s="84"/>
      <c r="C247" s="91"/>
      <c r="D247" s="301">
        <v>31065</v>
      </c>
      <c r="E247" s="283">
        <v>893780</v>
      </c>
      <c r="F247" s="273">
        <v>17072</v>
      </c>
      <c r="G247" s="274" t="s">
        <v>2263</v>
      </c>
      <c r="H247" s="274" t="s">
        <v>420</v>
      </c>
      <c r="I247" s="274" t="s">
        <v>9</v>
      </c>
      <c r="J247" s="274" t="s">
        <v>398</v>
      </c>
      <c r="K247" s="275">
        <v>0.65277777777777779</v>
      </c>
      <c r="L247" s="275">
        <v>0.91666666666666663</v>
      </c>
      <c r="M247" s="275">
        <v>0.2638888888888889</v>
      </c>
      <c r="N247" s="275">
        <v>0.70138888888888884</v>
      </c>
      <c r="O247" s="275">
        <v>0.77083333333333337</v>
      </c>
      <c r="P247" s="275">
        <v>0.83333333333333337</v>
      </c>
      <c r="Q247" s="276">
        <v>42227</v>
      </c>
      <c r="R247" s="284" t="s">
        <v>72</v>
      </c>
      <c r="S247" s="276">
        <v>42254</v>
      </c>
      <c r="T247" s="284">
        <v>44</v>
      </c>
      <c r="U247" s="274" t="s">
        <v>2218</v>
      </c>
      <c r="V247" s="276">
        <v>42278</v>
      </c>
      <c r="W247" s="276">
        <v>42278</v>
      </c>
      <c r="X247" s="276" t="s">
        <v>2</v>
      </c>
      <c r="Y247" s="274" t="s">
        <v>2245</v>
      </c>
      <c r="Z247" s="274" t="s">
        <v>2</v>
      </c>
      <c r="AA247" s="274" t="s">
        <v>2</v>
      </c>
      <c r="AB247" s="276" t="s">
        <v>2</v>
      </c>
      <c r="AC247" s="274" t="s">
        <v>2</v>
      </c>
      <c r="AD247" s="274" t="s">
        <v>2</v>
      </c>
      <c r="AE247" s="276">
        <v>29102</v>
      </c>
      <c r="AF247" s="274" t="s">
        <v>2</v>
      </c>
      <c r="AG247" s="274" t="s">
        <v>775</v>
      </c>
      <c r="AH247" s="274" t="s">
        <v>2197</v>
      </c>
      <c r="AI247" s="274" t="s">
        <v>89</v>
      </c>
      <c r="AJ247" s="281">
        <v>23463</v>
      </c>
      <c r="AK247" s="281" t="s">
        <v>2284</v>
      </c>
      <c r="AL247" s="281" t="s">
        <v>2297</v>
      </c>
      <c r="AM247" s="281" t="s">
        <v>2</v>
      </c>
      <c r="AN247" s="281" t="s">
        <v>422</v>
      </c>
      <c r="AO247" s="281" t="s">
        <v>2315</v>
      </c>
      <c r="AP247" s="281" t="s">
        <v>2</v>
      </c>
      <c r="AQ247" s="302" t="s">
        <v>2</v>
      </c>
    </row>
    <row r="248" spans="1:43" ht="15" customHeight="1">
      <c r="A248" s="90"/>
      <c r="B248" s="84"/>
      <c r="C248" s="91"/>
      <c r="D248" s="301">
        <v>31053</v>
      </c>
      <c r="E248" s="283">
        <v>893768</v>
      </c>
      <c r="F248" s="273">
        <v>17171</v>
      </c>
      <c r="G248" s="274" t="s">
        <v>2267</v>
      </c>
      <c r="H248" s="274" t="s">
        <v>414</v>
      </c>
      <c r="I248" s="274" t="s">
        <v>9</v>
      </c>
      <c r="J248" s="274" t="s">
        <v>403</v>
      </c>
      <c r="K248" s="275">
        <v>0.375</v>
      </c>
      <c r="L248" s="275">
        <v>0.63888888888888884</v>
      </c>
      <c r="M248" s="275">
        <v>0.2638888888888889</v>
      </c>
      <c r="N248" s="275">
        <v>0.41666666666666669</v>
      </c>
      <c r="O248" s="275">
        <v>0.54166666666666663</v>
      </c>
      <c r="P248" s="275">
        <v>0.59722222222222221</v>
      </c>
      <c r="Q248" s="276">
        <v>42227</v>
      </c>
      <c r="R248" s="284" t="s">
        <v>72</v>
      </c>
      <c r="S248" s="276">
        <v>42254</v>
      </c>
      <c r="T248" s="284">
        <v>44</v>
      </c>
      <c r="U248" s="274" t="s">
        <v>2218</v>
      </c>
      <c r="V248" s="276">
        <v>42278</v>
      </c>
      <c r="W248" s="276">
        <v>42278</v>
      </c>
      <c r="X248" s="276" t="s">
        <v>2</v>
      </c>
      <c r="Y248" s="274" t="s">
        <v>2245</v>
      </c>
      <c r="Z248" s="274" t="s">
        <v>2</v>
      </c>
      <c r="AA248" s="274" t="s">
        <v>2</v>
      </c>
      <c r="AB248" s="276" t="s">
        <v>2</v>
      </c>
      <c r="AC248" s="274" t="s">
        <v>2</v>
      </c>
      <c r="AD248" s="274" t="s">
        <v>2</v>
      </c>
      <c r="AE248" s="276">
        <v>28843</v>
      </c>
      <c r="AF248" s="274" t="s">
        <v>2</v>
      </c>
      <c r="AG248" s="274" t="s">
        <v>775</v>
      </c>
      <c r="AH248" s="274" t="s">
        <v>2197</v>
      </c>
      <c r="AI248" s="274" t="s">
        <v>89</v>
      </c>
      <c r="AJ248" s="281" t="s">
        <v>2</v>
      </c>
      <c r="AK248" s="281" t="s">
        <v>2273</v>
      </c>
      <c r="AL248" s="281" t="s">
        <v>2302</v>
      </c>
      <c r="AM248" s="281" t="s">
        <v>2</v>
      </c>
      <c r="AN248" s="281" t="s">
        <v>422</v>
      </c>
      <c r="AO248" s="281" t="s">
        <v>2318</v>
      </c>
      <c r="AP248" s="281" t="s">
        <v>2</v>
      </c>
      <c r="AQ248" s="302" t="s">
        <v>2</v>
      </c>
    </row>
    <row r="249" spans="1:43" ht="15" customHeight="1">
      <c r="A249" s="90"/>
      <c r="B249" s="84"/>
      <c r="C249" s="91"/>
      <c r="D249" s="301">
        <v>31057</v>
      </c>
      <c r="E249" s="283">
        <v>893772</v>
      </c>
      <c r="F249" s="273">
        <v>17100</v>
      </c>
      <c r="G249" s="274" t="s">
        <v>2268</v>
      </c>
      <c r="H249" s="274" t="s">
        <v>418</v>
      </c>
      <c r="I249" s="274" t="s">
        <v>9</v>
      </c>
      <c r="J249" s="274" t="s">
        <v>403</v>
      </c>
      <c r="K249" s="275">
        <v>0.39583333333333331</v>
      </c>
      <c r="L249" s="275">
        <v>0.65972222222222232</v>
      </c>
      <c r="M249" s="275">
        <v>0.2638888888888889</v>
      </c>
      <c r="N249" s="275">
        <v>0.4375</v>
      </c>
      <c r="O249" s="275">
        <v>0.52777777777777779</v>
      </c>
      <c r="P249" s="275">
        <v>0.58333333333333337</v>
      </c>
      <c r="Q249" s="276">
        <v>42227</v>
      </c>
      <c r="R249" s="284" t="s">
        <v>72</v>
      </c>
      <c r="S249" s="276">
        <v>42254</v>
      </c>
      <c r="T249" s="284">
        <v>44</v>
      </c>
      <c r="U249" s="274" t="s">
        <v>2218</v>
      </c>
      <c r="V249" s="276">
        <v>42278</v>
      </c>
      <c r="W249" s="276">
        <v>42278</v>
      </c>
      <c r="X249" s="276" t="s">
        <v>2</v>
      </c>
      <c r="Y249" s="274" t="s">
        <v>2246</v>
      </c>
      <c r="Z249" s="274" t="s">
        <v>2</v>
      </c>
      <c r="AA249" s="274" t="s">
        <v>2</v>
      </c>
      <c r="AB249" s="276" t="s">
        <v>2</v>
      </c>
      <c r="AC249" s="274" t="s">
        <v>2</v>
      </c>
      <c r="AD249" s="274" t="s">
        <v>2</v>
      </c>
      <c r="AE249" s="276">
        <v>31220</v>
      </c>
      <c r="AF249" s="274" t="s">
        <v>2</v>
      </c>
      <c r="AG249" s="274" t="s">
        <v>775</v>
      </c>
      <c r="AH249" s="274" t="s">
        <v>2197</v>
      </c>
      <c r="AI249" s="274" t="s">
        <v>89</v>
      </c>
      <c r="AJ249" s="281" t="s">
        <v>2</v>
      </c>
      <c r="AK249" s="281" t="s">
        <v>2277</v>
      </c>
      <c r="AL249" s="281" t="s">
        <v>2304</v>
      </c>
      <c r="AM249" s="281" t="s">
        <v>2</v>
      </c>
      <c r="AN249" s="281" t="s">
        <v>422</v>
      </c>
      <c r="AO249" s="281" t="s">
        <v>2319</v>
      </c>
      <c r="AP249" s="281" t="s">
        <v>2</v>
      </c>
      <c r="AQ249" s="302" t="s">
        <v>2</v>
      </c>
    </row>
    <row r="250" spans="1:43" ht="15" customHeight="1">
      <c r="A250" s="90"/>
      <c r="B250" s="84"/>
      <c r="C250" s="91"/>
      <c r="D250" s="301">
        <v>31050</v>
      </c>
      <c r="E250" s="283">
        <v>893765</v>
      </c>
      <c r="F250" s="273">
        <v>17186</v>
      </c>
      <c r="G250" s="274" t="s">
        <v>2252</v>
      </c>
      <c r="H250" s="274" t="s">
        <v>414</v>
      </c>
      <c r="I250" s="274" t="s">
        <v>9</v>
      </c>
      <c r="J250" s="274" t="s">
        <v>403</v>
      </c>
      <c r="K250" s="275">
        <v>0.41666666666666669</v>
      </c>
      <c r="L250" s="275">
        <v>0.68055555555555558</v>
      </c>
      <c r="M250" s="275">
        <v>0.2638888888888889</v>
      </c>
      <c r="N250" s="275">
        <v>0.52777777777777779</v>
      </c>
      <c r="O250" s="275">
        <v>0.58333333333333337</v>
      </c>
      <c r="P250" s="275">
        <v>0.63888888888888895</v>
      </c>
      <c r="Q250" s="276">
        <v>42227</v>
      </c>
      <c r="R250" s="284" t="s">
        <v>72</v>
      </c>
      <c r="S250" s="276">
        <v>42254</v>
      </c>
      <c r="T250" s="284">
        <v>44</v>
      </c>
      <c r="U250" s="274" t="s">
        <v>2218</v>
      </c>
      <c r="V250" s="276">
        <v>42278</v>
      </c>
      <c r="W250" s="276">
        <v>42278</v>
      </c>
      <c r="X250" s="276" t="s">
        <v>2</v>
      </c>
      <c r="Y250" s="274" t="s">
        <v>2245</v>
      </c>
      <c r="Z250" s="274" t="s">
        <v>2</v>
      </c>
      <c r="AA250" s="274" t="s">
        <v>2</v>
      </c>
      <c r="AB250" s="276" t="s">
        <v>2</v>
      </c>
      <c r="AC250" s="274" t="s">
        <v>2</v>
      </c>
      <c r="AD250" s="274" t="s">
        <v>2</v>
      </c>
      <c r="AE250" s="276">
        <v>30449</v>
      </c>
      <c r="AF250" s="274" t="s">
        <v>2</v>
      </c>
      <c r="AG250" s="274" t="s">
        <v>775</v>
      </c>
      <c r="AH250" s="274" t="s">
        <v>2197</v>
      </c>
      <c r="AI250" s="274" t="s">
        <v>89</v>
      </c>
      <c r="AJ250" s="281" t="s">
        <v>2</v>
      </c>
      <c r="AK250" s="281" t="s">
        <v>2270</v>
      </c>
      <c r="AL250" s="281" t="s">
        <v>2299</v>
      </c>
      <c r="AM250" s="281" t="s">
        <v>2</v>
      </c>
      <c r="AN250" s="281" t="s">
        <v>422</v>
      </c>
      <c r="AO250" s="281" t="s">
        <v>2316</v>
      </c>
      <c r="AP250" s="281" t="s">
        <v>2</v>
      </c>
      <c r="AQ250" s="302" t="s">
        <v>2</v>
      </c>
    </row>
    <row r="251" spans="1:43" ht="15" customHeight="1">
      <c r="A251" s="90"/>
      <c r="B251" s="84"/>
      <c r="C251" s="91"/>
      <c r="D251" s="301">
        <v>29880</v>
      </c>
      <c r="E251" s="283">
        <v>868196</v>
      </c>
      <c r="F251" s="273">
        <v>12595</v>
      </c>
      <c r="G251" s="274" t="s">
        <v>338</v>
      </c>
      <c r="H251" s="274" t="s">
        <v>418</v>
      </c>
      <c r="I251" s="274" t="s">
        <v>16</v>
      </c>
      <c r="J251" s="274" t="s">
        <v>403</v>
      </c>
      <c r="K251" s="275">
        <v>0.41666666666666669</v>
      </c>
      <c r="L251" s="275">
        <v>0.7583333333333333</v>
      </c>
      <c r="M251" s="275">
        <v>0.34166666666666662</v>
      </c>
      <c r="N251" s="275">
        <v>0.52083333333333337</v>
      </c>
      <c r="O251" s="275">
        <v>0.58333333333333337</v>
      </c>
      <c r="P251" s="275">
        <v>0.67361111111111116</v>
      </c>
      <c r="Q251" s="276">
        <v>41983</v>
      </c>
      <c r="R251" s="284" t="s">
        <v>72</v>
      </c>
      <c r="S251" s="276">
        <v>42009</v>
      </c>
      <c r="T251" s="284">
        <v>289</v>
      </c>
      <c r="U251" s="274" t="s">
        <v>2218</v>
      </c>
      <c r="V251" s="276">
        <v>42286</v>
      </c>
      <c r="W251" s="276">
        <v>42286</v>
      </c>
      <c r="X251" s="276" t="s">
        <v>2</v>
      </c>
      <c r="Y251" s="274" t="s">
        <v>2</v>
      </c>
      <c r="Z251" s="274" t="s">
        <v>403</v>
      </c>
      <c r="AA251" s="274" t="s">
        <v>2389</v>
      </c>
      <c r="AB251" s="276">
        <v>42286</v>
      </c>
      <c r="AC251" s="274" t="s">
        <v>2</v>
      </c>
      <c r="AD251" s="274">
        <v>6365595</v>
      </c>
      <c r="AE251" s="276" t="s">
        <v>2</v>
      </c>
      <c r="AF251" s="274" t="s">
        <v>2193</v>
      </c>
      <c r="AG251" s="274" t="s">
        <v>775</v>
      </c>
      <c r="AH251" s="274" t="s">
        <v>2197</v>
      </c>
      <c r="AI251" s="274" t="s">
        <v>89</v>
      </c>
      <c r="AJ251" s="281">
        <v>810263</v>
      </c>
      <c r="AK251" s="281" t="s">
        <v>1016</v>
      </c>
      <c r="AL251" s="281" t="s">
        <v>665</v>
      </c>
      <c r="AM251" s="281" t="s">
        <v>2</v>
      </c>
      <c r="AN251" s="281" t="s">
        <v>422</v>
      </c>
      <c r="AO251" s="281" t="s">
        <v>1203</v>
      </c>
      <c r="AP251" s="281" t="s">
        <v>1249</v>
      </c>
      <c r="AQ251" s="302" t="s">
        <v>2</v>
      </c>
    </row>
    <row r="252" spans="1:43" ht="15" customHeight="1">
      <c r="A252" s="90"/>
      <c r="B252" s="84"/>
      <c r="C252" s="91"/>
      <c r="D252" s="301">
        <v>31062</v>
      </c>
      <c r="E252" s="283">
        <v>893777</v>
      </c>
      <c r="F252" s="273">
        <v>17070</v>
      </c>
      <c r="G252" s="274" t="s">
        <v>2261</v>
      </c>
      <c r="H252" s="274" t="s">
        <v>418</v>
      </c>
      <c r="I252" s="274" t="s">
        <v>9</v>
      </c>
      <c r="J252" s="274" t="s">
        <v>403</v>
      </c>
      <c r="K252" s="275">
        <v>0.5</v>
      </c>
      <c r="L252" s="275">
        <v>0.76388888888888884</v>
      </c>
      <c r="M252" s="275">
        <v>0.2638888888888889</v>
      </c>
      <c r="N252" s="275">
        <v>0</v>
      </c>
      <c r="O252" s="275">
        <v>0</v>
      </c>
      <c r="P252" s="275">
        <v>0</v>
      </c>
      <c r="Q252" s="276">
        <v>42227</v>
      </c>
      <c r="R252" s="284" t="s">
        <v>72</v>
      </c>
      <c r="S252" s="276">
        <v>42254</v>
      </c>
      <c r="T252" s="284">
        <v>44</v>
      </c>
      <c r="U252" s="274" t="s">
        <v>2218</v>
      </c>
      <c r="V252" s="276">
        <v>42278</v>
      </c>
      <c r="W252" s="276">
        <v>42278</v>
      </c>
      <c r="X252" s="276" t="s">
        <v>2</v>
      </c>
      <c r="Y252" s="274" t="s">
        <v>2245</v>
      </c>
      <c r="Z252" s="274" t="s">
        <v>2</v>
      </c>
      <c r="AA252" s="274" t="s">
        <v>2</v>
      </c>
      <c r="AB252" s="276" t="s">
        <v>2</v>
      </c>
      <c r="AC252" s="274" t="s">
        <v>2</v>
      </c>
      <c r="AD252" s="274" t="s">
        <v>2</v>
      </c>
      <c r="AE252" s="276">
        <v>34156</v>
      </c>
      <c r="AF252" s="274" t="s">
        <v>2</v>
      </c>
      <c r="AG252" s="274" t="s">
        <v>775</v>
      </c>
      <c r="AH252" s="274" t="s">
        <v>2197</v>
      </c>
      <c r="AI252" s="274" t="s">
        <v>89</v>
      </c>
      <c r="AJ252" s="281" t="s">
        <v>2</v>
      </c>
      <c r="AK252" s="281" t="s">
        <v>2282</v>
      </c>
      <c r="AL252" s="281" t="s">
        <v>2307</v>
      </c>
      <c r="AM252" s="281" t="s">
        <v>2</v>
      </c>
      <c r="AN252" s="281" t="s">
        <v>422</v>
      </c>
      <c r="AO252" s="281" t="s">
        <v>2321</v>
      </c>
      <c r="AP252" s="281" t="s">
        <v>2</v>
      </c>
      <c r="AQ252" s="302" t="s">
        <v>2</v>
      </c>
    </row>
    <row r="253" spans="1:43" ht="15" customHeight="1">
      <c r="A253" s="90"/>
      <c r="B253" s="84"/>
      <c r="C253" s="91"/>
      <c r="D253" s="301">
        <v>31060</v>
      </c>
      <c r="E253" s="283">
        <v>893775</v>
      </c>
      <c r="F253" s="273">
        <v>17124</v>
      </c>
      <c r="G253" s="274" t="s">
        <v>2259</v>
      </c>
      <c r="H253" s="274" t="s">
        <v>417</v>
      </c>
      <c r="I253" s="274" t="s">
        <v>9</v>
      </c>
      <c r="J253" s="274" t="s">
        <v>403</v>
      </c>
      <c r="K253" s="275">
        <v>0.63888888888888895</v>
      </c>
      <c r="L253" s="275">
        <v>0.90277777777777779</v>
      </c>
      <c r="M253" s="275">
        <v>0.2638888888888889</v>
      </c>
      <c r="N253" s="275">
        <v>0.6875</v>
      </c>
      <c r="O253" s="275">
        <v>0.75</v>
      </c>
      <c r="P253" s="275">
        <v>0.86111111111111116</v>
      </c>
      <c r="Q253" s="276">
        <v>42227</v>
      </c>
      <c r="R253" s="284" t="s">
        <v>72</v>
      </c>
      <c r="S253" s="276">
        <v>42254</v>
      </c>
      <c r="T253" s="284">
        <v>44</v>
      </c>
      <c r="U253" s="274" t="s">
        <v>2218</v>
      </c>
      <c r="V253" s="276">
        <v>42278</v>
      </c>
      <c r="W253" s="276">
        <v>42278</v>
      </c>
      <c r="X253" s="276" t="s">
        <v>2</v>
      </c>
      <c r="Y253" s="274" t="s">
        <v>2245</v>
      </c>
      <c r="Z253" s="274" t="s">
        <v>2</v>
      </c>
      <c r="AA253" s="274" t="s">
        <v>2</v>
      </c>
      <c r="AB253" s="276" t="s">
        <v>2</v>
      </c>
      <c r="AC253" s="274" t="s">
        <v>2</v>
      </c>
      <c r="AD253" s="274" t="s">
        <v>2</v>
      </c>
      <c r="AE253" s="276">
        <v>32733</v>
      </c>
      <c r="AF253" s="274" t="s">
        <v>2</v>
      </c>
      <c r="AG253" s="274" t="s">
        <v>775</v>
      </c>
      <c r="AH253" s="274" t="s">
        <v>2197</v>
      </c>
      <c r="AI253" s="274" t="s">
        <v>89</v>
      </c>
      <c r="AJ253" s="281" t="s">
        <v>2</v>
      </c>
      <c r="AK253" s="281" t="s">
        <v>2280</v>
      </c>
      <c r="AL253" s="281" t="s">
        <v>2306</v>
      </c>
      <c r="AM253" s="281" t="s">
        <v>2</v>
      </c>
      <c r="AN253" s="281" t="s">
        <v>422</v>
      </c>
      <c r="AO253" s="281" t="s">
        <v>2320</v>
      </c>
      <c r="AP253" s="281" t="s">
        <v>2</v>
      </c>
      <c r="AQ253" s="302" t="s">
        <v>2</v>
      </c>
    </row>
    <row r="254" spans="1:43" ht="15" customHeight="1">
      <c r="A254" s="90"/>
      <c r="B254" s="84"/>
      <c r="C254" s="91"/>
      <c r="D254" s="301">
        <v>31063</v>
      </c>
      <c r="E254" s="283">
        <v>893778</v>
      </c>
      <c r="F254" s="273">
        <v>17071</v>
      </c>
      <c r="G254" s="274" t="s">
        <v>2262</v>
      </c>
      <c r="H254" s="274" t="s">
        <v>417</v>
      </c>
      <c r="I254" s="274" t="s">
        <v>9</v>
      </c>
      <c r="J254" s="274" t="s">
        <v>403</v>
      </c>
      <c r="K254" s="275">
        <v>0.65277777777777779</v>
      </c>
      <c r="L254" s="275">
        <v>0.91666666666666663</v>
      </c>
      <c r="M254" s="275">
        <v>0.2638888888888889</v>
      </c>
      <c r="N254" s="275">
        <v>0.69444444444444453</v>
      </c>
      <c r="O254" s="275">
        <v>0.75</v>
      </c>
      <c r="P254" s="275">
        <v>0.86805555555555547</v>
      </c>
      <c r="Q254" s="276">
        <v>42227</v>
      </c>
      <c r="R254" s="284" t="s">
        <v>72</v>
      </c>
      <c r="S254" s="276">
        <v>42254</v>
      </c>
      <c r="T254" s="284">
        <v>44</v>
      </c>
      <c r="U254" s="274" t="s">
        <v>2218</v>
      </c>
      <c r="V254" s="276">
        <v>42278</v>
      </c>
      <c r="W254" s="276">
        <v>42278</v>
      </c>
      <c r="X254" s="276" t="s">
        <v>2</v>
      </c>
      <c r="Y254" s="274" t="s">
        <v>2245</v>
      </c>
      <c r="Z254" s="274" t="s">
        <v>2</v>
      </c>
      <c r="AA254" s="274" t="s">
        <v>2</v>
      </c>
      <c r="AB254" s="276" t="s">
        <v>2</v>
      </c>
      <c r="AC254" s="274" t="s">
        <v>2</v>
      </c>
      <c r="AD254" s="274" t="s">
        <v>2</v>
      </c>
      <c r="AE254" s="276">
        <v>35564</v>
      </c>
      <c r="AF254" s="274" t="s">
        <v>2</v>
      </c>
      <c r="AG254" s="274" t="s">
        <v>775</v>
      </c>
      <c r="AH254" s="274" t="s">
        <v>2197</v>
      </c>
      <c r="AI254" s="274" t="s">
        <v>89</v>
      </c>
      <c r="AJ254" s="281" t="s">
        <v>2</v>
      </c>
      <c r="AK254" s="281" t="s">
        <v>2283</v>
      </c>
      <c r="AL254" s="281" t="s">
        <v>2308</v>
      </c>
      <c r="AM254" s="281" t="s">
        <v>2</v>
      </c>
      <c r="AN254" s="281" t="s">
        <v>422</v>
      </c>
      <c r="AO254" s="281" t="s">
        <v>2322</v>
      </c>
      <c r="AP254" s="281" t="s">
        <v>2</v>
      </c>
      <c r="AQ254" s="302" t="s">
        <v>2</v>
      </c>
    </row>
    <row r="255" spans="1:43" ht="15" customHeight="1">
      <c r="A255" s="90"/>
      <c r="B255" s="84"/>
      <c r="C255" s="91"/>
      <c r="D255" s="301">
        <v>9843</v>
      </c>
      <c r="E255" s="283">
        <v>689774</v>
      </c>
      <c r="F255" s="273">
        <v>10186</v>
      </c>
      <c r="G255" s="274" t="s">
        <v>1269</v>
      </c>
      <c r="H255" s="274" t="s">
        <v>775</v>
      </c>
      <c r="I255" s="274" t="s">
        <v>9</v>
      </c>
      <c r="J255" s="274" t="s">
        <v>1274</v>
      </c>
      <c r="K255" s="275">
        <v>0.33333333333333331</v>
      </c>
      <c r="L255" s="275">
        <v>0.70833333333333337</v>
      </c>
      <c r="M255" s="275">
        <v>0.375</v>
      </c>
      <c r="N255" s="275" t="s">
        <v>2</v>
      </c>
      <c r="O255" s="275" t="s">
        <v>2</v>
      </c>
      <c r="P255" s="275" t="s">
        <v>2</v>
      </c>
      <c r="Q255" s="276">
        <v>39765</v>
      </c>
      <c r="R255" s="284" t="s">
        <v>72</v>
      </c>
      <c r="S255" s="276" t="s">
        <v>2</v>
      </c>
      <c r="T255" s="284">
        <v>2533</v>
      </c>
      <c r="U255" s="274" t="s">
        <v>2229</v>
      </c>
      <c r="V255" s="276">
        <v>42290</v>
      </c>
      <c r="W255" s="276">
        <v>42290</v>
      </c>
      <c r="X255" s="276" t="s">
        <v>2</v>
      </c>
      <c r="Y255" s="274" t="s">
        <v>2245</v>
      </c>
      <c r="Z255" s="274" t="s">
        <v>2</v>
      </c>
      <c r="AA255" s="274" t="s">
        <v>2</v>
      </c>
      <c r="AB255" s="276" t="s">
        <v>2</v>
      </c>
      <c r="AC255" s="274" t="s">
        <v>2</v>
      </c>
      <c r="AD255" s="274">
        <v>8032390</v>
      </c>
      <c r="AE255" s="276">
        <v>27480</v>
      </c>
      <c r="AF255" s="274" t="s">
        <v>2194</v>
      </c>
      <c r="AG255" s="274" t="s">
        <v>775</v>
      </c>
      <c r="AH255" s="274" t="s">
        <v>2197</v>
      </c>
      <c r="AI255" s="274" t="s">
        <v>89</v>
      </c>
      <c r="AJ255" s="281" t="s">
        <v>2</v>
      </c>
      <c r="AK255" s="281" t="s">
        <v>1278</v>
      </c>
      <c r="AL255" s="281" t="s">
        <v>1294</v>
      </c>
      <c r="AM255" s="281" t="s">
        <v>2</v>
      </c>
      <c r="AN255" s="281" t="s">
        <v>2</v>
      </c>
      <c r="AO255" s="281" t="s">
        <v>1320</v>
      </c>
      <c r="AP255" s="281" t="s">
        <v>2</v>
      </c>
      <c r="AQ255" s="302" t="s">
        <v>2</v>
      </c>
    </row>
    <row r="256" spans="1:43" ht="15" customHeight="1">
      <c r="A256" s="90"/>
      <c r="B256" s="84"/>
      <c r="C256" s="91"/>
      <c r="D256" s="301">
        <v>10636</v>
      </c>
      <c r="E256" s="283">
        <v>689748</v>
      </c>
      <c r="F256" s="273">
        <v>10031</v>
      </c>
      <c r="G256" s="274" t="s">
        <v>1271</v>
      </c>
      <c r="H256" s="274" t="s">
        <v>775</v>
      </c>
      <c r="I256" s="274" t="s">
        <v>9</v>
      </c>
      <c r="J256" s="274" t="s">
        <v>405</v>
      </c>
      <c r="K256" s="275">
        <v>0.375</v>
      </c>
      <c r="L256" s="275">
        <v>0.75</v>
      </c>
      <c r="M256" s="275">
        <v>0.375</v>
      </c>
      <c r="N256" s="275" t="s">
        <v>2</v>
      </c>
      <c r="O256" s="275" t="s">
        <v>2</v>
      </c>
      <c r="P256" s="275" t="s">
        <v>2</v>
      </c>
      <c r="Q256" s="276">
        <v>39904</v>
      </c>
      <c r="R256" s="284" t="s">
        <v>72</v>
      </c>
      <c r="S256" s="276" t="s">
        <v>2</v>
      </c>
      <c r="T256" s="284">
        <v>2394</v>
      </c>
      <c r="U256" s="274" t="s">
        <v>2227</v>
      </c>
      <c r="V256" s="276">
        <v>42290</v>
      </c>
      <c r="W256" s="276">
        <v>42290</v>
      </c>
      <c r="X256" s="276" t="s">
        <v>2</v>
      </c>
      <c r="Y256" s="274" t="s">
        <v>2245</v>
      </c>
      <c r="Z256" s="274" t="s">
        <v>2</v>
      </c>
      <c r="AA256" s="274" t="s">
        <v>2</v>
      </c>
      <c r="AB256" s="276" t="s">
        <v>2</v>
      </c>
      <c r="AC256" s="274" t="s">
        <v>2</v>
      </c>
      <c r="AD256" s="274">
        <v>9861561</v>
      </c>
      <c r="AE256" s="276">
        <v>29623</v>
      </c>
      <c r="AF256" s="274" t="s">
        <v>2190</v>
      </c>
      <c r="AG256" s="274" t="s">
        <v>775</v>
      </c>
      <c r="AH256" s="274" t="s">
        <v>2197</v>
      </c>
      <c r="AI256" s="274" t="s">
        <v>89</v>
      </c>
      <c r="AJ256" s="281" t="s">
        <v>2</v>
      </c>
      <c r="AK256" s="281" t="s">
        <v>1282</v>
      </c>
      <c r="AL256" s="281" t="s">
        <v>1297</v>
      </c>
      <c r="AM256" s="281" t="s">
        <v>2</v>
      </c>
      <c r="AN256" s="281" t="s">
        <v>2</v>
      </c>
      <c r="AO256" s="281" t="s">
        <v>1325</v>
      </c>
      <c r="AP256" s="281" t="s">
        <v>2</v>
      </c>
      <c r="AQ256" s="302" t="s">
        <v>2</v>
      </c>
    </row>
    <row r="257" spans="1:43" ht="15" customHeight="1">
      <c r="A257" s="90"/>
      <c r="B257" s="84"/>
      <c r="C257" s="91"/>
      <c r="D257" s="301">
        <v>24702</v>
      </c>
      <c r="E257" s="283">
        <v>798671</v>
      </c>
      <c r="F257" s="273">
        <v>17179</v>
      </c>
      <c r="G257" s="274" t="s">
        <v>349</v>
      </c>
      <c r="H257" s="274" t="s">
        <v>414</v>
      </c>
      <c r="I257" s="274" t="s">
        <v>9</v>
      </c>
      <c r="J257" s="274" t="s">
        <v>403</v>
      </c>
      <c r="K257" s="275">
        <v>0.4916666666666667</v>
      </c>
      <c r="L257" s="275">
        <v>0.83333333333333337</v>
      </c>
      <c r="M257" s="275">
        <v>0.34166666666666662</v>
      </c>
      <c r="N257" s="275">
        <v>0.54166666666666663</v>
      </c>
      <c r="O257" s="275">
        <v>0.64583333333333337</v>
      </c>
      <c r="P257" s="275">
        <v>0.75</v>
      </c>
      <c r="Q257" s="276">
        <v>41340</v>
      </c>
      <c r="R257" s="284" t="s">
        <v>72</v>
      </c>
      <c r="S257" s="276">
        <v>41363</v>
      </c>
      <c r="T257" s="284">
        <v>935</v>
      </c>
      <c r="U257" s="274" t="s">
        <v>2220</v>
      </c>
      <c r="V257" s="276">
        <v>42298</v>
      </c>
      <c r="W257" s="276">
        <v>42298</v>
      </c>
      <c r="X257" s="276" t="s">
        <v>2</v>
      </c>
      <c r="Y257" s="274" t="s">
        <v>2246</v>
      </c>
      <c r="Z257" s="274" t="s">
        <v>2</v>
      </c>
      <c r="AA257" s="274" t="s">
        <v>2</v>
      </c>
      <c r="AB257" s="276" t="s">
        <v>2</v>
      </c>
      <c r="AC257" s="274" t="s">
        <v>2248</v>
      </c>
      <c r="AD257" s="274">
        <v>2882080</v>
      </c>
      <c r="AE257" s="276">
        <v>34684</v>
      </c>
      <c r="AF257" s="274" t="s">
        <v>2189</v>
      </c>
      <c r="AG257" s="274" t="s">
        <v>775</v>
      </c>
      <c r="AH257" s="274" t="s">
        <v>2197</v>
      </c>
      <c r="AI257" s="274" t="s">
        <v>89</v>
      </c>
      <c r="AJ257" s="281">
        <v>810039</v>
      </c>
      <c r="AK257" s="281" t="s">
        <v>1027</v>
      </c>
      <c r="AL257" s="281" t="s">
        <v>676</v>
      </c>
      <c r="AM257" s="281" t="s">
        <v>2</v>
      </c>
      <c r="AN257" s="281" t="s">
        <v>422</v>
      </c>
      <c r="AO257" s="281" t="s">
        <v>1208</v>
      </c>
      <c r="AP257" s="281" t="s">
        <v>2</v>
      </c>
      <c r="AQ257" s="302" t="s">
        <v>1249</v>
      </c>
    </row>
    <row r="258" spans="1:43" ht="15" customHeight="1">
      <c r="A258" s="90"/>
      <c r="B258" s="84"/>
      <c r="C258" s="91"/>
      <c r="D258" s="301">
        <v>31193</v>
      </c>
      <c r="E258" s="283">
        <v>897568</v>
      </c>
      <c r="F258" s="273">
        <v>17129</v>
      </c>
      <c r="G258" s="274" t="s">
        <v>2327</v>
      </c>
      <c r="H258" s="274" t="s">
        <v>416</v>
      </c>
      <c r="I258" s="274" t="s">
        <v>9</v>
      </c>
      <c r="J258" s="274" t="s">
        <v>398</v>
      </c>
      <c r="K258" s="275">
        <v>0.375</v>
      </c>
      <c r="L258" s="275">
        <v>0.63888888888888895</v>
      </c>
      <c r="M258" s="275">
        <v>0.2638888888888889</v>
      </c>
      <c r="N258" s="275">
        <v>0.4236111111111111</v>
      </c>
      <c r="O258" s="275">
        <v>0.51388888888888895</v>
      </c>
      <c r="P258" s="275">
        <v>0.57638888888888895</v>
      </c>
      <c r="Q258" s="276">
        <v>42256</v>
      </c>
      <c r="R258" s="284" t="s">
        <v>85</v>
      </c>
      <c r="S258" s="276">
        <v>42282</v>
      </c>
      <c r="T258" s="284">
        <v>18</v>
      </c>
      <c r="U258" s="274" t="s">
        <v>2218</v>
      </c>
      <c r="V258" s="276">
        <v>42300</v>
      </c>
      <c r="W258" s="276">
        <v>42300</v>
      </c>
      <c r="X258" s="276" t="s">
        <v>2</v>
      </c>
      <c r="Y258" s="274" t="s">
        <v>2245</v>
      </c>
      <c r="Z258" s="274" t="s">
        <v>2</v>
      </c>
      <c r="AA258" s="274" t="s">
        <v>2</v>
      </c>
      <c r="AB258" s="276" t="s">
        <v>2</v>
      </c>
      <c r="AC258" s="274" t="s">
        <v>2</v>
      </c>
      <c r="AD258" s="274" t="s">
        <v>2</v>
      </c>
      <c r="AE258" s="276">
        <v>33108</v>
      </c>
      <c r="AF258" s="274" t="s">
        <v>2</v>
      </c>
      <c r="AG258" s="274" t="s">
        <v>775</v>
      </c>
      <c r="AH258" s="274" t="s">
        <v>2197</v>
      </c>
      <c r="AI258" s="274" t="s">
        <v>89</v>
      </c>
      <c r="AJ258" s="281">
        <v>23906</v>
      </c>
      <c r="AK258" s="281" t="s">
        <v>2366</v>
      </c>
      <c r="AL258" s="281" t="s">
        <v>2350</v>
      </c>
      <c r="AM258" s="281" t="s">
        <v>2</v>
      </c>
      <c r="AN258" s="281" t="s">
        <v>422</v>
      </c>
      <c r="AO258" s="281" t="s">
        <v>2381</v>
      </c>
      <c r="AP258" s="281" t="s">
        <v>2</v>
      </c>
      <c r="AQ258" s="302" t="s">
        <v>2</v>
      </c>
    </row>
    <row r="259" spans="1:43" ht="15" customHeight="1">
      <c r="A259" s="90"/>
      <c r="B259" s="84"/>
      <c r="C259" s="91"/>
      <c r="D259" s="301">
        <v>27008</v>
      </c>
      <c r="E259" s="283">
        <v>824996</v>
      </c>
      <c r="F259" s="273">
        <v>12383</v>
      </c>
      <c r="G259" s="274" t="s">
        <v>358</v>
      </c>
      <c r="H259" s="274" t="s">
        <v>408</v>
      </c>
      <c r="I259" s="274" t="s">
        <v>9</v>
      </c>
      <c r="J259" s="274" t="s">
        <v>404</v>
      </c>
      <c r="K259" s="275">
        <v>0.3888888888888889</v>
      </c>
      <c r="L259" s="275">
        <v>0.65277777777777779</v>
      </c>
      <c r="M259" s="275">
        <v>0.2638888888888889</v>
      </c>
      <c r="N259" s="275">
        <v>0.43055555555555558</v>
      </c>
      <c r="O259" s="275">
        <v>0.5</v>
      </c>
      <c r="P259" s="275">
        <v>0.60416666666666663</v>
      </c>
      <c r="Q259" s="276">
        <v>41596</v>
      </c>
      <c r="R259" s="284" t="s">
        <v>72</v>
      </c>
      <c r="S259" s="276">
        <v>41606</v>
      </c>
      <c r="T259" s="284">
        <v>694</v>
      </c>
      <c r="U259" s="274" t="s">
        <v>2219</v>
      </c>
      <c r="V259" s="276">
        <v>42300</v>
      </c>
      <c r="W259" s="276">
        <v>42300</v>
      </c>
      <c r="X259" s="276" t="s">
        <v>2</v>
      </c>
      <c r="Y259" s="274" t="s">
        <v>2245</v>
      </c>
      <c r="Z259" s="274" t="s">
        <v>2</v>
      </c>
      <c r="AA259" s="274" t="s">
        <v>2</v>
      </c>
      <c r="AB259" s="276" t="s">
        <v>2</v>
      </c>
      <c r="AC259" s="274" t="s">
        <v>2247</v>
      </c>
      <c r="AD259" s="274" t="s">
        <v>2</v>
      </c>
      <c r="AE259" s="276" t="s">
        <v>2</v>
      </c>
      <c r="AF259" s="274" t="s">
        <v>2</v>
      </c>
      <c r="AG259" s="274" t="s">
        <v>775</v>
      </c>
      <c r="AH259" s="274" t="s">
        <v>2197</v>
      </c>
      <c r="AI259" s="274" t="s">
        <v>89</v>
      </c>
      <c r="AJ259" s="281">
        <v>810362</v>
      </c>
      <c r="AK259" s="281" t="s">
        <v>1037</v>
      </c>
      <c r="AL259" s="281" t="s">
        <v>686</v>
      </c>
      <c r="AM259" s="281" t="s">
        <v>2</v>
      </c>
      <c r="AN259" s="281" t="s">
        <v>2</v>
      </c>
      <c r="AO259" s="281" t="s">
        <v>1216</v>
      </c>
      <c r="AP259" s="281" t="s">
        <v>1249</v>
      </c>
      <c r="AQ259" s="302" t="s">
        <v>2</v>
      </c>
    </row>
    <row r="260" spans="1:43" ht="15" customHeight="1">
      <c r="A260" s="90"/>
      <c r="B260" s="84"/>
      <c r="C260" s="91"/>
      <c r="D260" s="301">
        <v>30478</v>
      </c>
      <c r="E260" s="283">
        <v>876825</v>
      </c>
      <c r="F260" s="273">
        <v>12432</v>
      </c>
      <c r="G260" s="274" t="s">
        <v>361</v>
      </c>
      <c r="H260" s="274" t="s">
        <v>408</v>
      </c>
      <c r="I260" s="274" t="s">
        <v>9</v>
      </c>
      <c r="J260" s="274" t="s">
        <v>404</v>
      </c>
      <c r="K260" s="275">
        <v>0.59722222222222221</v>
      </c>
      <c r="L260" s="275">
        <v>0.86111111111111116</v>
      </c>
      <c r="M260" s="275">
        <v>0.2638888888888889</v>
      </c>
      <c r="N260" s="275">
        <v>0.63888888888888895</v>
      </c>
      <c r="O260" s="275">
        <v>0.70833333333333337</v>
      </c>
      <c r="P260" s="275">
        <v>0.8125</v>
      </c>
      <c r="Q260" s="276">
        <v>42079</v>
      </c>
      <c r="R260" s="284" t="s">
        <v>72</v>
      </c>
      <c r="S260" s="276">
        <v>42086</v>
      </c>
      <c r="T260" s="284">
        <v>214</v>
      </c>
      <c r="U260" s="274" t="s">
        <v>2219</v>
      </c>
      <c r="V260" s="276">
        <v>42300</v>
      </c>
      <c r="W260" s="276">
        <v>42300</v>
      </c>
      <c r="X260" s="276" t="s">
        <v>2</v>
      </c>
      <c r="Y260" s="274" t="s">
        <v>2245</v>
      </c>
      <c r="Z260" s="274" t="s">
        <v>2</v>
      </c>
      <c r="AA260" s="274" t="s">
        <v>2</v>
      </c>
      <c r="AB260" s="276" t="s">
        <v>2</v>
      </c>
      <c r="AC260" s="274" t="s">
        <v>2247</v>
      </c>
      <c r="AD260" s="274" t="s">
        <v>2</v>
      </c>
      <c r="AE260" s="276">
        <v>33920</v>
      </c>
      <c r="AF260" s="274" t="s">
        <v>2</v>
      </c>
      <c r="AG260" s="274" t="s">
        <v>775</v>
      </c>
      <c r="AH260" s="274" t="s">
        <v>2197</v>
      </c>
      <c r="AI260" s="274" t="s">
        <v>89</v>
      </c>
      <c r="AJ260" s="281">
        <v>810366</v>
      </c>
      <c r="AK260" s="281" t="s">
        <v>1039</v>
      </c>
      <c r="AL260" s="281" t="s">
        <v>689</v>
      </c>
      <c r="AM260" s="281" t="s">
        <v>2</v>
      </c>
      <c r="AN260" s="281" t="s">
        <v>2</v>
      </c>
      <c r="AO260" s="281" t="s">
        <v>1219</v>
      </c>
      <c r="AP260" s="281" t="s">
        <v>1249</v>
      </c>
      <c r="AQ260" s="302" t="s">
        <v>2</v>
      </c>
    </row>
    <row r="261" spans="1:43" ht="15" customHeight="1">
      <c r="A261" s="90"/>
      <c r="B261" s="84"/>
      <c r="C261" s="91"/>
      <c r="D261" s="301">
        <v>31061</v>
      </c>
      <c r="E261" s="283">
        <v>893776</v>
      </c>
      <c r="F261" s="273">
        <v>17069</v>
      </c>
      <c r="G261" s="274" t="s">
        <v>2260</v>
      </c>
      <c r="H261" s="274" t="s">
        <v>420</v>
      </c>
      <c r="I261" s="274" t="s">
        <v>9</v>
      </c>
      <c r="J261" s="274" t="s">
        <v>398</v>
      </c>
      <c r="K261" s="275">
        <v>0.625</v>
      </c>
      <c r="L261" s="275">
        <v>0.88888888888888884</v>
      </c>
      <c r="M261" s="275">
        <v>0.2638888888888889</v>
      </c>
      <c r="N261" s="275">
        <v>0.66666666666666663</v>
      </c>
      <c r="O261" s="275">
        <v>0.72916666666666663</v>
      </c>
      <c r="P261" s="275">
        <v>0.82638888888888884</v>
      </c>
      <c r="Q261" s="276">
        <v>42227</v>
      </c>
      <c r="R261" s="284" t="s">
        <v>72</v>
      </c>
      <c r="S261" s="276">
        <v>42254</v>
      </c>
      <c r="T261" s="284">
        <v>52</v>
      </c>
      <c r="U261" s="274" t="s">
        <v>2218</v>
      </c>
      <c r="V261" s="276">
        <v>42305</v>
      </c>
      <c r="W261" s="276">
        <v>42305</v>
      </c>
      <c r="X261" s="276" t="s">
        <v>2</v>
      </c>
      <c r="Y261" s="274" t="s">
        <v>2246</v>
      </c>
      <c r="Z261" s="274" t="s">
        <v>2</v>
      </c>
      <c r="AA261" s="274" t="s">
        <v>2</v>
      </c>
      <c r="AB261" s="276" t="s">
        <v>2</v>
      </c>
      <c r="AC261" s="274" t="s">
        <v>1257</v>
      </c>
      <c r="AD261" s="274" t="s">
        <v>2</v>
      </c>
      <c r="AE261" s="276">
        <v>33329</v>
      </c>
      <c r="AF261" s="274" t="s">
        <v>2</v>
      </c>
      <c r="AG261" s="274" t="s">
        <v>775</v>
      </c>
      <c r="AH261" s="274" t="s">
        <v>2197</v>
      </c>
      <c r="AI261" s="274" t="s">
        <v>89</v>
      </c>
      <c r="AJ261" s="281">
        <v>23471</v>
      </c>
      <c r="AK261" s="281" t="s">
        <v>2281</v>
      </c>
      <c r="AL261" s="281" t="s">
        <v>2296</v>
      </c>
      <c r="AM261" s="281" t="s">
        <v>2</v>
      </c>
      <c r="AN261" s="281" t="s">
        <v>422</v>
      </c>
      <c r="AO261" s="281" t="s">
        <v>2314</v>
      </c>
      <c r="AP261" s="281" t="s">
        <v>2</v>
      </c>
      <c r="AQ261" s="302" t="s">
        <v>2</v>
      </c>
    </row>
    <row r="262" spans="1:43" ht="15" customHeight="1">
      <c r="A262" s="90"/>
      <c r="B262" s="84"/>
      <c r="C262" s="91"/>
      <c r="D262" s="301">
        <v>17170</v>
      </c>
      <c r="E262" s="283">
        <v>728797</v>
      </c>
      <c r="F262" s="273">
        <v>12580</v>
      </c>
      <c r="G262" s="274" t="s">
        <v>134</v>
      </c>
      <c r="H262" s="274" t="s">
        <v>411</v>
      </c>
      <c r="I262" s="274" t="s">
        <v>9</v>
      </c>
      <c r="J262" s="274" t="s">
        <v>394</v>
      </c>
      <c r="K262" s="275">
        <v>0.3125</v>
      </c>
      <c r="L262" s="275">
        <v>0.6875</v>
      </c>
      <c r="M262" s="275">
        <v>0.375</v>
      </c>
      <c r="N262" s="275" t="s">
        <v>2</v>
      </c>
      <c r="O262" s="275" t="s">
        <v>2</v>
      </c>
      <c r="P262" s="275" t="s">
        <v>2</v>
      </c>
      <c r="Q262" s="276">
        <v>40680</v>
      </c>
      <c r="R262" s="284" t="s">
        <v>72</v>
      </c>
      <c r="S262" s="276">
        <v>40703</v>
      </c>
      <c r="T262" s="284">
        <v>1604</v>
      </c>
      <c r="U262" s="274" t="s">
        <v>2217</v>
      </c>
      <c r="V262" s="276">
        <v>42307</v>
      </c>
      <c r="W262" s="276">
        <v>42307</v>
      </c>
      <c r="X262" s="276" t="s">
        <v>2</v>
      </c>
      <c r="Y262" s="274" t="s">
        <v>2</v>
      </c>
      <c r="Z262" s="274" t="s">
        <v>2</v>
      </c>
      <c r="AA262" s="274" t="s">
        <v>2</v>
      </c>
      <c r="AB262" s="276" t="s">
        <v>2</v>
      </c>
      <c r="AC262" s="274" t="s">
        <v>1250</v>
      </c>
      <c r="AD262" s="274">
        <v>8180270</v>
      </c>
      <c r="AE262" s="276">
        <v>32573</v>
      </c>
      <c r="AF262" s="274" t="s">
        <v>2194</v>
      </c>
      <c r="AG262" s="274" t="s">
        <v>775</v>
      </c>
      <c r="AH262" s="274" t="s">
        <v>2197</v>
      </c>
      <c r="AI262" s="274" t="s">
        <v>89</v>
      </c>
      <c r="AJ262" s="281" t="s">
        <v>2</v>
      </c>
      <c r="AK262" s="281" t="s">
        <v>821</v>
      </c>
      <c r="AL262" s="281" t="s">
        <v>469</v>
      </c>
      <c r="AM262" s="281" t="s">
        <v>2</v>
      </c>
      <c r="AN262" s="281" t="s">
        <v>2</v>
      </c>
      <c r="AO262" s="281" t="s">
        <v>1110</v>
      </c>
      <c r="AP262" s="281" t="s">
        <v>1249</v>
      </c>
      <c r="AQ262" s="302" t="s">
        <v>2</v>
      </c>
    </row>
    <row r="263" spans="1:43" ht="15" customHeight="1">
      <c r="A263" s="90"/>
      <c r="B263" s="84"/>
      <c r="C263" s="91"/>
      <c r="D263" s="301">
        <v>13229</v>
      </c>
      <c r="E263" s="283">
        <v>702632</v>
      </c>
      <c r="F263" s="273">
        <v>12327</v>
      </c>
      <c r="G263" s="274" t="s">
        <v>364</v>
      </c>
      <c r="H263" s="274" t="s">
        <v>411</v>
      </c>
      <c r="I263" s="274" t="s">
        <v>9</v>
      </c>
      <c r="J263" s="274" t="s">
        <v>405</v>
      </c>
      <c r="K263" s="275">
        <v>0.29166666666666669</v>
      </c>
      <c r="L263" s="275">
        <v>0.66666666666666663</v>
      </c>
      <c r="M263" s="275">
        <v>0.375</v>
      </c>
      <c r="N263" s="275" t="s">
        <v>2</v>
      </c>
      <c r="O263" s="275" t="s">
        <v>2</v>
      </c>
      <c r="P263" s="275" t="s">
        <v>2</v>
      </c>
      <c r="Q263" s="276">
        <v>40378</v>
      </c>
      <c r="R263" s="284" t="s">
        <v>72</v>
      </c>
      <c r="S263" s="276">
        <v>40401</v>
      </c>
      <c r="T263" s="284">
        <v>1906</v>
      </c>
      <c r="U263" s="274" t="s">
        <v>2217</v>
      </c>
      <c r="V263" s="276">
        <v>42307</v>
      </c>
      <c r="W263" s="276">
        <v>42307</v>
      </c>
      <c r="X263" s="276" t="s">
        <v>2</v>
      </c>
      <c r="Y263" s="274" t="s">
        <v>2245</v>
      </c>
      <c r="Z263" s="274" t="s">
        <v>2</v>
      </c>
      <c r="AA263" s="274" t="s">
        <v>2</v>
      </c>
      <c r="AB263" s="276" t="s">
        <v>2</v>
      </c>
      <c r="AC263" s="274" t="s">
        <v>1251</v>
      </c>
      <c r="AD263" s="274">
        <v>24210200</v>
      </c>
      <c r="AE263" s="276">
        <v>33280</v>
      </c>
      <c r="AF263" s="274" t="s">
        <v>2188</v>
      </c>
      <c r="AG263" s="274" t="s">
        <v>775</v>
      </c>
      <c r="AH263" s="274" t="s">
        <v>2197</v>
      </c>
      <c r="AI263" s="274" t="s">
        <v>89</v>
      </c>
      <c r="AJ263" s="281" t="s">
        <v>2</v>
      </c>
      <c r="AK263" s="281" t="s">
        <v>1042</v>
      </c>
      <c r="AL263" s="281" t="s">
        <v>692</v>
      </c>
      <c r="AM263" s="281" t="s">
        <v>2</v>
      </c>
      <c r="AN263" s="281" t="s">
        <v>2</v>
      </c>
      <c r="AO263" s="281" t="s">
        <v>1222</v>
      </c>
      <c r="AP263" s="281" t="s">
        <v>2</v>
      </c>
      <c r="AQ263" s="302" t="s">
        <v>2</v>
      </c>
    </row>
    <row r="264" spans="1:43" ht="15" customHeight="1">
      <c r="A264" s="90"/>
      <c r="B264" s="84"/>
      <c r="C264" s="91"/>
      <c r="D264" s="301">
        <v>21520</v>
      </c>
      <c r="E264" s="283">
        <v>766748</v>
      </c>
      <c r="F264" s="273">
        <v>12411</v>
      </c>
      <c r="G264" s="274" t="s">
        <v>285</v>
      </c>
      <c r="H264" s="274" t="s">
        <v>424</v>
      </c>
      <c r="I264" s="274" t="s">
        <v>9</v>
      </c>
      <c r="J264" s="274" t="s">
        <v>401</v>
      </c>
      <c r="K264" s="275">
        <v>0.49305555555555558</v>
      </c>
      <c r="L264" s="275">
        <v>0.83472222222222214</v>
      </c>
      <c r="M264" s="275">
        <v>0.34166666666666662</v>
      </c>
      <c r="N264" s="275" t="s">
        <v>2</v>
      </c>
      <c r="O264" s="275" t="s">
        <v>2</v>
      </c>
      <c r="P264" s="275" t="s">
        <v>2</v>
      </c>
      <c r="Q264" s="276">
        <v>41017</v>
      </c>
      <c r="R264" s="284" t="s">
        <v>72</v>
      </c>
      <c r="S264" s="276">
        <v>41040</v>
      </c>
      <c r="T264" s="284">
        <v>1267</v>
      </c>
      <c r="U264" s="274" t="s">
        <v>2217</v>
      </c>
      <c r="V264" s="276">
        <v>42307</v>
      </c>
      <c r="W264" s="276">
        <v>42307</v>
      </c>
      <c r="X264" s="276" t="s">
        <v>2</v>
      </c>
      <c r="Y264" s="274" t="s">
        <v>2245</v>
      </c>
      <c r="Z264" s="274" t="s">
        <v>2</v>
      </c>
      <c r="AA264" s="274" t="s">
        <v>2</v>
      </c>
      <c r="AB264" s="276" t="s">
        <v>2</v>
      </c>
      <c r="AC264" s="274" t="s">
        <v>2</v>
      </c>
      <c r="AD264" s="274">
        <v>2874000</v>
      </c>
      <c r="AE264" s="276">
        <v>34370</v>
      </c>
      <c r="AF264" s="274" t="s">
        <v>2189</v>
      </c>
      <c r="AG264" s="274" t="s">
        <v>775</v>
      </c>
      <c r="AH264" s="274" t="s">
        <v>2197</v>
      </c>
      <c r="AI264" s="274" t="s">
        <v>89</v>
      </c>
      <c r="AJ264" s="281" t="s">
        <v>2</v>
      </c>
      <c r="AK264" s="281" t="s">
        <v>965</v>
      </c>
      <c r="AL264" s="281" t="s">
        <v>614</v>
      </c>
      <c r="AM264" s="281" t="s">
        <v>2</v>
      </c>
      <c r="AN264" s="281" t="s">
        <v>2</v>
      </c>
      <c r="AO264" s="281" t="s">
        <v>1189</v>
      </c>
      <c r="AP264" s="281" t="s">
        <v>1249</v>
      </c>
      <c r="AQ264" s="302" t="s">
        <v>2</v>
      </c>
    </row>
    <row r="265" spans="1:43" ht="15" customHeight="1">
      <c r="A265" s="90"/>
      <c r="B265" s="84"/>
      <c r="C265" s="91"/>
      <c r="D265" s="301">
        <v>15264</v>
      </c>
      <c r="E265" s="283">
        <v>719379</v>
      </c>
      <c r="F265" s="273">
        <v>12734</v>
      </c>
      <c r="G265" s="274" t="s">
        <v>292</v>
      </c>
      <c r="H265" s="274" t="s">
        <v>424</v>
      </c>
      <c r="I265" s="274" t="s">
        <v>9</v>
      </c>
      <c r="J265" s="274" t="s">
        <v>401</v>
      </c>
      <c r="K265" s="275">
        <v>0.39583333333333331</v>
      </c>
      <c r="L265" s="275">
        <v>0.77083333333333326</v>
      </c>
      <c r="M265" s="275">
        <v>0.375</v>
      </c>
      <c r="N265" s="275" t="s">
        <v>2</v>
      </c>
      <c r="O265" s="275" t="s">
        <v>2</v>
      </c>
      <c r="P265" s="275" t="s">
        <v>2</v>
      </c>
      <c r="Q265" s="276">
        <v>40588</v>
      </c>
      <c r="R265" s="284" t="s">
        <v>72</v>
      </c>
      <c r="S265" s="276">
        <v>40611</v>
      </c>
      <c r="T265" s="284">
        <v>1696</v>
      </c>
      <c r="U265" s="274" t="s">
        <v>2217</v>
      </c>
      <c r="V265" s="276">
        <v>42307</v>
      </c>
      <c r="W265" s="276">
        <v>42307</v>
      </c>
      <c r="X265" s="276" t="s">
        <v>2</v>
      </c>
      <c r="Y265" s="274" t="s">
        <v>2245</v>
      </c>
      <c r="Z265" s="274" t="s">
        <v>2</v>
      </c>
      <c r="AA265" s="274" t="s">
        <v>2</v>
      </c>
      <c r="AB265" s="276" t="s">
        <v>2</v>
      </c>
      <c r="AC265" s="274" t="s">
        <v>2</v>
      </c>
      <c r="AD265" s="274">
        <v>3152130</v>
      </c>
      <c r="AE265" s="276">
        <v>32280</v>
      </c>
      <c r="AF265" s="274" t="s">
        <v>2195</v>
      </c>
      <c r="AG265" s="274" t="s">
        <v>775</v>
      </c>
      <c r="AH265" s="274" t="s">
        <v>2197</v>
      </c>
      <c r="AI265" s="274" t="s">
        <v>89</v>
      </c>
      <c r="AJ265" s="281" t="s">
        <v>2</v>
      </c>
      <c r="AK265" s="281" t="s">
        <v>972</v>
      </c>
      <c r="AL265" s="281" t="s">
        <v>620</v>
      </c>
      <c r="AM265" s="281" t="s">
        <v>2</v>
      </c>
      <c r="AN265" s="281" t="s">
        <v>2</v>
      </c>
      <c r="AO265" s="281" t="s">
        <v>1190</v>
      </c>
      <c r="AP265" s="281" t="s">
        <v>2</v>
      </c>
      <c r="AQ265" s="302" t="s">
        <v>2</v>
      </c>
    </row>
    <row r="266" spans="1:43" ht="15" customHeight="1">
      <c r="A266" s="90"/>
      <c r="B266" s="84"/>
      <c r="C266" s="91"/>
      <c r="D266" s="301">
        <v>29857</v>
      </c>
      <c r="E266" s="283">
        <v>868173</v>
      </c>
      <c r="F266" s="273">
        <v>12386</v>
      </c>
      <c r="G266" s="274" t="s">
        <v>164</v>
      </c>
      <c r="H266" s="274" t="s">
        <v>412</v>
      </c>
      <c r="I266" s="274" t="s">
        <v>9</v>
      </c>
      <c r="J266" s="274" t="s">
        <v>395</v>
      </c>
      <c r="K266" s="275">
        <v>0.625</v>
      </c>
      <c r="L266" s="275">
        <v>0.88888888888888884</v>
      </c>
      <c r="M266" s="275">
        <v>0.2638888888888889</v>
      </c>
      <c r="N266" s="275">
        <v>0.70833333333333337</v>
      </c>
      <c r="O266" s="275">
        <v>0.80555555555555547</v>
      </c>
      <c r="P266" s="275">
        <v>0.86111111111111116</v>
      </c>
      <c r="Q266" s="276">
        <v>41983</v>
      </c>
      <c r="R266" s="284" t="s">
        <v>72</v>
      </c>
      <c r="S266" s="276">
        <v>42009</v>
      </c>
      <c r="T266" s="284">
        <v>303</v>
      </c>
      <c r="U266" s="274" t="s">
        <v>2218</v>
      </c>
      <c r="V266" s="276">
        <v>42307</v>
      </c>
      <c r="W266" s="276">
        <v>42307</v>
      </c>
      <c r="X266" s="276" t="s">
        <v>2</v>
      </c>
      <c r="Y266" s="274" t="s">
        <v>2246</v>
      </c>
      <c r="Z266" s="274" t="s">
        <v>2</v>
      </c>
      <c r="AA266" s="274" t="s">
        <v>2</v>
      </c>
      <c r="AB266" s="276" t="s">
        <v>2</v>
      </c>
      <c r="AC266" s="274">
        <v>171</v>
      </c>
      <c r="AD266" s="274" t="s">
        <v>715</v>
      </c>
      <c r="AE266" s="276">
        <v>34625</v>
      </c>
      <c r="AF266" s="274" t="s">
        <v>2196</v>
      </c>
      <c r="AG266" s="274" t="s">
        <v>775</v>
      </c>
      <c r="AH266" s="274" t="s">
        <v>2197</v>
      </c>
      <c r="AI266" s="274" t="s">
        <v>89</v>
      </c>
      <c r="AJ266" s="281">
        <v>810215</v>
      </c>
      <c r="AK266" s="281" t="s">
        <v>850</v>
      </c>
      <c r="AL266" s="281" t="s">
        <v>498</v>
      </c>
      <c r="AM266" s="281" t="s">
        <v>2</v>
      </c>
      <c r="AN266" s="281" t="s">
        <v>422</v>
      </c>
      <c r="AO266" s="281" t="s">
        <v>1138</v>
      </c>
      <c r="AP266" s="281" t="s">
        <v>2</v>
      </c>
      <c r="AQ266" s="302" t="s">
        <v>2</v>
      </c>
    </row>
    <row r="267" spans="1:43" ht="15" customHeight="1">
      <c r="A267" s="90"/>
      <c r="B267" s="84"/>
      <c r="C267" s="91"/>
      <c r="D267" s="301">
        <v>23932</v>
      </c>
      <c r="E267" s="283">
        <v>792983</v>
      </c>
      <c r="F267" s="273">
        <v>12927</v>
      </c>
      <c r="G267" s="274" t="s">
        <v>355</v>
      </c>
      <c r="H267" s="274" t="s">
        <v>408</v>
      </c>
      <c r="I267" s="274" t="s">
        <v>9</v>
      </c>
      <c r="J267" s="274" t="s">
        <v>404</v>
      </c>
      <c r="K267" s="275">
        <v>0.33333333333333331</v>
      </c>
      <c r="L267" s="275">
        <v>0.59722222222222221</v>
      </c>
      <c r="M267" s="275">
        <v>0.2638888888888889</v>
      </c>
      <c r="N267" s="275">
        <v>0.375</v>
      </c>
      <c r="O267" s="275">
        <v>0.45833333333333331</v>
      </c>
      <c r="P267" s="275">
        <v>0.56944444444444442</v>
      </c>
      <c r="Q267" s="276">
        <v>41285</v>
      </c>
      <c r="R267" s="284" t="s">
        <v>72</v>
      </c>
      <c r="S267" s="276">
        <v>41308</v>
      </c>
      <c r="T267" s="284">
        <v>1004</v>
      </c>
      <c r="U267" s="274" t="s">
        <v>2219</v>
      </c>
      <c r="V267" s="276">
        <v>42307</v>
      </c>
      <c r="W267" s="276">
        <v>42307</v>
      </c>
      <c r="X267" s="276" t="s">
        <v>2</v>
      </c>
      <c r="Y267" s="274" t="s">
        <v>2245</v>
      </c>
      <c r="Z267" s="274" t="s">
        <v>2</v>
      </c>
      <c r="AA267" s="274" t="s">
        <v>2</v>
      </c>
      <c r="AB267" s="276" t="s">
        <v>2</v>
      </c>
      <c r="AC267" s="274" t="s">
        <v>2247</v>
      </c>
      <c r="AD267" s="274">
        <v>5786080</v>
      </c>
      <c r="AE267" s="276">
        <v>31372</v>
      </c>
      <c r="AF267" s="274" t="s">
        <v>2191</v>
      </c>
      <c r="AG267" s="274" t="s">
        <v>775</v>
      </c>
      <c r="AH267" s="274" t="s">
        <v>2197</v>
      </c>
      <c r="AI267" s="274" t="s">
        <v>89</v>
      </c>
      <c r="AJ267" s="281">
        <v>810359</v>
      </c>
      <c r="AK267" s="281" t="s">
        <v>1034</v>
      </c>
      <c r="AL267" s="281" t="s">
        <v>683</v>
      </c>
      <c r="AM267" s="281" t="s">
        <v>2</v>
      </c>
      <c r="AN267" s="281" t="s">
        <v>2</v>
      </c>
      <c r="AO267" s="281" t="s">
        <v>1213</v>
      </c>
      <c r="AP267" s="281" t="s">
        <v>2</v>
      </c>
      <c r="AQ267" s="302" t="s">
        <v>2</v>
      </c>
    </row>
    <row r="268" spans="1:43" ht="15" customHeight="1">
      <c r="A268" s="90"/>
      <c r="B268" s="84"/>
      <c r="C268" s="91"/>
      <c r="D268" s="301">
        <v>27004</v>
      </c>
      <c r="E268" s="283">
        <v>824992</v>
      </c>
      <c r="F268" s="273">
        <v>12151</v>
      </c>
      <c r="G268" s="274" t="s">
        <v>356</v>
      </c>
      <c r="H268" s="274" t="s">
        <v>408</v>
      </c>
      <c r="I268" s="274" t="s">
        <v>9</v>
      </c>
      <c r="J268" s="274" t="s">
        <v>404</v>
      </c>
      <c r="K268" s="275">
        <v>0.33333333333333331</v>
      </c>
      <c r="L268" s="275">
        <v>0.59722222222222221</v>
      </c>
      <c r="M268" s="275">
        <v>0.2638888888888889</v>
      </c>
      <c r="N268" s="275">
        <v>0.3888888888888889</v>
      </c>
      <c r="O268" s="275">
        <v>0.47916666666666669</v>
      </c>
      <c r="P268" s="275">
        <v>0.53472222222222221</v>
      </c>
      <c r="Q268" s="276">
        <v>41596</v>
      </c>
      <c r="R268" s="284" t="s">
        <v>72</v>
      </c>
      <c r="S268" s="276">
        <v>41606</v>
      </c>
      <c r="T268" s="284">
        <v>706</v>
      </c>
      <c r="U268" s="274" t="s">
        <v>2219</v>
      </c>
      <c r="V268" s="276">
        <v>42307</v>
      </c>
      <c r="W268" s="276">
        <v>42307</v>
      </c>
      <c r="X268" s="276" t="s">
        <v>2</v>
      </c>
      <c r="Y268" s="274" t="s">
        <v>2245</v>
      </c>
      <c r="Z268" s="274" t="s">
        <v>2</v>
      </c>
      <c r="AA268" s="274" t="s">
        <v>2</v>
      </c>
      <c r="AB268" s="276" t="s">
        <v>2</v>
      </c>
      <c r="AC268" s="274" t="s">
        <v>2247</v>
      </c>
      <c r="AD268" s="274" t="s">
        <v>2</v>
      </c>
      <c r="AE268" s="276" t="s">
        <v>2</v>
      </c>
      <c r="AF268" s="274" t="s">
        <v>2</v>
      </c>
      <c r="AG268" s="274" t="s">
        <v>775</v>
      </c>
      <c r="AH268" s="274" t="s">
        <v>2197</v>
      </c>
      <c r="AI268" s="274" t="s">
        <v>89</v>
      </c>
      <c r="AJ268" s="281">
        <v>810358</v>
      </c>
      <c r="AK268" s="281" t="s">
        <v>1035</v>
      </c>
      <c r="AL268" s="281" t="s">
        <v>684</v>
      </c>
      <c r="AM268" s="281" t="s">
        <v>2</v>
      </c>
      <c r="AN268" s="281" t="s">
        <v>2</v>
      </c>
      <c r="AO268" s="281" t="s">
        <v>1214</v>
      </c>
      <c r="AP268" s="281" t="s">
        <v>1249</v>
      </c>
      <c r="AQ268" s="302" t="s">
        <v>2</v>
      </c>
    </row>
    <row r="269" spans="1:43" ht="15" customHeight="1">
      <c r="A269" s="90"/>
      <c r="B269" s="84"/>
      <c r="C269" s="91"/>
      <c r="D269" s="301">
        <v>10914</v>
      </c>
      <c r="E269" s="283">
        <v>688863</v>
      </c>
      <c r="F269" s="273">
        <v>12529</v>
      </c>
      <c r="G269" s="274" t="s">
        <v>363</v>
      </c>
      <c r="H269" s="274" t="s">
        <v>411</v>
      </c>
      <c r="I269" s="274" t="s">
        <v>9</v>
      </c>
      <c r="J269" s="274" t="s">
        <v>405</v>
      </c>
      <c r="K269" s="275">
        <v>0.29166666666666669</v>
      </c>
      <c r="L269" s="275">
        <v>0.66666666666666663</v>
      </c>
      <c r="M269" s="275">
        <v>0.375</v>
      </c>
      <c r="N269" s="275" t="s">
        <v>2</v>
      </c>
      <c r="O269" s="275" t="s">
        <v>2</v>
      </c>
      <c r="P269" s="275" t="s">
        <v>2</v>
      </c>
      <c r="Q269" s="276">
        <v>39967</v>
      </c>
      <c r="R269" s="284" t="s">
        <v>72</v>
      </c>
      <c r="S269" s="276">
        <v>39990</v>
      </c>
      <c r="T269" s="284">
        <v>2328</v>
      </c>
      <c r="U269" s="274" t="s">
        <v>2217</v>
      </c>
      <c r="V269" s="276" t="s">
        <v>2396</v>
      </c>
      <c r="W269" s="276">
        <v>42307</v>
      </c>
      <c r="X269" s="276" t="s">
        <v>2</v>
      </c>
      <c r="Y269" s="274" t="s">
        <v>2245</v>
      </c>
      <c r="Z269" s="274" t="s">
        <v>2</v>
      </c>
      <c r="AA269" s="274" t="s">
        <v>2</v>
      </c>
      <c r="AB269" s="276" t="s">
        <v>2</v>
      </c>
      <c r="AC269" s="274" t="s">
        <v>1251</v>
      </c>
      <c r="AD269" s="274">
        <v>8320000</v>
      </c>
      <c r="AE269" s="276">
        <v>28991</v>
      </c>
      <c r="AF269" s="274" t="s">
        <v>2194</v>
      </c>
      <c r="AG269" s="274" t="s">
        <v>775</v>
      </c>
      <c r="AH269" s="274" t="s">
        <v>2197</v>
      </c>
      <c r="AI269" s="274" t="s">
        <v>89</v>
      </c>
      <c r="AJ269" s="281" t="s">
        <v>2</v>
      </c>
      <c r="AK269" s="281" t="s">
        <v>1041</v>
      </c>
      <c r="AL269" s="281" t="s">
        <v>691</v>
      </c>
      <c r="AM269" s="281" t="s">
        <v>2</v>
      </c>
      <c r="AN269" s="281" t="s">
        <v>2</v>
      </c>
      <c r="AO269" s="281" t="s">
        <v>1221</v>
      </c>
      <c r="AP269" s="281" t="s">
        <v>2</v>
      </c>
      <c r="AQ269" s="302" t="s">
        <v>2</v>
      </c>
    </row>
    <row r="270" spans="1:43" ht="15" customHeight="1">
      <c r="A270" s="90"/>
      <c r="B270" s="84"/>
      <c r="C270" s="91"/>
      <c r="D270" s="301">
        <v>12658</v>
      </c>
      <c r="E270" s="283">
        <v>695517</v>
      </c>
      <c r="F270" s="273">
        <v>12458</v>
      </c>
      <c r="G270" s="274" t="s">
        <v>143</v>
      </c>
      <c r="H270" s="274" t="s">
        <v>411</v>
      </c>
      <c r="I270" s="274" t="s">
        <v>9</v>
      </c>
      <c r="J270" s="274" t="s">
        <v>394</v>
      </c>
      <c r="K270" s="275">
        <v>0.3666666666666667</v>
      </c>
      <c r="L270" s="275">
        <v>0.70833333333333337</v>
      </c>
      <c r="M270" s="275">
        <v>0.34166666666666662</v>
      </c>
      <c r="N270" s="275">
        <v>0.40972222222222227</v>
      </c>
      <c r="O270" s="275">
        <v>0.54166666666666663</v>
      </c>
      <c r="P270" s="275">
        <v>0.65972222222222221</v>
      </c>
      <c r="Q270" s="276">
        <v>40288</v>
      </c>
      <c r="R270" s="284" t="s">
        <v>72</v>
      </c>
      <c r="S270" s="276">
        <v>40311</v>
      </c>
      <c r="T270" s="284">
        <v>2020</v>
      </c>
      <c r="U270" s="274" t="s">
        <v>2217</v>
      </c>
      <c r="V270" s="276">
        <v>42313</v>
      </c>
      <c r="W270" s="276">
        <v>42313</v>
      </c>
      <c r="X270" s="276" t="s">
        <v>2</v>
      </c>
      <c r="Y270" s="274" t="s">
        <v>2245</v>
      </c>
      <c r="Z270" s="274" t="s">
        <v>2</v>
      </c>
      <c r="AA270" s="274" t="s">
        <v>2</v>
      </c>
      <c r="AB270" s="276" t="s">
        <v>2</v>
      </c>
      <c r="AC270" s="274" t="s">
        <v>1250</v>
      </c>
      <c r="AD270" s="274">
        <v>3947080</v>
      </c>
      <c r="AE270" s="276">
        <v>33385</v>
      </c>
      <c r="AF270" s="274" t="s">
        <v>2195</v>
      </c>
      <c r="AG270" s="274" t="s">
        <v>775</v>
      </c>
      <c r="AH270" s="274" t="s">
        <v>2197</v>
      </c>
      <c r="AI270" s="274" t="s">
        <v>89</v>
      </c>
      <c r="AJ270" s="281" t="s">
        <v>2</v>
      </c>
      <c r="AK270" s="281" t="s">
        <v>830</v>
      </c>
      <c r="AL270" s="281" t="s">
        <v>478</v>
      </c>
      <c r="AM270" s="281" t="s">
        <v>2</v>
      </c>
      <c r="AN270" s="281" t="s">
        <v>2</v>
      </c>
      <c r="AO270" s="281" t="s">
        <v>1119</v>
      </c>
      <c r="AP270" s="281" t="s">
        <v>1249</v>
      </c>
      <c r="AQ270" s="302" t="s">
        <v>2</v>
      </c>
    </row>
    <row r="271" spans="1:43" ht="15" customHeight="1">
      <c r="A271" s="90"/>
      <c r="B271" s="84"/>
      <c r="C271" s="91"/>
      <c r="D271" s="301">
        <v>30462</v>
      </c>
      <c r="E271" s="283">
        <v>876675</v>
      </c>
      <c r="F271" s="273">
        <v>12804</v>
      </c>
      <c r="G271" s="274" t="s">
        <v>246</v>
      </c>
      <c r="H271" s="274" t="s">
        <v>412</v>
      </c>
      <c r="I271" s="274" t="s">
        <v>9</v>
      </c>
      <c r="J271" s="274" t="s">
        <v>395</v>
      </c>
      <c r="K271" s="275">
        <v>0.54166666666666663</v>
      </c>
      <c r="L271" s="275">
        <v>0.80555555555555547</v>
      </c>
      <c r="M271" s="275">
        <v>0.2638888888888889</v>
      </c>
      <c r="N271" s="275" t="s">
        <v>2</v>
      </c>
      <c r="O271" s="275" t="s">
        <v>2</v>
      </c>
      <c r="P271" s="275" t="s">
        <v>2</v>
      </c>
      <c r="Q271" s="276">
        <v>42079</v>
      </c>
      <c r="R271" s="284" t="s">
        <v>72</v>
      </c>
      <c r="S271" s="276">
        <v>42100</v>
      </c>
      <c r="T271" s="284">
        <v>231</v>
      </c>
      <c r="U271" s="274" t="s">
        <v>2218</v>
      </c>
      <c r="V271" s="276">
        <v>42313</v>
      </c>
      <c r="W271" s="276">
        <v>42312</v>
      </c>
      <c r="X271" s="276" t="s">
        <v>2</v>
      </c>
      <c r="Y271" s="274" t="s">
        <v>2246</v>
      </c>
      <c r="Z271" s="274" t="s">
        <v>2</v>
      </c>
      <c r="AA271" s="274" t="s">
        <v>2</v>
      </c>
      <c r="AB271" s="276" t="s">
        <v>2</v>
      </c>
      <c r="AC271" s="274">
        <v>171</v>
      </c>
      <c r="AD271" s="274" t="s">
        <v>745</v>
      </c>
      <c r="AE271" s="276">
        <v>35369</v>
      </c>
      <c r="AF271" s="274" t="s">
        <v>2189</v>
      </c>
      <c r="AG271" s="274" t="s">
        <v>775</v>
      </c>
      <c r="AH271" s="274" t="s">
        <v>2197</v>
      </c>
      <c r="AI271" s="274" t="s">
        <v>89</v>
      </c>
      <c r="AJ271" s="281">
        <v>810283</v>
      </c>
      <c r="AK271" s="281" t="s">
        <v>929</v>
      </c>
      <c r="AL271" s="281" t="s">
        <v>578</v>
      </c>
      <c r="AM271" s="281" t="s">
        <v>2</v>
      </c>
      <c r="AN271" s="281" t="s">
        <v>422</v>
      </c>
      <c r="AO271" s="281" t="s">
        <v>1181</v>
      </c>
      <c r="AP271" s="281" t="s">
        <v>1249</v>
      </c>
      <c r="AQ271" s="302" t="s">
        <v>2</v>
      </c>
    </row>
    <row r="272" spans="1:43" ht="15" customHeight="1">
      <c r="A272" s="90"/>
      <c r="B272" s="84"/>
      <c r="C272" s="91"/>
      <c r="D272" s="301">
        <v>29879</v>
      </c>
      <c r="E272" s="283">
        <v>868195</v>
      </c>
      <c r="F272" s="273">
        <v>17025</v>
      </c>
      <c r="G272" s="274" t="s">
        <v>187</v>
      </c>
      <c r="H272" s="274" t="s">
        <v>415</v>
      </c>
      <c r="I272" s="274" t="s">
        <v>9</v>
      </c>
      <c r="J272" s="274" t="s">
        <v>398</v>
      </c>
      <c r="K272" s="275">
        <v>0.33333333333333331</v>
      </c>
      <c r="L272" s="275">
        <v>0.67499999999999993</v>
      </c>
      <c r="M272" s="275">
        <v>0.34166666666666662</v>
      </c>
      <c r="N272" s="275">
        <v>0.40972222222222227</v>
      </c>
      <c r="O272" s="275">
        <v>0.54166666666666663</v>
      </c>
      <c r="P272" s="275">
        <v>0.625</v>
      </c>
      <c r="Q272" s="276">
        <v>41983</v>
      </c>
      <c r="R272" s="284" t="s">
        <v>72</v>
      </c>
      <c r="S272" s="276">
        <v>42009</v>
      </c>
      <c r="T272" s="284">
        <v>322</v>
      </c>
      <c r="U272" s="274" t="s">
        <v>2218</v>
      </c>
      <c r="V272" s="276">
        <v>42317</v>
      </c>
      <c r="W272" s="276">
        <v>42314</v>
      </c>
      <c r="X272" s="276" t="s">
        <v>2</v>
      </c>
      <c r="Y272" s="274" t="s">
        <v>2246</v>
      </c>
      <c r="Z272" s="274" t="s">
        <v>2</v>
      </c>
      <c r="AA272" s="274" t="s">
        <v>2</v>
      </c>
      <c r="AB272" s="276" t="s">
        <v>2</v>
      </c>
      <c r="AC272" s="274" t="s">
        <v>1257</v>
      </c>
      <c r="AD272" s="274" t="s">
        <v>720</v>
      </c>
      <c r="AE272" s="276">
        <v>34688</v>
      </c>
      <c r="AF272" s="274" t="s">
        <v>2194</v>
      </c>
      <c r="AG272" s="274" t="s">
        <v>775</v>
      </c>
      <c r="AH272" s="274" t="s">
        <v>2197</v>
      </c>
      <c r="AI272" s="274" t="s">
        <v>89</v>
      </c>
      <c r="AJ272" s="281">
        <v>810202</v>
      </c>
      <c r="AK272" s="281" t="s">
        <v>872</v>
      </c>
      <c r="AL272" s="281" t="s">
        <v>520</v>
      </c>
      <c r="AM272" s="281" t="s">
        <v>2</v>
      </c>
      <c r="AN272" s="281" t="s">
        <v>422</v>
      </c>
      <c r="AO272" s="281" t="s">
        <v>1156</v>
      </c>
      <c r="AP272" s="281" t="s">
        <v>2</v>
      </c>
      <c r="AQ272" s="302" t="s">
        <v>2</v>
      </c>
    </row>
    <row r="273" spans="1:43" ht="15" customHeight="1">
      <c r="A273" s="90"/>
      <c r="B273" s="84"/>
      <c r="C273" s="91"/>
      <c r="D273" s="301">
        <v>31206</v>
      </c>
      <c r="E273" s="283">
        <v>897657</v>
      </c>
      <c r="F273" s="273">
        <v>17127</v>
      </c>
      <c r="G273" s="274" t="s">
        <v>2326</v>
      </c>
      <c r="H273" s="274" t="s">
        <v>415</v>
      </c>
      <c r="I273" s="274" t="s">
        <v>9</v>
      </c>
      <c r="J273" s="274" t="s">
        <v>398</v>
      </c>
      <c r="K273" s="275">
        <v>0.33333333333333331</v>
      </c>
      <c r="L273" s="275">
        <v>0.59722222222222221</v>
      </c>
      <c r="M273" s="275">
        <v>0.2638888888888889</v>
      </c>
      <c r="N273" s="275">
        <v>0.39583333333333331</v>
      </c>
      <c r="O273" s="275">
        <v>0.5</v>
      </c>
      <c r="P273" s="275">
        <v>0.55555555555555558</v>
      </c>
      <c r="Q273" s="276">
        <v>42256</v>
      </c>
      <c r="R273" s="284" t="s">
        <v>72</v>
      </c>
      <c r="S273" s="276">
        <v>42282</v>
      </c>
      <c r="T273" s="284">
        <v>49</v>
      </c>
      <c r="U273" s="274" t="s">
        <v>2218</v>
      </c>
      <c r="V273" s="276">
        <v>42325</v>
      </c>
      <c r="W273" s="276">
        <v>42325</v>
      </c>
      <c r="X273" s="276" t="s">
        <v>2</v>
      </c>
      <c r="Y273" s="274" t="s">
        <v>2245</v>
      </c>
      <c r="Z273" s="274" t="s">
        <v>2</v>
      </c>
      <c r="AA273" s="274" t="s">
        <v>2</v>
      </c>
      <c r="AB273" s="276" t="s">
        <v>2</v>
      </c>
      <c r="AC273" s="274" t="s">
        <v>2</v>
      </c>
      <c r="AD273" s="274" t="s">
        <v>2</v>
      </c>
      <c r="AE273" s="276">
        <v>29485</v>
      </c>
      <c r="AF273" s="274" t="s">
        <v>2</v>
      </c>
      <c r="AG273" s="274" t="s">
        <v>775</v>
      </c>
      <c r="AH273" s="274" t="s">
        <v>2197</v>
      </c>
      <c r="AI273" s="274" t="s">
        <v>89</v>
      </c>
      <c r="AJ273" s="281">
        <v>23905</v>
      </c>
      <c r="AK273" s="281" t="s">
        <v>2362</v>
      </c>
      <c r="AL273" s="281" t="s">
        <v>2346</v>
      </c>
      <c r="AM273" s="281" t="s">
        <v>2</v>
      </c>
      <c r="AN273" s="281" t="s">
        <v>422</v>
      </c>
      <c r="AO273" s="281" t="s">
        <v>2378</v>
      </c>
      <c r="AP273" s="281" t="s">
        <v>2</v>
      </c>
      <c r="AQ273" s="302" t="s">
        <v>2</v>
      </c>
    </row>
    <row r="274" spans="1:43" ht="15" customHeight="1">
      <c r="A274" s="90"/>
      <c r="B274" s="84"/>
      <c r="C274" s="91"/>
      <c r="D274" s="301">
        <v>29917</v>
      </c>
      <c r="E274" s="283">
        <v>869821</v>
      </c>
      <c r="F274" s="273">
        <v>12882</v>
      </c>
      <c r="G274" s="274" t="s">
        <v>216</v>
      </c>
      <c r="H274" s="274" t="s">
        <v>416</v>
      </c>
      <c r="I274" s="274" t="s">
        <v>9</v>
      </c>
      <c r="J274" s="274" t="s">
        <v>398</v>
      </c>
      <c r="K274" s="275">
        <v>0.35416666666666669</v>
      </c>
      <c r="L274" s="275">
        <v>0.6958333333333333</v>
      </c>
      <c r="M274" s="275">
        <v>0.34166666666666662</v>
      </c>
      <c r="N274" s="275">
        <v>0.41666666666666669</v>
      </c>
      <c r="O274" s="275">
        <v>0.54166666666666663</v>
      </c>
      <c r="P274" s="275">
        <v>0.63194444444444442</v>
      </c>
      <c r="Q274" s="276">
        <v>42010</v>
      </c>
      <c r="R274" s="284" t="s">
        <v>72</v>
      </c>
      <c r="S274" s="276">
        <v>42036</v>
      </c>
      <c r="T274" s="284">
        <v>295</v>
      </c>
      <c r="U274" s="274" t="s">
        <v>2218</v>
      </c>
      <c r="V274" s="276">
        <v>42319</v>
      </c>
      <c r="W274" s="276">
        <v>42319</v>
      </c>
      <c r="X274" s="276" t="s">
        <v>2</v>
      </c>
      <c r="Y274" s="274" t="s">
        <v>2246</v>
      </c>
      <c r="Z274" s="274" t="s">
        <v>2</v>
      </c>
      <c r="AA274" s="274" t="s">
        <v>2</v>
      </c>
      <c r="AB274" s="276" t="s">
        <v>2</v>
      </c>
      <c r="AC274" s="274" t="s">
        <v>1257</v>
      </c>
      <c r="AD274" s="274">
        <v>6656120</v>
      </c>
      <c r="AE274" s="276" t="s">
        <v>2</v>
      </c>
      <c r="AF274" s="274" t="s">
        <v>2193</v>
      </c>
      <c r="AG274" s="274" t="s">
        <v>775</v>
      </c>
      <c r="AH274" s="274" t="s">
        <v>2197</v>
      </c>
      <c r="AI274" s="274" t="s">
        <v>89</v>
      </c>
      <c r="AJ274" s="281">
        <v>810213</v>
      </c>
      <c r="AK274" s="281" t="s">
        <v>899</v>
      </c>
      <c r="AL274" s="281" t="s">
        <v>549</v>
      </c>
      <c r="AM274" s="281" t="s">
        <v>2</v>
      </c>
      <c r="AN274" s="281" t="s">
        <v>422</v>
      </c>
      <c r="AO274" s="281" t="s">
        <v>1171</v>
      </c>
      <c r="AP274" s="281" t="s">
        <v>1249</v>
      </c>
      <c r="AQ274" s="302" t="s">
        <v>2</v>
      </c>
    </row>
    <row r="275" spans="1:43" ht="15" customHeight="1">
      <c r="A275" s="90"/>
      <c r="B275" s="84"/>
      <c r="C275" s="91"/>
      <c r="D275" s="301">
        <v>29913</v>
      </c>
      <c r="E275" s="283">
        <v>869817</v>
      </c>
      <c r="F275" s="273">
        <v>17101</v>
      </c>
      <c r="G275" s="274" t="s">
        <v>256</v>
      </c>
      <c r="H275" s="274" t="s">
        <v>415</v>
      </c>
      <c r="I275" s="274" t="s">
        <v>9</v>
      </c>
      <c r="J275" s="274" t="s">
        <v>398</v>
      </c>
      <c r="K275" s="275">
        <v>0.39583333333333331</v>
      </c>
      <c r="L275" s="275">
        <v>0.73749999999999993</v>
      </c>
      <c r="M275" s="275">
        <v>0.34166666666666662</v>
      </c>
      <c r="N275" s="275">
        <v>0.50694444444444442</v>
      </c>
      <c r="O275" s="275">
        <v>0.55555555555555558</v>
      </c>
      <c r="P275" s="275">
        <v>0.65277777777777779</v>
      </c>
      <c r="Q275" s="276">
        <v>42010</v>
      </c>
      <c r="R275" s="284" t="s">
        <v>72</v>
      </c>
      <c r="S275" s="276">
        <v>42036</v>
      </c>
      <c r="T275" s="284">
        <v>295</v>
      </c>
      <c r="U275" s="274" t="s">
        <v>2218</v>
      </c>
      <c r="V275" s="276">
        <v>42311</v>
      </c>
      <c r="W275" s="276">
        <v>42311</v>
      </c>
      <c r="X275" s="276" t="s">
        <v>2</v>
      </c>
      <c r="Y275" s="274" t="s">
        <v>2246</v>
      </c>
      <c r="Z275" s="274" t="s">
        <v>2</v>
      </c>
      <c r="AA275" s="274" t="s">
        <v>2</v>
      </c>
      <c r="AB275" s="276" t="s">
        <v>2</v>
      </c>
      <c r="AC275" s="274" t="s">
        <v>1257</v>
      </c>
      <c r="AD275" s="274">
        <v>7172090</v>
      </c>
      <c r="AE275" s="276" t="s">
        <v>2</v>
      </c>
      <c r="AF275" s="274" t="s">
        <v>2196</v>
      </c>
      <c r="AG275" s="274" t="s">
        <v>775</v>
      </c>
      <c r="AH275" s="274" t="s">
        <v>2197</v>
      </c>
      <c r="AI275" s="274" t="s">
        <v>89</v>
      </c>
      <c r="AJ275" s="281">
        <v>810223</v>
      </c>
      <c r="AK275" s="281" t="s">
        <v>939</v>
      </c>
      <c r="AL275" s="281" t="s">
        <v>588</v>
      </c>
      <c r="AM275" s="281" t="s">
        <v>2</v>
      </c>
      <c r="AN275" s="281" t="s">
        <v>422</v>
      </c>
      <c r="AO275" s="281" t="s">
        <v>1187</v>
      </c>
      <c r="AP275" s="281" t="s">
        <v>2</v>
      </c>
      <c r="AQ275" s="302" t="s">
        <v>2</v>
      </c>
    </row>
    <row r="276" spans="1:43" ht="15" customHeight="1">
      <c r="A276" s="90"/>
      <c r="B276" s="84"/>
      <c r="C276" s="91"/>
      <c r="D276" s="301">
        <v>16932</v>
      </c>
      <c r="E276" s="283">
        <v>727179</v>
      </c>
      <c r="F276" s="273">
        <v>12982</v>
      </c>
      <c r="G276" s="274" t="s">
        <v>294</v>
      </c>
      <c r="H276" s="274" t="s">
        <v>424</v>
      </c>
      <c r="I276" s="274" t="s">
        <v>9</v>
      </c>
      <c r="J276" s="274" t="s">
        <v>401</v>
      </c>
      <c r="K276" s="275">
        <v>0.40833333333333338</v>
      </c>
      <c r="L276" s="275">
        <v>0.75</v>
      </c>
      <c r="M276" s="275">
        <v>0.34166666666666662</v>
      </c>
      <c r="N276" s="275" t="s">
        <v>2</v>
      </c>
      <c r="O276" s="275" t="s">
        <v>2</v>
      </c>
      <c r="P276" s="275" t="s">
        <v>2</v>
      </c>
      <c r="Q276" s="276">
        <v>40665</v>
      </c>
      <c r="R276" s="284" t="s">
        <v>72</v>
      </c>
      <c r="S276" s="276">
        <v>40688</v>
      </c>
      <c r="T276" s="284">
        <v>1643</v>
      </c>
      <c r="U276" s="274" t="s">
        <v>2217</v>
      </c>
      <c r="V276" s="276">
        <v>42313</v>
      </c>
      <c r="W276" s="276">
        <v>42313</v>
      </c>
      <c r="X276" s="276" t="s">
        <v>2</v>
      </c>
      <c r="Y276" s="274" t="s">
        <v>2245</v>
      </c>
      <c r="Z276" s="274" t="s">
        <v>2</v>
      </c>
      <c r="AA276" s="274" t="s">
        <v>2</v>
      </c>
      <c r="AB276" s="276" t="s">
        <v>2</v>
      </c>
      <c r="AC276" s="274" t="s">
        <v>2</v>
      </c>
      <c r="AD276" s="274">
        <v>5223120</v>
      </c>
      <c r="AE276" s="276">
        <v>33630</v>
      </c>
      <c r="AF276" s="274" t="s">
        <v>2191</v>
      </c>
      <c r="AG276" s="274" t="s">
        <v>775</v>
      </c>
      <c r="AH276" s="274" t="s">
        <v>2197</v>
      </c>
      <c r="AI276" s="274" t="s">
        <v>89</v>
      </c>
      <c r="AJ276" s="281" t="s">
        <v>2</v>
      </c>
      <c r="AK276" s="281" t="s">
        <v>974</v>
      </c>
      <c r="AL276" s="281" t="s">
        <v>622</v>
      </c>
      <c r="AM276" s="281" t="s">
        <v>2</v>
      </c>
      <c r="AN276" s="281" t="s">
        <v>2</v>
      </c>
      <c r="AO276" s="281" t="s">
        <v>1191</v>
      </c>
      <c r="AP276" s="281" t="s">
        <v>1249</v>
      </c>
      <c r="AQ276" s="302" t="s">
        <v>2</v>
      </c>
    </row>
    <row r="277" spans="1:43" ht="15" customHeight="1">
      <c r="A277" s="90"/>
      <c r="B277" s="84"/>
      <c r="C277" s="91"/>
      <c r="D277" s="301">
        <v>16941</v>
      </c>
      <c r="E277" s="283">
        <v>727328</v>
      </c>
      <c r="F277" s="273">
        <v>12800</v>
      </c>
      <c r="G277" s="274" t="s">
        <v>282</v>
      </c>
      <c r="H277" s="274" t="s">
        <v>424</v>
      </c>
      <c r="I277" s="274" t="s">
        <v>9</v>
      </c>
      <c r="J277" s="274" t="s">
        <v>401</v>
      </c>
      <c r="K277" s="275">
        <v>0.5</v>
      </c>
      <c r="L277" s="275">
        <v>0.84166666666666656</v>
      </c>
      <c r="M277" s="275">
        <v>0.34166666666666662</v>
      </c>
      <c r="N277" s="275" t="s">
        <v>2</v>
      </c>
      <c r="O277" s="275" t="s">
        <v>2</v>
      </c>
      <c r="P277" s="275" t="s">
        <v>2</v>
      </c>
      <c r="Q277" s="276">
        <v>40665</v>
      </c>
      <c r="R277" s="284" t="s">
        <v>72</v>
      </c>
      <c r="S277" s="276">
        <v>40688</v>
      </c>
      <c r="T277" s="284">
        <v>1643</v>
      </c>
      <c r="U277" s="274" t="s">
        <v>2217</v>
      </c>
      <c r="V277" s="276">
        <v>42320</v>
      </c>
      <c r="W277" s="276">
        <v>42320</v>
      </c>
      <c r="X277" s="276" t="s">
        <v>2</v>
      </c>
      <c r="Y277" s="274" t="s">
        <v>2245</v>
      </c>
      <c r="Z277" s="274" t="s">
        <v>2</v>
      </c>
      <c r="AA277" s="274" t="s">
        <v>2</v>
      </c>
      <c r="AB277" s="276" t="s">
        <v>2</v>
      </c>
      <c r="AC277" s="274" t="s">
        <v>2</v>
      </c>
      <c r="AD277" s="274">
        <v>4849000</v>
      </c>
      <c r="AE277" s="276">
        <v>33955</v>
      </c>
      <c r="AF277" s="274" t="s">
        <v>2188</v>
      </c>
      <c r="AG277" s="274" t="s">
        <v>775</v>
      </c>
      <c r="AH277" s="274" t="s">
        <v>2197</v>
      </c>
      <c r="AI277" s="274" t="s">
        <v>89</v>
      </c>
      <c r="AJ277" s="281" t="s">
        <v>2</v>
      </c>
      <c r="AK277" s="281" t="s">
        <v>962</v>
      </c>
      <c r="AL277" s="281" t="s">
        <v>611</v>
      </c>
      <c r="AM277" s="281" t="s">
        <v>2</v>
      </c>
      <c r="AN277" s="281" t="s">
        <v>2</v>
      </c>
      <c r="AO277" s="281" t="s">
        <v>1188</v>
      </c>
      <c r="AP277" s="281" t="s">
        <v>1249</v>
      </c>
      <c r="AQ277" s="302" t="s">
        <v>2</v>
      </c>
    </row>
    <row r="278" spans="1:43" ht="15" customHeight="1">
      <c r="A278" s="90"/>
      <c r="B278" s="84"/>
      <c r="C278" s="91"/>
      <c r="D278" s="301">
        <v>30183</v>
      </c>
      <c r="E278" s="283">
        <v>873189</v>
      </c>
      <c r="F278" s="273">
        <v>12877</v>
      </c>
      <c r="G278" s="274" t="s">
        <v>337</v>
      </c>
      <c r="H278" s="274" t="s">
        <v>418</v>
      </c>
      <c r="I278" s="274" t="s">
        <v>9</v>
      </c>
      <c r="J278" s="274" t="s">
        <v>403</v>
      </c>
      <c r="K278" s="275">
        <v>0.35416666666666669</v>
      </c>
      <c r="L278" s="275">
        <v>0.61805555555555558</v>
      </c>
      <c r="M278" s="275">
        <v>0.2638888888888889</v>
      </c>
      <c r="N278" s="275">
        <v>0.40277777777777773</v>
      </c>
      <c r="O278" s="275">
        <v>0.52083333333333337</v>
      </c>
      <c r="P278" s="275">
        <v>0.57638888888888895</v>
      </c>
      <c r="Q278" s="276">
        <v>42044</v>
      </c>
      <c r="R278" s="284" t="s">
        <v>72</v>
      </c>
      <c r="S278" s="276">
        <v>42068</v>
      </c>
      <c r="T278" s="284">
        <v>263</v>
      </c>
      <c r="U278" s="274" t="s">
        <v>2218</v>
      </c>
      <c r="V278" s="276">
        <v>42326</v>
      </c>
      <c r="W278" s="276">
        <v>42326</v>
      </c>
      <c r="X278" s="276" t="s">
        <v>2</v>
      </c>
      <c r="Y278" s="274" t="s">
        <v>2246</v>
      </c>
      <c r="Z278" s="274" t="s">
        <v>2</v>
      </c>
      <c r="AA278" s="274" t="s">
        <v>2</v>
      </c>
      <c r="AB278" s="276" t="s">
        <v>2</v>
      </c>
      <c r="AC278" s="274" t="s">
        <v>2248</v>
      </c>
      <c r="AD278" s="274" t="s">
        <v>770</v>
      </c>
      <c r="AE278" s="276">
        <v>35333</v>
      </c>
      <c r="AF278" s="274" t="s">
        <v>2196</v>
      </c>
      <c r="AG278" s="274" t="s">
        <v>775</v>
      </c>
      <c r="AH278" s="274" t="s">
        <v>2197</v>
      </c>
      <c r="AI278" s="274" t="s">
        <v>89</v>
      </c>
      <c r="AJ278" s="281">
        <v>810271</v>
      </c>
      <c r="AK278" s="281" t="s">
        <v>1015</v>
      </c>
      <c r="AL278" s="281" t="s">
        <v>664</v>
      </c>
      <c r="AM278" s="281" t="s">
        <v>2</v>
      </c>
      <c r="AN278" s="281" t="s">
        <v>422</v>
      </c>
      <c r="AO278" s="281" t="s">
        <v>1202</v>
      </c>
      <c r="AP278" s="281" t="s">
        <v>2</v>
      </c>
      <c r="AQ278" s="302" t="s">
        <v>2</v>
      </c>
    </row>
    <row r="279" spans="1:43" ht="15" customHeight="1">
      <c r="A279" s="90"/>
      <c r="B279" s="84"/>
      <c r="C279" s="91"/>
      <c r="D279" s="301">
        <v>31199</v>
      </c>
      <c r="E279" s="283">
        <v>897646</v>
      </c>
      <c r="F279" s="273">
        <v>17161</v>
      </c>
      <c r="G279" s="274" t="s">
        <v>2340</v>
      </c>
      <c r="H279" s="274" t="s">
        <v>417</v>
      </c>
      <c r="I279" s="274" t="s">
        <v>9</v>
      </c>
      <c r="J279" s="274" t="s">
        <v>403</v>
      </c>
      <c r="K279" s="275">
        <v>0.65277777777777779</v>
      </c>
      <c r="L279" s="275">
        <v>0.91666666666666663</v>
      </c>
      <c r="M279" s="275">
        <v>0.2638888888888889</v>
      </c>
      <c r="N279" s="275">
        <v>0.70138888888888884</v>
      </c>
      <c r="O279" s="275">
        <v>0.77083333333333337</v>
      </c>
      <c r="P279" s="275">
        <v>0.86805555555555547</v>
      </c>
      <c r="Q279" s="276">
        <v>42256</v>
      </c>
      <c r="R279" s="284" t="s">
        <v>72</v>
      </c>
      <c r="S279" s="276">
        <v>42282</v>
      </c>
      <c r="T279" s="284">
        <v>49</v>
      </c>
      <c r="U279" s="274" t="s">
        <v>2218</v>
      </c>
      <c r="V279" s="276">
        <v>42320</v>
      </c>
      <c r="W279" s="276">
        <v>42320</v>
      </c>
      <c r="X279" s="276" t="s">
        <v>2</v>
      </c>
      <c r="Y279" s="274" t="s">
        <v>2246</v>
      </c>
      <c r="Z279" s="274" t="s">
        <v>2</v>
      </c>
      <c r="AA279" s="274" t="s">
        <v>2</v>
      </c>
      <c r="AB279" s="276" t="s">
        <v>2</v>
      </c>
      <c r="AC279" s="274" t="s">
        <v>2248</v>
      </c>
      <c r="AD279" s="274" t="s">
        <v>2</v>
      </c>
      <c r="AE279" s="276">
        <v>31644</v>
      </c>
      <c r="AF279" s="274" t="s">
        <v>2</v>
      </c>
      <c r="AG279" s="274" t="s">
        <v>775</v>
      </c>
      <c r="AH279" s="274" t="s">
        <v>2197</v>
      </c>
      <c r="AI279" s="274" t="s">
        <v>89</v>
      </c>
      <c r="AJ279" s="281">
        <v>23698</v>
      </c>
      <c r="AK279" s="281" t="s">
        <v>2373</v>
      </c>
      <c r="AL279" s="281" t="s">
        <v>2357</v>
      </c>
      <c r="AM279" s="281" t="s">
        <v>2</v>
      </c>
      <c r="AN279" s="281" t="s">
        <v>422</v>
      </c>
      <c r="AO279" s="281" t="s">
        <v>2385</v>
      </c>
      <c r="AP279" s="281" t="s">
        <v>2</v>
      </c>
      <c r="AQ279" s="302" t="s">
        <v>2</v>
      </c>
    </row>
    <row r="280" spans="1:43" ht="15" customHeight="1">
      <c r="A280" s="90"/>
      <c r="B280" s="84"/>
      <c r="C280" s="91"/>
      <c r="D280" s="301">
        <v>29916</v>
      </c>
      <c r="E280" s="283">
        <v>869820</v>
      </c>
      <c r="F280" s="273">
        <v>17105</v>
      </c>
      <c r="G280" s="274" t="s">
        <v>203</v>
      </c>
      <c r="H280" s="274" t="s">
        <v>416</v>
      </c>
      <c r="I280" s="274" t="s">
        <v>9</v>
      </c>
      <c r="J280" s="274" t="s">
        <v>398</v>
      </c>
      <c r="K280" s="275">
        <v>0.39583333333333331</v>
      </c>
      <c r="L280" s="275">
        <v>0.73749999999999993</v>
      </c>
      <c r="M280" s="275">
        <v>0.34166666666666662</v>
      </c>
      <c r="N280" s="275">
        <v>0.49305555555555558</v>
      </c>
      <c r="O280" s="275">
        <v>0.5625</v>
      </c>
      <c r="P280" s="275">
        <v>0.65972222222222221</v>
      </c>
      <c r="Q280" s="276">
        <v>42010</v>
      </c>
      <c r="R280" s="284" t="s">
        <v>72</v>
      </c>
      <c r="S280" s="276">
        <v>42036</v>
      </c>
      <c r="T280" s="284">
        <v>295</v>
      </c>
      <c r="U280" s="274" t="s">
        <v>2218</v>
      </c>
      <c r="V280" s="276">
        <v>42327</v>
      </c>
      <c r="W280" s="276">
        <v>42327</v>
      </c>
      <c r="X280" s="276" t="s">
        <v>2</v>
      </c>
      <c r="Y280" s="274" t="s">
        <v>2246</v>
      </c>
      <c r="Z280" s="274" t="s">
        <v>2</v>
      </c>
      <c r="AA280" s="274" t="s">
        <v>2</v>
      </c>
      <c r="AB280" s="276" t="s">
        <v>2</v>
      </c>
      <c r="AC280" s="274" t="s">
        <v>1257</v>
      </c>
      <c r="AD280" s="274">
        <v>6321310</v>
      </c>
      <c r="AE280" s="276" t="s">
        <v>2</v>
      </c>
      <c r="AF280" s="274" t="s">
        <v>2193</v>
      </c>
      <c r="AG280" s="274" t="s">
        <v>775</v>
      </c>
      <c r="AH280" s="274" t="s">
        <v>2197</v>
      </c>
      <c r="AI280" s="274" t="s">
        <v>89</v>
      </c>
      <c r="AJ280" s="281">
        <v>810228</v>
      </c>
      <c r="AK280" s="281" t="s">
        <v>887</v>
      </c>
      <c r="AL280" s="281" t="s">
        <v>536</v>
      </c>
      <c r="AM280" s="281" t="s">
        <v>2</v>
      </c>
      <c r="AN280" s="281" t="s">
        <v>422</v>
      </c>
      <c r="AO280" s="281" t="s">
        <v>1163</v>
      </c>
      <c r="AP280" s="281" t="s">
        <v>2</v>
      </c>
      <c r="AQ280" s="302" t="s">
        <v>2</v>
      </c>
    </row>
    <row r="281" spans="1:43" ht="15" customHeight="1">
      <c r="A281" s="90"/>
      <c r="B281" s="84"/>
      <c r="C281" s="91"/>
      <c r="D281" s="301">
        <v>30702</v>
      </c>
      <c r="E281" s="283">
        <v>882232</v>
      </c>
      <c r="F281" s="273">
        <v>17198</v>
      </c>
      <c r="G281" s="274" t="s">
        <v>353</v>
      </c>
      <c r="H281" s="274" t="s">
        <v>414</v>
      </c>
      <c r="I281" s="274" t="s">
        <v>16</v>
      </c>
      <c r="J281" s="274" t="s">
        <v>403</v>
      </c>
      <c r="K281" s="275">
        <v>0.5</v>
      </c>
      <c r="L281" s="275">
        <v>0.76388888888888884</v>
      </c>
      <c r="M281" s="275">
        <v>0.2638888888888889</v>
      </c>
      <c r="N281" s="275">
        <v>0.5625</v>
      </c>
      <c r="O281" s="275">
        <v>0.65972222222222221</v>
      </c>
      <c r="P281" s="275">
        <v>0.70833333333333337</v>
      </c>
      <c r="Q281" s="276">
        <v>42131</v>
      </c>
      <c r="R281" s="284" t="s">
        <v>72</v>
      </c>
      <c r="S281" s="276">
        <v>42156</v>
      </c>
      <c r="T281" s="284">
        <v>175</v>
      </c>
      <c r="U281" s="274" t="s">
        <v>2218</v>
      </c>
      <c r="V281" s="276">
        <v>42328</v>
      </c>
      <c r="W281" s="276">
        <v>42328</v>
      </c>
      <c r="X281" s="276" t="s">
        <v>2</v>
      </c>
      <c r="Y281" s="274" t="s">
        <v>2</v>
      </c>
      <c r="Z281" s="274" t="s">
        <v>403</v>
      </c>
      <c r="AA281" s="274" t="s">
        <v>2397</v>
      </c>
      <c r="AB281" s="276">
        <v>42328</v>
      </c>
      <c r="AC281" s="274" t="s">
        <v>2248</v>
      </c>
      <c r="AD281" s="274" t="s">
        <v>2</v>
      </c>
      <c r="AE281" s="276">
        <v>35243</v>
      </c>
      <c r="AF281" s="274" t="s">
        <v>2</v>
      </c>
      <c r="AG281" s="274" t="s">
        <v>775</v>
      </c>
      <c r="AH281" s="274" t="s">
        <v>2197</v>
      </c>
      <c r="AI281" s="274" t="s">
        <v>89</v>
      </c>
      <c r="AJ281" s="281">
        <v>810357</v>
      </c>
      <c r="AK281" s="281" t="s">
        <v>1032</v>
      </c>
      <c r="AL281" s="281" t="s">
        <v>681</v>
      </c>
      <c r="AM281" s="281" t="s">
        <v>2</v>
      </c>
      <c r="AN281" s="281" t="s">
        <v>422</v>
      </c>
      <c r="AO281" s="281" t="s">
        <v>1211</v>
      </c>
      <c r="AP281" s="281" t="s">
        <v>2</v>
      </c>
      <c r="AQ281" s="302" t="s">
        <v>2</v>
      </c>
    </row>
    <row r="282" spans="1:43" ht="15" customHeight="1">
      <c r="A282" s="90"/>
      <c r="B282" s="84"/>
      <c r="C282" s="91"/>
      <c r="D282" s="301">
        <v>30461</v>
      </c>
      <c r="E282" s="283">
        <v>876674</v>
      </c>
      <c r="F282" s="273">
        <v>12407</v>
      </c>
      <c r="G282" s="274" t="s">
        <v>354</v>
      </c>
      <c r="H282" s="274" t="s">
        <v>417</v>
      </c>
      <c r="I282" s="274" t="s">
        <v>16</v>
      </c>
      <c r="J282" s="274" t="s">
        <v>403</v>
      </c>
      <c r="K282" s="275">
        <v>0.65277777777777779</v>
      </c>
      <c r="L282" s="275">
        <v>0.91666666666666663</v>
      </c>
      <c r="M282" s="275">
        <v>0.2638888888888889</v>
      </c>
      <c r="N282" s="275">
        <v>0.70138888888888884</v>
      </c>
      <c r="O282" s="275">
        <v>0.81944444444444453</v>
      </c>
      <c r="P282" s="275">
        <v>0.875</v>
      </c>
      <c r="Q282" s="276">
        <v>42079</v>
      </c>
      <c r="R282" s="284" t="s">
        <v>72</v>
      </c>
      <c r="S282" s="276">
        <v>42103</v>
      </c>
      <c r="T282" s="284">
        <v>228</v>
      </c>
      <c r="U282" s="274" t="s">
        <v>2218</v>
      </c>
      <c r="V282" s="276">
        <v>42331</v>
      </c>
      <c r="W282" s="276">
        <v>42328</v>
      </c>
      <c r="X282" s="276" t="s">
        <v>2</v>
      </c>
      <c r="Y282" s="274" t="s">
        <v>2</v>
      </c>
      <c r="Z282" s="274" t="s">
        <v>403</v>
      </c>
      <c r="AA282" s="274" t="s">
        <v>2397</v>
      </c>
      <c r="AB282" s="276">
        <v>42328</v>
      </c>
      <c r="AC282" s="274" t="s">
        <v>2248</v>
      </c>
      <c r="AD282" s="274" t="s">
        <v>772</v>
      </c>
      <c r="AE282" s="276">
        <v>35288</v>
      </c>
      <c r="AF282" s="274" t="s">
        <v>2192</v>
      </c>
      <c r="AG282" s="274" t="s">
        <v>775</v>
      </c>
      <c r="AH282" s="274" t="s">
        <v>2197</v>
      </c>
      <c r="AI282" s="274" t="s">
        <v>89</v>
      </c>
      <c r="AJ282" s="281">
        <v>810273</v>
      </c>
      <c r="AK282" s="281" t="s">
        <v>1033</v>
      </c>
      <c r="AL282" s="281" t="s">
        <v>682</v>
      </c>
      <c r="AM282" s="281" t="s">
        <v>2</v>
      </c>
      <c r="AN282" s="281" t="s">
        <v>422</v>
      </c>
      <c r="AO282" s="281" t="s">
        <v>1212</v>
      </c>
      <c r="AP282" s="281" t="s">
        <v>2</v>
      </c>
      <c r="AQ282" s="302" t="s">
        <v>2</v>
      </c>
    </row>
    <row r="283" spans="1:43" ht="15" customHeight="1">
      <c r="A283" s="90"/>
      <c r="B283" s="84"/>
      <c r="C283" s="91"/>
      <c r="D283" s="301">
        <v>28092</v>
      </c>
      <c r="E283" s="283">
        <v>836295</v>
      </c>
      <c r="F283" s="273">
        <v>12560</v>
      </c>
      <c r="G283" s="274" t="s">
        <v>323</v>
      </c>
      <c r="H283" s="274" t="s">
        <v>417</v>
      </c>
      <c r="I283" s="274" t="s">
        <v>16</v>
      </c>
      <c r="J283" s="274" t="s">
        <v>403</v>
      </c>
      <c r="K283" s="275">
        <v>0.57500000000000007</v>
      </c>
      <c r="L283" s="275">
        <v>0.91666666666666663</v>
      </c>
      <c r="M283" s="275">
        <v>0.34166666666666662</v>
      </c>
      <c r="N283" s="275">
        <v>0.61805555555555558</v>
      </c>
      <c r="O283" s="275">
        <v>0.77083333333333337</v>
      </c>
      <c r="P283" s="275">
        <v>0.86805555555555547</v>
      </c>
      <c r="Q283" s="276">
        <v>41731</v>
      </c>
      <c r="R283" s="284" t="s">
        <v>72</v>
      </c>
      <c r="S283" s="276">
        <v>41762</v>
      </c>
      <c r="T283" s="284">
        <v>569</v>
      </c>
      <c r="U283" s="274" t="s">
        <v>2220</v>
      </c>
      <c r="V283" s="276">
        <v>42331</v>
      </c>
      <c r="W283" s="276">
        <v>42328</v>
      </c>
      <c r="X283" s="276" t="s">
        <v>2</v>
      </c>
      <c r="Y283" s="274" t="s">
        <v>2</v>
      </c>
      <c r="Z283" s="274" t="s">
        <v>403</v>
      </c>
      <c r="AA283" s="274" t="s">
        <v>2397</v>
      </c>
      <c r="AB283" s="276">
        <v>42328</v>
      </c>
      <c r="AC283" s="274" t="s">
        <v>2248</v>
      </c>
      <c r="AD283" s="274" t="s">
        <v>2</v>
      </c>
      <c r="AE283" s="276" t="s">
        <v>2</v>
      </c>
      <c r="AF283" s="274" t="s">
        <v>2</v>
      </c>
      <c r="AG283" s="274" t="s">
        <v>775</v>
      </c>
      <c r="AH283" s="274" t="s">
        <v>2197</v>
      </c>
      <c r="AI283" s="274" t="s">
        <v>89</v>
      </c>
      <c r="AJ283" s="281">
        <v>810073</v>
      </c>
      <c r="AK283" s="281" t="s">
        <v>1001</v>
      </c>
      <c r="AL283" s="281" t="s">
        <v>650</v>
      </c>
      <c r="AM283" s="281" t="s">
        <v>2</v>
      </c>
      <c r="AN283" s="281" t="s">
        <v>422</v>
      </c>
      <c r="AO283" s="281" t="s">
        <v>1197</v>
      </c>
      <c r="AP283" s="281" t="s">
        <v>1249</v>
      </c>
      <c r="AQ283" s="302" t="s">
        <v>1249</v>
      </c>
    </row>
    <row r="284" spans="1:43" ht="15" customHeight="1">
      <c r="A284" s="90"/>
      <c r="B284" s="84"/>
      <c r="C284" s="91"/>
      <c r="D284" s="301">
        <v>31198</v>
      </c>
      <c r="E284" s="283">
        <v>897645</v>
      </c>
      <c r="F284" s="273">
        <v>17157</v>
      </c>
      <c r="G284" s="274" t="s">
        <v>2337</v>
      </c>
      <c r="H284" s="274" t="s">
        <v>414</v>
      </c>
      <c r="I284" s="274" t="s">
        <v>9</v>
      </c>
      <c r="J284" s="274" t="s">
        <v>403</v>
      </c>
      <c r="K284" s="275">
        <v>0.5</v>
      </c>
      <c r="L284" s="275">
        <v>0.76388888888888884</v>
      </c>
      <c r="M284" s="275">
        <v>0.2638888888888889</v>
      </c>
      <c r="N284" s="275">
        <v>0.54861111111111105</v>
      </c>
      <c r="O284" s="275">
        <v>0.625</v>
      </c>
      <c r="P284" s="275">
        <v>0.71527777777777779</v>
      </c>
      <c r="Q284" s="276">
        <v>42256</v>
      </c>
      <c r="R284" s="284" t="s">
        <v>72</v>
      </c>
      <c r="S284" s="276">
        <v>42282</v>
      </c>
      <c r="T284" s="284">
        <v>52</v>
      </c>
      <c r="U284" s="274" t="s">
        <v>2218</v>
      </c>
      <c r="V284" s="276">
        <v>42333</v>
      </c>
      <c r="W284" s="276">
        <v>42333</v>
      </c>
      <c r="X284" s="276" t="s">
        <v>2</v>
      </c>
      <c r="Y284" s="274" t="s">
        <v>2246</v>
      </c>
      <c r="Z284" s="274" t="s">
        <v>2</v>
      </c>
      <c r="AA284" s="274" t="s">
        <v>2</v>
      </c>
      <c r="AB284" s="276" t="s">
        <v>2</v>
      </c>
      <c r="AC284" s="274" t="s">
        <v>2</v>
      </c>
      <c r="AD284" s="274" t="s">
        <v>2</v>
      </c>
      <c r="AE284" s="276">
        <v>34765</v>
      </c>
      <c r="AF284" s="274" t="s">
        <v>2</v>
      </c>
      <c r="AG284" s="274" t="s">
        <v>775</v>
      </c>
      <c r="AH284" s="274" t="s">
        <v>2197</v>
      </c>
      <c r="AI284" s="274" t="s">
        <v>89</v>
      </c>
      <c r="AJ284" s="281">
        <v>23690</v>
      </c>
      <c r="AK284" s="281" t="s">
        <v>2372</v>
      </c>
      <c r="AL284" s="281" t="s">
        <v>2356</v>
      </c>
      <c r="AM284" s="281" t="s">
        <v>2</v>
      </c>
      <c r="AN284" s="281" t="s">
        <v>422</v>
      </c>
      <c r="AO284" s="281" t="s">
        <v>2384</v>
      </c>
      <c r="AP284" s="281" t="s">
        <v>2</v>
      </c>
      <c r="AQ284" s="302" t="s">
        <v>2</v>
      </c>
    </row>
    <row r="285" spans="1:43" ht="15" customHeight="1">
      <c r="A285" s="90"/>
      <c r="B285" s="84"/>
      <c r="C285" s="91"/>
      <c r="D285" s="301">
        <v>30698</v>
      </c>
      <c r="E285" s="283">
        <v>882228</v>
      </c>
      <c r="F285" s="273">
        <v>17168</v>
      </c>
      <c r="G285" s="274" t="s">
        <v>243</v>
      </c>
      <c r="H285" s="274" t="s">
        <v>420</v>
      </c>
      <c r="I285" s="274" t="s">
        <v>9</v>
      </c>
      <c r="J285" s="274" t="s">
        <v>398</v>
      </c>
      <c r="K285" s="275">
        <v>0.4916666666666667</v>
      </c>
      <c r="L285" s="275">
        <v>0.83333333333333337</v>
      </c>
      <c r="M285" s="275">
        <v>0.34166666666666662</v>
      </c>
      <c r="N285" s="275">
        <v>0.53472222222222221</v>
      </c>
      <c r="O285" s="275">
        <v>0.625</v>
      </c>
      <c r="P285" s="275">
        <v>0.75694444444444453</v>
      </c>
      <c r="Q285" s="276">
        <v>42131</v>
      </c>
      <c r="R285" s="284" t="s">
        <v>72</v>
      </c>
      <c r="S285" s="276">
        <v>42156</v>
      </c>
      <c r="T285" s="284">
        <v>183</v>
      </c>
      <c r="U285" s="274" t="s">
        <v>2218</v>
      </c>
      <c r="V285" s="276">
        <v>42338</v>
      </c>
      <c r="W285" s="276">
        <v>42338</v>
      </c>
      <c r="X285" s="276" t="s">
        <v>2</v>
      </c>
      <c r="Y285" s="274" t="s">
        <v>2246</v>
      </c>
      <c r="Z285" s="274" t="s">
        <v>2</v>
      </c>
      <c r="AA285" s="274" t="s">
        <v>2</v>
      </c>
      <c r="AB285" s="276" t="s">
        <v>2</v>
      </c>
      <c r="AC285" s="274" t="s">
        <v>1257</v>
      </c>
      <c r="AD285" s="274" t="s">
        <v>2</v>
      </c>
      <c r="AE285" s="276">
        <v>33022</v>
      </c>
      <c r="AF285" s="274" t="s">
        <v>2</v>
      </c>
      <c r="AG285" s="274" t="s">
        <v>775</v>
      </c>
      <c r="AH285" s="274" t="s">
        <v>2197</v>
      </c>
      <c r="AI285" s="274" t="s">
        <v>89</v>
      </c>
      <c r="AJ285" s="281">
        <v>810339</v>
      </c>
      <c r="AK285" s="281" t="s">
        <v>926</v>
      </c>
      <c r="AL285" s="281" t="s">
        <v>575</v>
      </c>
      <c r="AM285" s="281" t="s">
        <v>2</v>
      </c>
      <c r="AN285" s="281" t="s">
        <v>422</v>
      </c>
      <c r="AO285" s="281" t="s">
        <v>1179</v>
      </c>
      <c r="AP285" s="281" t="s">
        <v>2</v>
      </c>
      <c r="AQ285" s="302" t="s">
        <v>2</v>
      </c>
    </row>
    <row r="286" spans="1:43" ht="15" customHeight="1">
      <c r="A286" s="90"/>
      <c r="B286" s="84"/>
      <c r="C286" s="91"/>
      <c r="D286" s="301">
        <v>31313</v>
      </c>
      <c r="E286" s="283">
        <v>906419</v>
      </c>
      <c r="F286" s="273" t="s">
        <v>2</v>
      </c>
      <c r="G286" s="274" t="s">
        <v>2399</v>
      </c>
      <c r="H286" s="274" t="s">
        <v>1357</v>
      </c>
      <c r="I286" s="274" t="s">
        <v>9</v>
      </c>
      <c r="J286" s="274" t="s">
        <v>1361</v>
      </c>
      <c r="K286" s="275">
        <v>0.375</v>
      </c>
      <c r="L286" s="275">
        <v>0.75</v>
      </c>
      <c r="M286" s="275">
        <v>0.375</v>
      </c>
      <c r="N286" s="275" t="s">
        <v>2</v>
      </c>
      <c r="O286" s="275" t="s">
        <v>2</v>
      </c>
      <c r="P286" s="275" t="s">
        <v>2</v>
      </c>
      <c r="Q286" s="276">
        <v>42311</v>
      </c>
      <c r="R286" s="284" t="s">
        <v>72</v>
      </c>
      <c r="S286" s="276">
        <v>44</v>
      </c>
      <c r="T286" s="284" t="s">
        <v>2290</v>
      </c>
      <c r="U286" s="274" t="s">
        <v>2</v>
      </c>
      <c r="V286" s="276">
        <v>42346</v>
      </c>
      <c r="W286" s="276" t="s">
        <v>2</v>
      </c>
      <c r="X286" s="276" t="s">
        <v>2</v>
      </c>
      <c r="Y286" s="274" t="s">
        <v>2246</v>
      </c>
      <c r="Z286" s="274" t="s">
        <v>2</v>
      </c>
      <c r="AA286" s="274" t="s">
        <v>2</v>
      </c>
      <c r="AB286" s="276" t="s">
        <v>2</v>
      </c>
      <c r="AC286" s="274" t="s">
        <v>2</v>
      </c>
      <c r="AD286" s="274" t="s">
        <v>2400</v>
      </c>
      <c r="AE286" s="276" t="s">
        <v>2401</v>
      </c>
      <c r="AF286" s="274" t="s">
        <v>2190</v>
      </c>
      <c r="AG286" s="274" t="s">
        <v>1365</v>
      </c>
      <c r="AH286" s="274" t="s">
        <v>2197</v>
      </c>
      <c r="AI286" s="274" t="s">
        <v>89</v>
      </c>
      <c r="AJ286" s="281" t="s">
        <v>2</v>
      </c>
      <c r="AK286" s="281" t="s">
        <v>2450</v>
      </c>
      <c r="AL286" s="281" t="s">
        <v>2402</v>
      </c>
      <c r="AM286" s="281" t="s">
        <v>2</v>
      </c>
      <c r="AN286" s="281" t="s">
        <v>1357</v>
      </c>
      <c r="AO286" s="281" t="s">
        <v>2</v>
      </c>
      <c r="AP286" s="281" t="s">
        <v>2</v>
      </c>
      <c r="AQ286" s="302" t="s">
        <v>2</v>
      </c>
    </row>
    <row r="287" spans="1:43" ht="15" customHeight="1">
      <c r="A287" s="90"/>
      <c r="B287" s="84"/>
      <c r="C287" s="91"/>
      <c r="D287" s="301">
        <v>21436</v>
      </c>
      <c r="E287" s="283">
        <v>766107</v>
      </c>
      <c r="F287" s="273">
        <v>12880</v>
      </c>
      <c r="G287" s="274" t="s">
        <v>90</v>
      </c>
      <c r="H287" s="274" t="s">
        <v>407</v>
      </c>
      <c r="I287" s="274" t="s">
        <v>9</v>
      </c>
      <c r="J287" s="274" t="s">
        <v>392</v>
      </c>
      <c r="K287" s="275">
        <v>0.5</v>
      </c>
      <c r="L287" s="275">
        <v>0.84166666666666656</v>
      </c>
      <c r="M287" s="275">
        <v>0.34166666666666662</v>
      </c>
      <c r="N287" s="275">
        <v>0.4513888888888889</v>
      </c>
      <c r="O287" s="275">
        <v>0.58333333333333337</v>
      </c>
      <c r="P287" s="275">
        <v>0.66666666666666663</v>
      </c>
      <c r="Q287" s="276">
        <v>41008</v>
      </c>
      <c r="R287" s="284" t="s">
        <v>72</v>
      </c>
      <c r="S287" s="276">
        <v>41031</v>
      </c>
      <c r="T287" s="284">
        <v>1324</v>
      </c>
      <c r="U287" s="274" t="s">
        <v>2216</v>
      </c>
      <c r="V287" s="276">
        <v>42342</v>
      </c>
      <c r="W287" s="276">
        <v>42342</v>
      </c>
      <c r="X287" s="276" t="s">
        <v>2</v>
      </c>
      <c r="Y287" s="274" t="s">
        <v>2246</v>
      </c>
      <c r="Z287" s="274" t="s">
        <v>2</v>
      </c>
      <c r="AA287" s="274" t="s">
        <v>2</v>
      </c>
      <c r="AB287" s="276" t="s">
        <v>2</v>
      </c>
      <c r="AC287" s="274" t="s">
        <v>2</v>
      </c>
      <c r="AD287" s="274">
        <v>4018001</v>
      </c>
      <c r="AE287" s="276">
        <v>25923</v>
      </c>
      <c r="AF287" s="274" t="s">
        <v>2188</v>
      </c>
      <c r="AG287" s="274" t="s">
        <v>775</v>
      </c>
      <c r="AH287" s="274" t="s">
        <v>2197</v>
      </c>
      <c r="AI287" s="274" t="s">
        <v>89</v>
      </c>
      <c r="AJ287" s="281">
        <v>810017</v>
      </c>
      <c r="AK287" s="281" t="s">
        <v>777</v>
      </c>
      <c r="AL287" s="281" t="s">
        <v>425</v>
      </c>
      <c r="AM287" s="281" t="s">
        <v>2</v>
      </c>
      <c r="AN287" s="281" t="s">
        <v>2</v>
      </c>
      <c r="AO287" s="281" t="s">
        <v>1067</v>
      </c>
      <c r="AP287" s="281" t="s">
        <v>1249</v>
      </c>
      <c r="AQ287" s="302" t="s">
        <v>1249</v>
      </c>
    </row>
    <row r="288" spans="1:43" ht="15" customHeight="1">
      <c r="A288" s="90"/>
      <c r="B288" s="84"/>
      <c r="C288" s="91"/>
      <c r="D288" s="301">
        <v>22353</v>
      </c>
      <c r="E288" s="283">
        <v>772759</v>
      </c>
      <c r="F288" s="273">
        <v>12581</v>
      </c>
      <c r="G288" s="274" t="s">
        <v>150</v>
      </c>
      <c r="H288" s="274" t="s">
        <v>411</v>
      </c>
      <c r="I288" s="274" t="s">
        <v>9</v>
      </c>
      <c r="J288" s="274" t="s">
        <v>394</v>
      </c>
      <c r="K288" s="275">
        <v>0.45833333333333331</v>
      </c>
      <c r="L288" s="275">
        <v>0.79999999999999993</v>
      </c>
      <c r="M288" s="275">
        <v>0.34166666666666662</v>
      </c>
      <c r="N288" s="275">
        <v>0.47916666666666669</v>
      </c>
      <c r="O288" s="275">
        <v>0.5625</v>
      </c>
      <c r="P288" s="275">
        <v>0.64583333333333337</v>
      </c>
      <c r="Q288" s="276">
        <v>41092</v>
      </c>
      <c r="R288" s="284" t="s">
        <v>72</v>
      </c>
      <c r="S288" s="276">
        <v>41115</v>
      </c>
      <c r="T288" s="284">
        <v>1240</v>
      </c>
      <c r="U288" s="274" t="s">
        <v>2220</v>
      </c>
      <c r="V288" s="276">
        <v>42339</v>
      </c>
      <c r="W288" s="276">
        <v>42339</v>
      </c>
      <c r="X288" s="276" t="s">
        <v>2</v>
      </c>
      <c r="Y288" s="274" t="s">
        <v>2</v>
      </c>
      <c r="Z288" s="274" t="s">
        <v>2</v>
      </c>
      <c r="AA288" s="274" t="s">
        <v>2</v>
      </c>
      <c r="AB288" s="276" t="s">
        <v>2</v>
      </c>
      <c r="AC288" s="274" t="s">
        <v>1250</v>
      </c>
      <c r="AD288" s="274">
        <v>8032500</v>
      </c>
      <c r="AE288" s="276">
        <v>33411</v>
      </c>
      <c r="AF288" s="274" t="s">
        <v>2194</v>
      </c>
      <c r="AG288" s="274" t="s">
        <v>775</v>
      </c>
      <c r="AH288" s="274" t="s">
        <v>2197</v>
      </c>
      <c r="AI288" s="274" t="s">
        <v>89</v>
      </c>
      <c r="AJ288" s="281" t="s">
        <v>2</v>
      </c>
      <c r="AK288" s="281" t="s">
        <v>837</v>
      </c>
      <c r="AL288" s="281" t="s">
        <v>484</v>
      </c>
      <c r="AM288" s="281" t="s">
        <v>2</v>
      </c>
      <c r="AN288" s="281" t="s">
        <v>2</v>
      </c>
      <c r="AO288" s="281" t="s">
        <v>1126</v>
      </c>
      <c r="AP288" s="281" t="s">
        <v>1249</v>
      </c>
      <c r="AQ288" s="302" t="s">
        <v>2</v>
      </c>
    </row>
    <row r="289" spans="1:43" ht="15" customHeight="1">
      <c r="A289" s="90"/>
      <c r="B289" s="84"/>
      <c r="C289" s="91"/>
      <c r="D289" s="301">
        <v>31195</v>
      </c>
      <c r="E289" s="283">
        <v>897570</v>
      </c>
      <c r="F289" s="273">
        <v>17150</v>
      </c>
      <c r="G289" s="274" t="s">
        <v>2344</v>
      </c>
      <c r="H289" s="274" t="s">
        <v>420</v>
      </c>
      <c r="I289" s="274" t="s">
        <v>9</v>
      </c>
      <c r="J289" s="274" t="s">
        <v>398</v>
      </c>
      <c r="K289" s="275">
        <v>0.59722222222222221</v>
      </c>
      <c r="L289" s="275">
        <v>0.86111111111111116</v>
      </c>
      <c r="M289" s="275">
        <v>0.2638888888888889</v>
      </c>
      <c r="N289" s="275">
        <v>0.64583333333333337</v>
      </c>
      <c r="O289" s="275">
        <v>0.69444444444444453</v>
      </c>
      <c r="P289" s="275">
        <v>0.79861111111111116</v>
      </c>
      <c r="Q289" s="276">
        <v>42256</v>
      </c>
      <c r="R289" s="284" t="s">
        <v>72</v>
      </c>
      <c r="S289" s="276">
        <v>42282</v>
      </c>
      <c r="T289" s="284">
        <v>73</v>
      </c>
      <c r="U289" s="274" t="s">
        <v>2218</v>
      </c>
      <c r="V289" s="276">
        <v>42345</v>
      </c>
      <c r="W289" s="276">
        <v>42345</v>
      </c>
      <c r="X289" s="276" t="s">
        <v>2</v>
      </c>
      <c r="Y289" s="274" t="s">
        <v>2245</v>
      </c>
      <c r="Z289" s="274" t="s">
        <v>2</v>
      </c>
      <c r="AA289" s="274" t="s">
        <v>2</v>
      </c>
      <c r="AB289" s="276" t="s">
        <v>2</v>
      </c>
      <c r="AC289" s="274" t="s">
        <v>2</v>
      </c>
      <c r="AD289" s="274" t="s">
        <v>2</v>
      </c>
      <c r="AE289" s="276">
        <v>33928</v>
      </c>
      <c r="AF289" s="274" t="s">
        <v>2</v>
      </c>
      <c r="AG289" s="274" t="s">
        <v>775</v>
      </c>
      <c r="AH289" s="274" t="s">
        <v>2197</v>
      </c>
      <c r="AI289" s="274" t="s">
        <v>89</v>
      </c>
      <c r="AJ289" s="281">
        <v>23909</v>
      </c>
      <c r="AK289" s="281" t="s">
        <v>2368</v>
      </c>
      <c r="AL289" s="281" t="s">
        <v>2352</v>
      </c>
      <c r="AM289" s="281" t="s">
        <v>2</v>
      </c>
      <c r="AN289" s="281" t="s">
        <v>422</v>
      </c>
      <c r="AO289" s="281" t="s">
        <v>2382</v>
      </c>
      <c r="AP289" s="281" t="s">
        <v>2</v>
      </c>
      <c r="AQ289" s="302" t="s">
        <v>2</v>
      </c>
    </row>
    <row r="290" spans="1:43" ht="15" customHeight="1">
      <c r="A290" s="90"/>
      <c r="B290" s="84"/>
      <c r="C290" s="91"/>
      <c r="D290" s="301">
        <v>31409</v>
      </c>
      <c r="E290" s="283">
        <v>909916</v>
      </c>
      <c r="F290" s="273">
        <v>12286</v>
      </c>
      <c r="G290" s="274" t="s">
        <v>2413</v>
      </c>
      <c r="H290" s="274" t="s">
        <v>420</v>
      </c>
      <c r="I290" s="274" t="s">
        <v>9</v>
      </c>
      <c r="J290" s="274" t="s">
        <v>398</v>
      </c>
      <c r="K290" s="275">
        <v>0.65277777777777779</v>
      </c>
      <c r="L290" s="275">
        <v>0.91666666666666663</v>
      </c>
      <c r="M290" s="275">
        <v>0.2638888888888889</v>
      </c>
      <c r="N290" s="275" t="s">
        <v>2</v>
      </c>
      <c r="O290" s="275" t="s">
        <v>2</v>
      </c>
      <c r="P290" s="275" t="s">
        <v>2</v>
      </c>
      <c r="Q290" s="276">
        <v>42340</v>
      </c>
      <c r="R290" s="284" t="s">
        <v>82</v>
      </c>
      <c r="S290" s="276">
        <v>42362</v>
      </c>
      <c r="T290" s="284">
        <v>-7</v>
      </c>
      <c r="U290" s="274" t="s">
        <v>2218</v>
      </c>
      <c r="V290" s="276">
        <v>42348</v>
      </c>
      <c r="W290" s="276">
        <v>42348</v>
      </c>
      <c r="X290" s="276" t="s">
        <v>2</v>
      </c>
      <c r="Y290" s="274" t="s">
        <v>2246</v>
      </c>
      <c r="Z290" s="274" t="s">
        <v>2</v>
      </c>
      <c r="AA290" s="274" t="s">
        <v>2</v>
      </c>
      <c r="AB290" s="276" t="s">
        <v>2</v>
      </c>
      <c r="AC290" s="274" t="s">
        <v>1257</v>
      </c>
      <c r="AD290" s="274" t="s">
        <v>2</v>
      </c>
      <c r="AE290" s="276">
        <v>31837</v>
      </c>
      <c r="AF290" s="274" t="s">
        <v>2</v>
      </c>
      <c r="AG290" s="274" t="s">
        <v>775</v>
      </c>
      <c r="AH290" s="274" t="s">
        <v>2197</v>
      </c>
      <c r="AI290" s="274" t="s">
        <v>89</v>
      </c>
      <c r="AJ290" s="281" t="s">
        <v>2</v>
      </c>
      <c r="AK290" s="281" t="s">
        <v>2438</v>
      </c>
      <c r="AL290" s="281" t="s">
        <v>2</v>
      </c>
      <c r="AM290" s="281" t="s">
        <v>2</v>
      </c>
      <c r="AN290" s="281" t="s">
        <v>422</v>
      </c>
      <c r="AO290" s="281" t="s">
        <v>2</v>
      </c>
      <c r="AP290" s="281" t="s">
        <v>2</v>
      </c>
      <c r="AQ290" s="302" t="s">
        <v>2</v>
      </c>
    </row>
    <row r="291" spans="1:43" ht="15" customHeight="1">
      <c r="A291" s="90"/>
      <c r="B291" s="84"/>
      <c r="C291" s="91"/>
      <c r="D291" s="301">
        <v>30168</v>
      </c>
      <c r="E291" s="283">
        <v>873173</v>
      </c>
      <c r="F291" s="273">
        <v>17089</v>
      </c>
      <c r="G291" s="274" t="s">
        <v>339</v>
      </c>
      <c r="H291" s="274" t="s">
        <v>418</v>
      </c>
      <c r="I291" s="274" t="s">
        <v>9</v>
      </c>
      <c r="J291" s="274" t="s">
        <v>403</v>
      </c>
      <c r="K291" s="275">
        <v>0.41666666666666669</v>
      </c>
      <c r="L291" s="275">
        <v>0.7583333333333333</v>
      </c>
      <c r="M291" s="275">
        <v>0.34166666666666662</v>
      </c>
      <c r="N291" s="275">
        <v>0.53472222222222221</v>
      </c>
      <c r="O291" s="275">
        <v>0.58333333333333337</v>
      </c>
      <c r="P291" s="275">
        <v>0.71527777777777779</v>
      </c>
      <c r="Q291" s="276">
        <v>42044</v>
      </c>
      <c r="R291" s="284" t="s">
        <v>72</v>
      </c>
      <c r="S291" s="276">
        <v>42068</v>
      </c>
      <c r="T291" s="284">
        <v>287</v>
      </c>
      <c r="U291" s="274" t="s">
        <v>2218</v>
      </c>
      <c r="V291" s="276">
        <v>42349</v>
      </c>
      <c r="W291" s="276">
        <v>42348</v>
      </c>
      <c r="X291" s="276" t="s">
        <v>2</v>
      </c>
      <c r="Y291" s="274" t="s">
        <v>2246</v>
      </c>
      <c r="Z291" s="274" t="s">
        <v>2</v>
      </c>
      <c r="AA291" s="274" t="s">
        <v>2</v>
      </c>
      <c r="AB291" s="276" t="s">
        <v>2</v>
      </c>
      <c r="AC291" s="274" t="s">
        <v>2248</v>
      </c>
      <c r="AD291" s="274" t="s">
        <v>771</v>
      </c>
      <c r="AE291" s="276">
        <v>34842</v>
      </c>
      <c r="AF291" s="274" t="s">
        <v>2188</v>
      </c>
      <c r="AG291" s="274" t="s">
        <v>775</v>
      </c>
      <c r="AH291" s="274" t="s">
        <v>2197</v>
      </c>
      <c r="AI291" s="274" t="s">
        <v>89</v>
      </c>
      <c r="AJ291" s="281">
        <v>810234</v>
      </c>
      <c r="AK291" s="281" t="s">
        <v>1017</v>
      </c>
      <c r="AL291" s="281" t="s">
        <v>666</v>
      </c>
      <c r="AM291" s="281" t="s">
        <v>2</v>
      </c>
      <c r="AN291" s="281" t="s">
        <v>422</v>
      </c>
      <c r="AO291" s="281" t="s">
        <v>1204</v>
      </c>
      <c r="AP291" s="281" t="s">
        <v>2</v>
      </c>
      <c r="AQ291" s="302" t="s">
        <v>2</v>
      </c>
    </row>
    <row r="292" spans="1:43" ht="15" customHeight="1">
      <c r="A292" s="90"/>
      <c r="B292" s="84"/>
      <c r="C292" s="91"/>
      <c r="D292" s="301">
        <v>27234</v>
      </c>
      <c r="E292" s="283">
        <v>827459</v>
      </c>
      <c r="F292" s="273">
        <v>12667</v>
      </c>
      <c r="G292" s="274" t="s">
        <v>175</v>
      </c>
      <c r="H292" s="274" t="s">
        <v>420</v>
      </c>
      <c r="I292" s="274" t="s">
        <v>9</v>
      </c>
      <c r="J292" s="274" t="s">
        <v>396</v>
      </c>
      <c r="K292" s="275">
        <v>0.4916666666666667</v>
      </c>
      <c r="L292" s="275">
        <v>0.83333333333333337</v>
      </c>
      <c r="M292" s="275">
        <v>0.34166666666666662</v>
      </c>
      <c r="N292" s="275" t="s">
        <v>2</v>
      </c>
      <c r="O292" s="275" t="s">
        <v>2</v>
      </c>
      <c r="P292" s="275" t="s">
        <v>2</v>
      </c>
      <c r="Q292" s="276">
        <v>41620</v>
      </c>
      <c r="R292" s="284" t="s">
        <v>72</v>
      </c>
      <c r="S292" s="276">
        <v>41653</v>
      </c>
      <c r="T292" s="284">
        <v>702</v>
      </c>
      <c r="U292" s="274" t="s">
        <v>2218</v>
      </c>
      <c r="V292" s="276">
        <v>42356</v>
      </c>
      <c r="W292" s="276">
        <v>42356</v>
      </c>
      <c r="X292" s="276" t="s">
        <v>2</v>
      </c>
      <c r="Y292" s="274" t="s">
        <v>2246</v>
      </c>
      <c r="Z292" s="274" t="s">
        <v>2</v>
      </c>
      <c r="AA292" s="274" t="s">
        <v>2</v>
      </c>
      <c r="AB292" s="276" t="s">
        <v>2</v>
      </c>
      <c r="AC292" s="274">
        <v>264</v>
      </c>
      <c r="AD292" s="274" t="s">
        <v>2</v>
      </c>
      <c r="AE292" s="276" t="s">
        <v>2</v>
      </c>
      <c r="AF292" s="274" t="s">
        <v>2</v>
      </c>
      <c r="AG292" s="274" t="s">
        <v>775</v>
      </c>
      <c r="AH292" s="274" t="s">
        <v>2197</v>
      </c>
      <c r="AI292" s="274" t="s">
        <v>89</v>
      </c>
      <c r="AJ292" s="281" t="s">
        <v>2</v>
      </c>
      <c r="AK292" s="281" t="s">
        <v>860</v>
      </c>
      <c r="AL292" s="281" t="s">
        <v>508</v>
      </c>
      <c r="AM292" s="281" t="s">
        <v>2</v>
      </c>
      <c r="AN292" s="281" t="s">
        <v>422</v>
      </c>
      <c r="AO292" s="281" t="s">
        <v>1146</v>
      </c>
      <c r="AP292" s="281" t="s">
        <v>1249</v>
      </c>
      <c r="AQ292" s="302" t="s">
        <v>2</v>
      </c>
    </row>
    <row r="293" spans="1:43" ht="15" customHeight="1">
      <c r="A293" s="90"/>
      <c r="B293" s="84"/>
      <c r="C293" s="91"/>
      <c r="D293" s="301">
        <v>30169</v>
      </c>
      <c r="E293" s="283">
        <v>873174</v>
      </c>
      <c r="F293" s="273">
        <v>17102</v>
      </c>
      <c r="G293" s="274" t="s">
        <v>186</v>
      </c>
      <c r="H293" s="274" t="s">
        <v>415</v>
      </c>
      <c r="I293" s="274" t="s">
        <v>9</v>
      </c>
      <c r="J293" s="274" t="s">
        <v>398</v>
      </c>
      <c r="K293" s="275">
        <v>0.33333333333333331</v>
      </c>
      <c r="L293" s="275">
        <v>0.59722222222222221</v>
      </c>
      <c r="M293" s="275">
        <v>0.2638888888888889</v>
      </c>
      <c r="N293" s="275">
        <v>0.375</v>
      </c>
      <c r="O293" s="275">
        <v>0.49305555555555558</v>
      </c>
      <c r="P293" s="275">
        <v>0.55555555555555558</v>
      </c>
      <c r="Q293" s="276">
        <v>42044</v>
      </c>
      <c r="R293" s="284" t="s">
        <v>72</v>
      </c>
      <c r="S293" s="276">
        <v>42068</v>
      </c>
      <c r="T293" s="284">
        <v>265</v>
      </c>
      <c r="U293" s="274" t="s">
        <v>2218</v>
      </c>
      <c r="V293" s="276">
        <v>42367</v>
      </c>
      <c r="W293" s="276">
        <v>42361</v>
      </c>
      <c r="X293" s="276" t="s">
        <v>2</v>
      </c>
      <c r="Y293" s="274" t="s">
        <v>2246</v>
      </c>
      <c r="Z293" s="274" t="s">
        <v>2</v>
      </c>
      <c r="AA293" s="274" t="s">
        <v>2</v>
      </c>
      <c r="AB293" s="276" t="s">
        <v>2</v>
      </c>
      <c r="AC293" s="274" t="s">
        <v>1257</v>
      </c>
      <c r="AD293" s="274">
        <v>35036</v>
      </c>
      <c r="AE293" s="276" t="s">
        <v>2</v>
      </c>
      <c r="AF293" s="274" t="s">
        <v>2195</v>
      </c>
      <c r="AG293" s="274" t="s">
        <v>775</v>
      </c>
      <c r="AH293" s="274" t="s">
        <v>2197</v>
      </c>
      <c r="AI293" s="274" t="s">
        <v>89</v>
      </c>
      <c r="AJ293" s="281">
        <v>24199</v>
      </c>
      <c r="AK293" s="281" t="s">
        <v>871</v>
      </c>
      <c r="AL293" s="281" t="s">
        <v>2514</v>
      </c>
      <c r="AM293" s="281" t="s">
        <v>2</v>
      </c>
      <c r="AN293" s="281" t="s">
        <v>422</v>
      </c>
      <c r="AO293" s="281" t="s">
        <v>2515</v>
      </c>
      <c r="AP293" s="281" t="s">
        <v>2</v>
      </c>
      <c r="AQ293" s="302" t="s">
        <v>2</v>
      </c>
    </row>
    <row r="294" spans="1:43" ht="15" customHeight="1">
      <c r="A294" s="90"/>
      <c r="B294" s="84"/>
      <c r="C294" s="91"/>
      <c r="D294" s="301">
        <v>27550</v>
      </c>
      <c r="E294" s="283">
        <v>831341</v>
      </c>
      <c r="F294" s="273">
        <v>12080</v>
      </c>
      <c r="G294" s="274" t="s">
        <v>295</v>
      </c>
      <c r="H294" s="274" t="s">
        <v>424</v>
      </c>
      <c r="I294" s="274" t="s">
        <v>9</v>
      </c>
      <c r="J294" s="274" t="s">
        <v>401</v>
      </c>
      <c r="K294" s="275">
        <v>0.45833333333333331</v>
      </c>
      <c r="L294" s="275">
        <v>0.79999999999999993</v>
      </c>
      <c r="M294" s="275">
        <v>0.34166666666666662</v>
      </c>
      <c r="N294" s="275">
        <v>0.4513888888888889</v>
      </c>
      <c r="O294" s="275">
        <v>0.58333333333333337</v>
      </c>
      <c r="P294" s="275">
        <v>0.66666666666666663</v>
      </c>
      <c r="Q294" s="276">
        <v>41676</v>
      </c>
      <c r="R294" s="284" t="s">
        <v>72</v>
      </c>
      <c r="S294" s="276">
        <v>41705</v>
      </c>
      <c r="T294" s="284">
        <v>663</v>
      </c>
      <c r="U294" s="274" t="s">
        <v>2217</v>
      </c>
      <c r="V294" s="276">
        <v>42369</v>
      </c>
      <c r="W294" s="276">
        <v>42369</v>
      </c>
      <c r="X294" s="276" t="s">
        <v>2</v>
      </c>
      <c r="Y294" s="274" t="s">
        <v>2245</v>
      </c>
      <c r="Z294" s="274" t="s">
        <v>2</v>
      </c>
      <c r="AA294" s="274" t="s">
        <v>2</v>
      </c>
      <c r="AB294" s="276" t="s">
        <v>2</v>
      </c>
      <c r="AC294" s="274" t="s">
        <v>2</v>
      </c>
      <c r="AD294" s="274" t="s">
        <v>757</v>
      </c>
      <c r="AE294" s="276">
        <v>34904</v>
      </c>
      <c r="AF294" s="274" t="s">
        <v>2195</v>
      </c>
      <c r="AG294" s="274" t="s">
        <v>775</v>
      </c>
      <c r="AH294" s="274" t="s">
        <v>2197</v>
      </c>
      <c r="AI294" s="274" t="s">
        <v>89</v>
      </c>
      <c r="AJ294" s="281" t="s">
        <v>2</v>
      </c>
      <c r="AK294" s="281" t="s">
        <v>975</v>
      </c>
      <c r="AL294" s="281" t="s">
        <v>623</v>
      </c>
      <c r="AM294" s="281" t="s">
        <v>2</v>
      </c>
      <c r="AN294" s="281" t="s">
        <v>2</v>
      </c>
      <c r="AO294" s="281" t="s">
        <v>2591</v>
      </c>
      <c r="AP294" s="281" t="s">
        <v>2</v>
      </c>
      <c r="AQ294" s="302" t="s">
        <v>2</v>
      </c>
    </row>
    <row r="295" spans="1:43" ht="15" customHeight="1">
      <c r="A295" s="90"/>
      <c r="B295" s="84"/>
      <c r="C295" s="91"/>
      <c r="D295" s="301">
        <v>26930</v>
      </c>
      <c r="E295" s="283">
        <v>823980</v>
      </c>
      <c r="F295" s="273">
        <v>17139</v>
      </c>
      <c r="G295" s="274" t="s">
        <v>188</v>
      </c>
      <c r="H295" s="274" t="s">
        <v>415</v>
      </c>
      <c r="I295" s="274" t="s">
        <v>16</v>
      </c>
      <c r="J295" s="274" t="s">
        <v>398</v>
      </c>
      <c r="K295" s="275">
        <v>0.41666666666666669</v>
      </c>
      <c r="L295" s="275">
        <v>0.7583333333333333</v>
      </c>
      <c r="M295" s="275">
        <v>0.34166666666666662</v>
      </c>
      <c r="N295" s="275">
        <v>0.51388888888888895</v>
      </c>
      <c r="O295" s="275">
        <v>0.58333333333333337</v>
      </c>
      <c r="P295" s="275">
        <v>0.70833333333333337</v>
      </c>
      <c r="Q295" s="276">
        <v>41584</v>
      </c>
      <c r="R295" s="284" t="s">
        <v>72</v>
      </c>
      <c r="S295" s="276">
        <v>41619</v>
      </c>
      <c r="T295" s="284">
        <v>770</v>
      </c>
      <c r="U295" s="274" t="s">
        <v>2218</v>
      </c>
      <c r="V295" s="276">
        <v>42522</v>
      </c>
      <c r="W295" s="276">
        <v>42522</v>
      </c>
      <c r="X295" s="276" t="s">
        <v>2</v>
      </c>
      <c r="Y295" s="274" t="s">
        <v>2</v>
      </c>
      <c r="Z295" s="274" t="s">
        <v>2</v>
      </c>
      <c r="AA295" s="274" t="s">
        <v>2</v>
      </c>
      <c r="AB295" s="276" t="s">
        <v>2</v>
      </c>
      <c r="AC295" s="274" t="s">
        <v>1257</v>
      </c>
      <c r="AD295" s="274" t="s">
        <v>2</v>
      </c>
      <c r="AE295" s="276">
        <v>31840</v>
      </c>
      <c r="AF295" s="274" t="s">
        <v>2</v>
      </c>
      <c r="AG295" s="274" t="s">
        <v>775</v>
      </c>
      <c r="AH295" s="274" t="s">
        <v>2197</v>
      </c>
      <c r="AI295" s="274" t="s">
        <v>89</v>
      </c>
      <c r="AJ295" s="281">
        <v>810136</v>
      </c>
      <c r="AK295" s="281" t="s">
        <v>873</v>
      </c>
      <c r="AL295" s="281" t="s">
        <v>521</v>
      </c>
      <c r="AM295" s="281" t="s">
        <v>2</v>
      </c>
      <c r="AN295" s="281" t="s">
        <v>422</v>
      </c>
      <c r="AO295" s="281" t="s">
        <v>2533</v>
      </c>
      <c r="AP295" s="281" t="s">
        <v>2</v>
      </c>
      <c r="AQ295" s="302" t="s">
        <v>2</v>
      </c>
    </row>
    <row r="296" spans="1:43" ht="15" customHeight="1">
      <c r="A296" s="90"/>
      <c r="B296" s="84"/>
      <c r="C296" s="91"/>
      <c r="D296" s="301">
        <v>30447</v>
      </c>
      <c r="E296" s="283">
        <v>876652</v>
      </c>
      <c r="F296" s="273">
        <v>12688</v>
      </c>
      <c r="G296" s="274" t="s">
        <v>208</v>
      </c>
      <c r="H296" s="274" t="s">
        <v>412</v>
      </c>
      <c r="I296" s="274" t="s">
        <v>9</v>
      </c>
      <c r="J296" s="274" t="s">
        <v>395</v>
      </c>
      <c r="K296" s="275">
        <v>0.3611111111111111</v>
      </c>
      <c r="L296" s="275">
        <v>0.625</v>
      </c>
      <c r="M296" s="275">
        <v>0.2638888888888889</v>
      </c>
      <c r="N296" s="275" t="s">
        <v>2</v>
      </c>
      <c r="O296" s="275" t="s">
        <v>2</v>
      </c>
      <c r="P296" s="275" t="s">
        <v>2</v>
      </c>
      <c r="Q296" s="276">
        <v>42079</v>
      </c>
      <c r="R296" s="284" t="s">
        <v>72</v>
      </c>
      <c r="S296" s="276">
        <v>42100</v>
      </c>
      <c r="T296" s="284">
        <v>291</v>
      </c>
      <c r="U296" s="274" t="s">
        <v>2218</v>
      </c>
      <c r="V296" s="276">
        <v>42375</v>
      </c>
      <c r="W296" s="276">
        <v>42375</v>
      </c>
      <c r="X296" s="276" t="s">
        <v>2</v>
      </c>
      <c r="Y296" s="274" t="s">
        <v>2246</v>
      </c>
      <c r="Z296" s="274" t="s">
        <v>2</v>
      </c>
      <c r="AA296" s="274" t="s">
        <v>2</v>
      </c>
      <c r="AB296" s="276" t="s">
        <v>2</v>
      </c>
      <c r="AC296" s="274">
        <v>171</v>
      </c>
      <c r="AD296" s="274" t="s">
        <v>727</v>
      </c>
      <c r="AE296" s="276">
        <v>34340</v>
      </c>
      <c r="AF296" s="274" t="s">
        <v>2188</v>
      </c>
      <c r="AG296" s="274" t="s">
        <v>775</v>
      </c>
      <c r="AH296" s="274" t="s">
        <v>2197</v>
      </c>
      <c r="AI296" s="274" t="s">
        <v>89</v>
      </c>
      <c r="AJ296" s="281">
        <v>810285</v>
      </c>
      <c r="AK296" s="281" t="s">
        <v>892</v>
      </c>
      <c r="AL296" s="281" t="s">
        <v>541</v>
      </c>
      <c r="AM296" s="281" t="s">
        <v>2</v>
      </c>
      <c r="AN296" s="281" t="s">
        <v>422</v>
      </c>
      <c r="AO296" s="281" t="s">
        <v>1167</v>
      </c>
      <c r="AP296" s="281" t="s">
        <v>2</v>
      </c>
      <c r="AQ296" s="302" t="s">
        <v>2</v>
      </c>
    </row>
    <row r="297" spans="1:43" ht="15" customHeight="1">
      <c r="A297" s="90"/>
      <c r="B297" s="84"/>
      <c r="C297" s="91"/>
      <c r="D297" s="301">
        <v>30471</v>
      </c>
      <c r="E297" s="283">
        <v>876684</v>
      </c>
      <c r="F297" s="273">
        <v>12603</v>
      </c>
      <c r="G297" s="274" t="s">
        <v>257</v>
      </c>
      <c r="H297" s="274" t="s">
        <v>415</v>
      </c>
      <c r="I297" s="274" t="s">
        <v>9</v>
      </c>
      <c r="J297" s="274" t="s">
        <v>398</v>
      </c>
      <c r="K297" s="275">
        <v>0.375</v>
      </c>
      <c r="L297" s="275">
        <v>0.63888888888888895</v>
      </c>
      <c r="M297" s="275">
        <v>0.2638888888888889</v>
      </c>
      <c r="N297" s="275">
        <v>0.41666666666666669</v>
      </c>
      <c r="O297" s="275">
        <v>0.5</v>
      </c>
      <c r="P297" s="275">
        <v>0.57638888888888895</v>
      </c>
      <c r="Q297" s="276">
        <v>42079</v>
      </c>
      <c r="R297" s="284" t="s">
        <v>72</v>
      </c>
      <c r="S297" s="276">
        <v>42100</v>
      </c>
      <c r="T297" s="284">
        <v>291</v>
      </c>
      <c r="U297" s="274" t="s">
        <v>2218</v>
      </c>
      <c r="V297" s="276">
        <v>42373</v>
      </c>
      <c r="W297" s="276">
        <v>42373</v>
      </c>
      <c r="X297" s="276" t="s">
        <v>2</v>
      </c>
      <c r="Y297" s="274" t="s">
        <v>2246</v>
      </c>
      <c r="Z297" s="274" t="s">
        <v>2</v>
      </c>
      <c r="AA297" s="274" t="s">
        <v>2</v>
      </c>
      <c r="AB297" s="276" t="s">
        <v>2</v>
      </c>
      <c r="AC297" s="274" t="s">
        <v>1257</v>
      </c>
      <c r="AD297" s="274" t="s">
        <v>752</v>
      </c>
      <c r="AE297" s="276">
        <v>34781</v>
      </c>
      <c r="AF297" s="274" t="s">
        <v>2191</v>
      </c>
      <c r="AG297" s="274" t="s">
        <v>775</v>
      </c>
      <c r="AH297" s="274" t="s">
        <v>2197</v>
      </c>
      <c r="AI297" s="274" t="s">
        <v>89</v>
      </c>
      <c r="AJ297" s="281">
        <v>810301</v>
      </c>
      <c r="AK297" s="281" t="s">
        <v>940</v>
      </c>
      <c r="AL297" s="281" t="s">
        <v>589</v>
      </c>
      <c r="AM297" s="281" t="s">
        <v>2</v>
      </c>
      <c r="AN297" s="281" t="s">
        <v>422</v>
      </c>
      <c r="AO297" s="281" t="s">
        <v>2516</v>
      </c>
      <c r="AP297" s="281" t="s">
        <v>1249</v>
      </c>
      <c r="AQ297" s="302" t="s">
        <v>2</v>
      </c>
    </row>
    <row r="298" spans="1:43" ht="15" customHeight="1">
      <c r="A298" s="90"/>
      <c r="B298" s="84"/>
      <c r="C298" s="91"/>
      <c r="D298" s="301">
        <v>31200</v>
      </c>
      <c r="E298" s="283">
        <v>897648</v>
      </c>
      <c r="F298" s="273">
        <v>17133</v>
      </c>
      <c r="G298" s="274" t="s">
        <v>2329</v>
      </c>
      <c r="H298" s="274" t="s">
        <v>415</v>
      </c>
      <c r="I298" s="274" t="s">
        <v>9</v>
      </c>
      <c r="J298" s="274" t="s">
        <v>398</v>
      </c>
      <c r="K298" s="275">
        <v>0.375</v>
      </c>
      <c r="L298" s="275">
        <v>0.63888888888888895</v>
      </c>
      <c r="M298" s="275">
        <v>0.2638888888888889</v>
      </c>
      <c r="N298" s="275">
        <v>0.41666666666666669</v>
      </c>
      <c r="O298" s="275">
        <v>0.5</v>
      </c>
      <c r="P298" s="275">
        <v>0.57638888888888895</v>
      </c>
      <c r="Q298" s="276">
        <v>42256</v>
      </c>
      <c r="R298" s="284" t="s">
        <v>72</v>
      </c>
      <c r="S298" s="276">
        <v>42282</v>
      </c>
      <c r="T298" s="284">
        <v>109</v>
      </c>
      <c r="U298" s="274" t="s">
        <v>2218</v>
      </c>
      <c r="V298" s="276">
        <v>42374</v>
      </c>
      <c r="W298" s="276">
        <v>42374</v>
      </c>
      <c r="X298" s="276" t="s">
        <v>2</v>
      </c>
      <c r="Y298" s="274" t="s">
        <v>2246</v>
      </c>
      <c r="Z298" s="274" t="s">
        <v>2</v>
      </c>
      <c r="AA298" s="274" t="s">
        <v>2</v>
      </c>
      <c r="AB298" s="276" t="s">
        <v>2</v>
      </c>
      <c r="AC298" s="274" t="s">
        <v>2</v>
      </c>
      <c r="AD298" s="274" t="s">
        <v>2</v>
      </c>
      <c r="AE298" s="276">
        <v>34404</v>
      </c>
      <c r="AF298" s="274" t="s">
        <v>2</v>
      </c>
      <c r="AG298" s="274" t="s">
        <v>775</v>
      </c>
      <c r="AH298" s="274" t="s">
        <v>2197</v>
      </c>
      <c r="AI298" s="274" t="s">
        <v>89</v>
      </c>
      <c r="AJ298" s="281">
        <v>23674</v>
      </c>
      <c r="AK298" s="281" t="s">
        <v>2364</v>
      </c>
      <c r="AL298" s="281" t="s">
        <v>2348</v>
      </c>
      <c r="AM298" s="281" t="s">
        <v>2</v>
      </c>
      <c r="AN298" s="281" t="s">
        <v>422</v>
      </c>
      <c r="AO298" s="281" t="s">
        <v>2520</v>
      </c>
      <c r="AP298" s="281" t="s">
        <v>2</v>
      </c>
      <c r="AQ298" s="302" t="s">
        <v>2</v>
      </c>
    </row>
    <row r="299" spans="1:43" ht="15" customHeight="1">
      <c r="A299" s="90"/>
      <c r="B299" s="84"/>
      <c r="C299" s="91"/>
      <c r="D299" s="301">
        <v>31390</v>
      </c>
      <c r="E299" s="283">
        <v>909802</v>
      </c>
      <c r="F299" s="273">
        <v>12276</v>
      </c>
      <c r="G299" s="274" t="s">
        <v>2407</v>
      </c>
      <c r="H299" s="274" t="s">
        <v>415</v>
      </c>
      <c r="I299" s="274" t="s">
        <v>9</v>
      </c>
      <c r="J299" s="274" t="s">
        <v>398</v>
      </c>
      <c r="K299" s="275">
        <v>0.375</v>
      </c>
      <c r="L299" s="275">
        <v>0.63888888888888895</v>
      </c>
      <c r="M299" s="275">
        <v>0.2638888888888889</v>
      </c>
      <c r="N299" s="275">
        <v>0.4236111111111111</v>
      </c>
      <c r="O299" s="275">
        <v>0.51388888888888895</v>
      </c>
      <c r="P299" s="275">
        <v>0.58333333333333337</v>
      </c>
      <c r="Q299" s="276">
        <v>42340</v>
      </c>
      <c r="R299" s="284" t="s">
        <v>72</v>
      </c>
      <c r="S299" s="276">
        <v>42362</v>
      </c>
      <c r="T299" s="284">
        <v>29</v>
      </c>
      <c r="U299" s="274" t="s">
        <v>2218</v>
      </c>
      <c r="V299" s="276">
        <v>42374</v>
      </c>
      <c r="W299" s="276">
        <v>42374</v>
      </c>
      <c r="X299" s="276" t="s">
        <v>2</v>
      </c>
      <c r="Y299" s="274" t="s">
        <v>2246</v>
      </c>
      <c r="Z299" s="274" t="s">
        <v>2</v>
      </c>
      <c r="AA299" s="274" t="s">
        <v>2</v>
      </c>
      <c r="AB299" s="276" t="s">
        <v>2</v>
      </c>
      <c r="AC299" s="274" t="s">
        <v>1257</v>
      </c>
      <c r="AD299" s="274" t="s">
        <v>2496</v>
      </c>
      <c r="AE299" s="276">
        <v>29154</v>
      </c>
      <c r="AF299" s="274" t="s">
        <v>2194</v>
      </c>
      <c r="AG299" s="274" t="s">
        <v>775</v>
      </c>
      <c r="AH299" s="274" t="s">
        <v>2197</v>
      </c>
      <c r="AI299" s="274" t="s">
        <v>89</v>
      </c>
      <c r="AJ299" s="281">
        <v>24213</v>
      </c>
      <c r="AK299" s="281" t="s">
        <v>2430</v>
      </c>
      <c r="AL299" s="281" t="s">
        <v>2454</v>
      </c>
      <c r="AM299" s="281" t="s">
        <v>2</v>
      </c>
      <c r="AN299" s="281" t="s">
        <v>422</v>
      </c>
      <c r="AO299" s="281" t="s">
        <v>2475</v>
      </c>
      <c r="AP299" s="281" t="s">
        <v>2</v>
      </c>
      <c r="AQ299" s="302" t="s">
        <v>2</v>
      </c>
    </row>
    <row r="300" spans="1:43" ht="15" customHeight="1">
      <c r="A300" s="90"/>
      <c r="B300" s="84"/>
      <c r="C300" s="91"/>
      <c r="D300" s="301">
        <v>27229</v>
      </c>
      <c r="E300" s="283">
        <v>827454</v>
      </c>
      <c r="F300" s="273">
        <v>12210</v>
      </c>
      <c r="G300" s="274" t="s">
        <v>156</v>
      </c>
      <c r="H300" s="274" t="s">
        <v>416</v>
      </c>
      <c r="I300" s="274" t="s">
        <v>9</v>
      </c>
      <c r="J300" s="274" t="s">
        <v>398</v>
      </c>
      <c r="K300" s="275">
        <v>0.375</v>
      </c>
      <c r="L300" s="275">
        <v>0.63888888888888895</v>
      </c>
      <c r="M300" s="275">
        <v>0.2638888888888889</v>
      </c>
      <c r="N300" s="275">
        <v>0.4236111111111111</v>
      </c>
      <c r="O300" s="275">
        <v>0.52083333333333337</v>
      </c>
      <c r="P300" s="275">
        <v>0.61805555555555558</v>
      </c>
      <c r="Q300" s="276">
        <v>41620</v>
      </c>
      <c r="R300" s="284" t="s">
        <v>72</v>
      </c>
      <c r="S300" s="276">
        <v>41653</v>
      </c>
      <c r="T300" s="284">
        <v>738</v>
      </c>
      <c r="U300" s="274" t="s">
        <v>2218</v>
      </c>
      <c r="V300" s="276">
        <v>42374</v>
      </c>
      <c r="W300" s="276">
        <v>42374</v>
      </c>
      <c r="X300" s="276" t="s">
        <v>2</v>
      </c>
      <c r="Y300" s="274" t="s">
        <v>2246</v>
      </c>
      <c r="Z300" s="274" t="s">
        <v>2</v>
      </c>
      <c r="AA300" s="274" t="s">
        <v>2</v>
      </c>
      <c r="AB300" s="276" t="s">
        <v>2</v>
      </c>
      <c r="AC300" s="274" t="s">
        <v>1257</v>
      </c>
      <c r="AD300" s="274" t="s">
        <v>2</v>
      </c>
      <c r="AE300" s="276" t="s">
        <v>2</v>
      </c>
      <c r="AF300" s="274" t="s">
        <v>2</v>
      </c>
      <c r="AG300" s="274" t="s">
        <v>775</v>
      </c>
      <c r="AH300" s="274" t="s">
        <v>2197</v>
      </c>
      <c r="AI300" s="274" t="s">
        <v>89</v>
      </c>
      <c r="AJ300" s="281">
        <v>810116</v>
      </c>
      <c r="AK300" s="281" t="s">
        <v>843</v>
      </c>
      <c r="AL300" s="281" t="s">
        <v>490</v>
      </c>
      <c r="AM300" s="281" t="s">
        <v>2</v>
      </c>
      <c r="AN300" s="281" t="s">
        <v>2</v>
      </c>
      <c r="AO300" s="281" t="s">
        <v>1130</v>
      </c>
      <c r="AP300" s="281" t="s">
        <v>2</v>
      </c>
      <c r="AQ300" s="302" t="s">
        <v>2</v>
      </c>
    </row>
    <row r="301" spans="1:43" ht="15" customHeight="1">
      <c r="A301" s="90"/>
      <c r="B301" s="84"/>
      <c r="C301" s="91"/>
      <c r="D301" s="301">
        <v>27214</v>
      </c>
      <c r="E301" s="283">
        <v>827439</v>
      </c>
      <c r="F301" s="273">
        <v>12961</v>
      </c>
      <c r="G301" s="274" t="s">
        <v>213</v>
      </c>
      <c r="H301" s="274" t="s">
        <v>416</v>
      </c>
      <c r="I301" s="274" t="s">
        <v>9</v>
      </c>
      <c r="J301" s="274" t="s">
        <v>398</v>
      </c>
      <c r="K301" s="275">
        <v>0.41666666666666669</v>
      </c>
      <c r="L301" s="275">
        <v>0.7583333333333333</v>
      </c>
      <c r="M301" s="275">
        <v>0.34166666666666662</v>
      </c>
      <c r="N301" s="275">
        <v>0.53472222222222221</v>
      </c>
      <c r="O301" s="275">
        <v>0.58333333333333337</v>
      </c>
      <c r="P301" s="275">
        <v>0.71527777777777779</v>
      </c>
      <c r="Q301" s="276">
        <v>41620</v>
      </c>
      <c r="R301" s="284" t="s">
        <v>72</v>
      </c>
      <c r="S301" s="276">
        <v>41653</v>
      </c>
      <c r="T301" s="284">
        <v>738</v>
      </c>
      <c r="U301" s="274" t="s">
        <v>2218</v>
      </c>
      <c r="V301" s="276">
        <v>42382</v>
      </c>
      <c r="W301" s="276">
        <v>42382</v>
      </c>
      <c r="X301" s="276" t="s">
        <v>2</v>
      </c>
      <c r="Y301" s="274" t="s">
        <v>2246</v>
      </c>
      <c r="Z301" s="274" t="s">
        <v>2</v>
      </c>
      <c r="AA301" s="274" t="s">
        <v>2</v>
      </c>
      <c r="AB301" s="276" t="s">
        <v>2</v>
      </c>
      <c r="AC301" s="274" t="s">
        <v>1257</v>
      </c>
      <c r="AD301" s="274" t="s">
        <v>2</v>
      </c>
      <c r="AE301" s="276" t="s">
        <v>2</v>
      </c>
      <c r="AF301" s="274" t="s">
        <v>2</v>
      </c>
      <c r="AG301" s="274" t="s">
        <v>775</v>
      </c>
      <c r="AH301" s="274" t="s">
        <v>2197</v>
      </c>
      <c r="AI301" s="274" t="s">
        <v>89</v>
      </c>
      <c r="AJ301" s="281">
        <v>810171</v>
      </c>
      <c r="AK301" s="281" t="s">
        <v>896</v>
      </c>
      <c r="AL301" s="281" t="s">
        <v>546</v>
      </c>
      <c r="AM301" s="281" t="s">
        <v>2</v>
      </c>
      <c r="AN301" s="281" t="s">
        <v>422</v>
      </c>
      <c r="AO301" s="281" t="s">
        <v>2538</v>
      </c>
      <c r="AP301" s="281" t="s">
        <v>1249</v>
      </c>
      <c r="AQ301" s="302" t="s">
        <v>2</v>
      </c>
    </row>
    <row r="302" spans="1:43" ht="15" customHeight="1">
      <c r="A302" s="90"/>
      <c r="B302" s="84"/>
      <c r="C302" s="91"/>
      <c r="D302" s="301">
        <v>31408</v>
      </c>
      <c r="E302" s="283">
        <v>909821</v>
      </c>
      <c r="F302" s="273">
        <v>17173</v>
      </c>
      <c r="G302" s="274" t="s">
        <v>2423</v>
      </c>
      <c r="H302" s="274" t="s">
        <v>420</v>
      </c>
      <c r="I302" s="274" t="s">
        <v>9</v>
      </c>
      <c r="J302" s="274" t="s">
        <v>398</v>
      </c>
      <c r="K302" s="275">
        <v>0.59722222222222221</v>
      </c>
      <c r="L302" s="275">
        <v>0.86111111111111116</v>
      </c>
      <c r="M302" s="275">
        <v>0.2638888888888889</v>
      </c>
      <c r="N302" s="275">
        <v>0.65972222222222221</v>
      </c>
      <c r="O302" s="275">
        <v>0.69444444444444453</v>
      </c>
      <c r="P302" s="275">
        <v>0.80555555555555547</v>
      </c>
      <c r="Q302" s="276">
        <v>42340</v>
      </c>
      <c r="R302" s="284" t="s">
        <v>72</v>
      </c>
      <c r="S302" s="276">
        <v>42362</v>
      </c>
      <c r="T302" s="284">
        <v>29</v>
      </c>
      <c r="U302" s="274" t="s">
        <v>2218</v>
      </c>
      <c r="V302" s="276">
        <v>42382</v>
      </c>
      <c r="W302" s="276">
        <v>42382</v>
      </c>
      <c r="X302" s="276" t="s">
        <v>2</v>
      </c>
      <c r="Y302" s="274" t="s">
        <v>2246</v>
      </c>
      <c r="Z302" s="274" t="s">
        <v>2</v>
      </c>
      <c r="AA302" s="274" t="s">
        <v>2</v>
      </c>
      <c r="AB302" s="276" t="s">
        <v>2</v>
      </c>
      <c r="AC302" s="274" t="s">
        <v>1257</v>
      </c>
      <c r="AD302" s="274" t="s">
        <v>2495</v>
      </c>
      <c r="AE302" s="276">
        <v>28909</v>
      </c>
      <c r="AF302" s="274" t="s">
        <v>2194</v>
      </c>
      <c r="AG302" s="274" t="s">
        <v>775</v>
      </c>
      <c r="AH302" s="274" t="s">
        <v>2197</v>
      </c>
      <c r="AI302" s="274" t="s">
        <v>89</v>
      </c>
      <c r="AJ302" s="281">
        <v>24204</v>
      </c>
      <c r="AK302" s="281" t="s">
        <v>2436</v>
      </c>
      <c r="AL302" s="281" t="s">
        <v>2461</v>
      </c>
      <c r="AM302" s="281" t="s">
        <v>2</v>
      </c>
      <c r="AN302" s="281" t="s">
        <v>422</v>
      </c>
      <c r="AO302" s="281" t="s">
        <v>2482</v>
      </c>
      <c r="AP302" s="281" t="s">
        <v>2</v>
      </c>
      <c r="AQ302" s="302" t="s">
        <v>2</v>
      </c>
    </row>
    <row r="303" spans="1:43" ht="15" customHeight="1">
      <c r="A303" s="90"/>
      <c r="B303" s="84"/>
      <c r="C303" s="91"/>
      <c r="D303" s="301">
        <v>31410</v>
      </c>
      <c r="E303" s="283">
        <v>909917</v>
      </c>
      <c r="F303" s="273">
        <v>17179</v>
      </c>
      <c r="G303" s="274" t="s">
        <v>2414</v>
      </c>
      <c r="H303" s="274" t="s">
        <v>420</v>
      </c>
      <c r="I303" s="274" t="s">
        <v>9</v>
      </c>
      <c r="J303" s="274" t="s">
        <v>398</v>
      </c>
      <c r="K303" s="275">
        <v>0.59722222222222221</v>
      </c>
      <c r="L303" s="275">
        <v>0.86111111111111116</v>
      </c>
      <c r="M303" s="275">
        <v>0.2638888888888889</v>
      </c>
      <c r="N303" s="275">
        <v>0.63888888888888895</v>
      </c>
      <c r="O303" s="275">
        <v>0.69444444444444453</v>
      </c>
      <c r="P303" s="275">
        <v>0.79166666666666663</v>
      </c>
      <c r="Q303" s="276">
        <v>42340</v>
      </c>
      <c r="R303" s="284" t="s">
        <v>72</v>
      </c>
      <c r="S303" s="276">
        <v>42362</v>
      </c>
      <c r="T303" s="284">
        <v>29</v>
      </c>
      <c r="U303" s="274" t="s">
        <v>2218</v>
      </c>
      <c r="V303" s="276">
        <v>42008</v>
      </c>
      <c r="W303" s="276">
        <v>42008</v>
      </c>
      <c r="X303" s="276" t="s">
        <v>2</v>
      </c>
      <c r="Y303" s="274" t="s">
        <v>2246</v>
      </c>
      <c r="Z303" s="274" t="s">
        <v>2</v>
      </c>
      <c r="AA303" s="274" t="s">
        <v>2</v>
      </c>
      <c r="AB303" s="276" t="s">
        <v>2</v>
      </c>
      <c r="AC303" s="274" t="s">
        <v>1257</v>
      </c>
      <c r="AD303" s="274" t="s">
        <v>2499</v>
      </c>
      <c r="AE303" s="276">
        <v>33378</v>
      </c>
      <c r="AF303" s="274" t="s">
        <v>2194</v>
      </c>
      <c r="AG303" s="274" t="s">
        <v>775</v>
      </c>
      <c r="AH303" s="274" t="s">
        <v>2197</v>
      </c>
      <c r="AI303" s="274" t="s">
        <v>89</v>
      </c>
      <c r="AJ303" s="281">
        <v>24206</v>
      </c>
      <c r="AK303" s="281" t="s">
        <v>2439</v>
      </c>
      <c r="AL303" s="281" t="s">
        <v>2463</v>
      </c>
      <c r="AM303" s="281" t="s">
        <v>2</v>
      </c>
      <c r="AN303" s="281" t="s">
        <v>422</v>
      </c>
      <c r="AO303" s="281" t="s">
        <v>2484</v>
      </c>
      <c r="AP303" s="281" t="s">
        <v>2</v>
      </c>
      <c r="AQ303" s="302" t="s">
        <v>2</v>
      </c>
    </row>
    <row r="304" spans="1:43" ht="15" customHeight="1">
      <c r="A304" s="90"/>
      <c r="B304" s="84"/>
      <c r="C304" s="91"/>
      <c r="D304" s="301">
        <v>31391</v>
      </c>
      <c r="E304" s="283">
        <v>909803</v>
      </c>
      <c r="F304" s="273">
        <v>12291</v>
      </c>
      <c r="G304" s="274" t="s">
        <v>2418</v>
      </c>
      <c r="H304" s="274" t="s">
        <v>418</v>
      </c>
      <c r="I304" s="274" t="s">
        <v>9</v>
      </c>
      <c r="J304" s="274" t="s">
        <v>403</v>
      </c>
      <c r="K304" s="275">
        <v>0.375</v>
      </c>
      <c r="L304" s="275">
        <v>0.63888888888888895</v>
      </c>
      <c r="M304" s="275">
        <v>0.2638888888888889</v>
      </c>
      <c r="N304" s="275">
        <v>0.4236111111111111</v>
      </c>
      <c r="O304" s="275">
        <v>0.49305555555555558</v>
      </c>
      <c r="P304" s="275">
        <v>0.59027777777777779</v>
      </c>
      <c r="Q304" s="276">
        <v>42340</v>
      </c>
      <c r="R304" s="284" t="s">
        <v>72</v>
      </c>
      <c r="S304" s="276">
        <v>42362</v>
      </c>
      <c r="T304" s="284">
        <v>29</v>
      </c>
      <c r="U304" s="274" t="s">
        <v>2218</v>
      </c>
      <c r="V304" s="276">
        <v>42381</v>
      </c>
      <c r="W304" s="276">
        <v>42381</v>
      </c>
      <c r="X304" s="276" t="s">
        <v>2</v>
      </c>
      <c r="Y304" s="274" t="s">
        <v>2</v>
      </c>
      <c r="Z304" s="274" t="s">
        <v>2</v>
      </c>
      <c r="AA304" s="274" t="s">
        <v>2</v>
      </c>
      <c r="AB304" s="276" t="s">
        <v>2</v>
      </c>
      <c r="AC304" s="274" t="s">
        <v>2248</v>
      </c>
      <c r="AD304" s="274" t="s">
        <v>2508</v>
      </c>
      <c r="AE304" s="276">
        <v>35719</v>
      </c>
      <c r="AF304" s="274" t="s">
        <v>2194</v>
      </c>
      <c r="AG304" s="274" t="s">
        <v>775</v>
      </c>
      <c r="AH304" s="274" t="s">
        <v>2197</v>
      </c>
      <c r="AI304" s="274" t="s">
        <v>89</v>
      </c>
      <c r="AJ304" s="281">
        <v>24211</v>
      </c>
      <c r="AK304" s="281" t="s">
        <v>2443</v>
      </c>
      <c r="AL304" s="281" t="s">
        <v>2466</v>
      </c>
      <c r="AM304" s="281" t="s">
        <v>2</v>
      </c>
      <c r="AN304" s="281" t="s">
        <v>422</v>
      </c>
      <c r="AO304" s="281" t="s">
        <v>2487</v>
      </c>
      <c r="AP304" s="281" t="s">
        <v>2</v>
      </c>
      <c r="AQ304" s="302" t="s">
        <v>2</v>
      </c>
    </row>
    <row r="305" spans="1:43" ht="15" customHeight="1">
      <c r="A305" s="90"/>
      <c r="B305" s="84"/>
      <c r="C305" s="91"/>
      <c r="D305" s="301">
        <v>30179</v>
      </c>
      <c r="E305" s="283">
        <v>873185</v>
      </c>
      <c r="F305" s="273">
        <v>17032</v>
      </c>
      <c r="G305" s="274" t="s">
        <v>334</v>
      </c>
      <c r="H305" s="274" t="s">
        <v>418</v>
      </c>
      <c r="I305" s="274" t="s">
        <v>9</v>
      </c>
      <c r="J305" s="274" t="s">
        <v>403</v>
      </c>
      <c r="K305" s="275">
        <v>0.375</v>
      </c>
      <c r="L305" s="275">
        <v>0.71666666666666667</v>
      </c>
      <c r="M305" s="275">
        <v>0.34166666666666662</v>
      </c>
      <c r="N305" s="275">
        <v>0.41666666666666669</v>
      </c>
      <c r="O305" s="275">
        <v>0.52777777777777779</v>
      </c>
      <c r="P305" s="275">
        <v>0.65972222222222221</v>
      </c>
      <c r="Q305" s="276">
        <v>42044</v>
      </c>
      <c r="R305" s="284" t="s">
        <v>72</v>
      </c>
      <c r="S305" s="276">
        <v>42068</v>
      </c>
      <c r="T305" s="284">
        <v>323</v>
      </c>
      <c r="U305" s="274" t="s">
        <v>2218</v>
      </c>
      <c r="V305" s="276">
        <v>42375</v>
      </c>
      <c r="W305" s="276">
        <v>42375</v>
      </c>
      <c r="X305" s="276" t="s">
        <v>2</v>
      </c>
      <c r="Y305" s="274" t="s">
        <v>2246</v>
      </c>
      <c r="Z305" s="274" t="s">
        <v>2</v>
      </c>
      <c r="AA305" s="274" t="s">
        <v>2</v>
      </c>
      <c r="AB305" s="276" t="s">
        <v>2</v>
      </c>
      <c r="AC305" s="274" t="s">
        <v>2248</v>
      </c>
      <c r="AD305" s="274" t="s">
        <v>769</v>
      </c>
      <c r="AE305" s="276">
        <v>33749</v>
      </c>
      <c r="AF305" s="274" t="s">
        <v>2194</v>
      </c>
      <c r="AG305" s="274" t="s">
        <v>775</v>
      </c>
      <c r="AH305" s="274" t="s">
        <v>2197</v>
      </c>
      <c r="AI305" s="274" t="s">
        <v>89</v>
      </c>
      <c r="AJ305" s="281">
        <v>810237</v>
      </c>
      <c r="AK305" s="281" t="s">
        <v>1012</v>
      </c>
      <c r="AL305" s="281" t="s">
        <v>661</v>
      </c>
      <c r="AM305" s="281" t="s">
        <v>2</v>
      </c>
      <c r="AN305" s="281" t="s">
        <v>422</v>
      </c>
      <c r="AO305" s="281" t="s">
        <v>2616</v>
      </c>
      <c r="AP305" s="281" t="s">
        <v>2</v>
      </c>
      <c r="AQ305" s="302" t="s">
        <v>2</v>
      </c>
    </row>
    <row r="306" spans="1:43" ht="15" customHeight="1">
      <c r="A306" s="90"/>
      <c r="B306" s="84"/>
      <c r="C306" s="91"/>
      <c r="D306" s="301">
        <v>31401</v>
      </c>
      <c r="E306" s="283">
        <v>909814</v>
      </c>
      <c r="F306" s="273">
        <v>12298</v>
      </c>
      <c r="G306" s="274" t="s">
        <v>2425</v>
      </c>
      <c r="H306" s="274" t="s">
        <v>417</v>
      </c>
      <c r="I306" s="274" t="s">
        <v>9</v>
      </c>
      <c r="J306" s="274" t="s">
        <v>403</v>
      </c>
      <c r="K306" s="275">
        <v>0.59722222222222221</v>
      </c>
      <c r="L306" s="275">
        <v>0.86111111111111116</v>
      </c>
      <c r="M306" s="275">
        <v>0.2638888888888889</v>
      </c>
      <c r="N306" s="275">
        <v>0.65277777777777779</v>
      </c>
      <c r="O306" s="275">
        <v>0.70833333333333337</v>
      </c>
      <c r="P306" s="275">
        <v>0.80555555555555547</v>
      </c>
      <c r="Q306" s="276">
        <v>42340</v>
      </c>
      <c r="R306" s="284" t="s">
        <v>72</v>
      </c>
      <c r="S306" s="276">
        <v>42362</v>
      </c>
      <c r="T306" s="284">
        <v>29</v>
      </c>
      <c r="U306" s="274" t="s">
        <v>2218</v>
      </c>
      <c r="V306" s="276">
        <v>42374</v>
      </c>
      <c r="W306" s="276">
        <v>42374</v>
      </c>
      <c r="X306" s="276" t="s">
        <v>2</v>
      </c>
      <c r="Y306" s="274" t="s">
        <v>2246</v>
      </c>
      <c r="Z306" s="274" t="s">
        <v>2</v>
      </c>
      <c r="AA306" s="274" t="s">
        <v>2</v>
      </c>
      <c r="AB306" s="276" t="s">
        <v>2</v>
      </c>
      <c r="AC306" s="274" t="s">
        <v>2248</v>
      </c>
      <c r="AD306" s="274" t="s">
        <v>2510</v>
      </c>
      <c r="AE306" s="276">
        <v>33711</v>
      </c>
      <c r="AF306" s="274" t="s">
        <v>2190</v>
      </c>
      <c r="AG306" s="274" t="s">
        <v>775</v>
      </c>
      <c r="AH306" s="274" t="s">
        <v>2197</v>
      </c>
      <c r="AI306" s="274" t="s">
        <v>89</v>
      </c>
      <c r="AJ306" s="281">
        <v>24215</v>
      </c>
      <c r="AK306" s="281" t="s">
        <v>2445</v>
      </c>
      <c r="AL306" s="281" t="s">
        <v>2468</v>
      </c>
      <c r="AM306" s="281" t="s">
        <v>2</v>
      </c>
      <c r="AN306" s="281" t="s">
        <v>422</v>
      </c>
      <c r="AO306" s="281" t="s">
        <v>2489</v>
      </c>
      <c r="AP306" s="281" t="s">
        <v>2</v>
      </c>
      <c r="AQ306" s="302" t="s">
        <v>2</v>
      </c>
    </row>
    <row r="307" spans="1:43" ht="15" customHeight="1">
      <c r="A307" s="90"/>
      <c r="B307" s="84"/>
      <c r="C307" s="91"/>
      <c r="D307" s="301">
        <v>29839</v>
      </c>
      <c r="E307" s="283">
        <v>868153</v>
      </c>
      <c r="F307" s="273">
        <v>12047</v>
      </c>
      <c r="G307" s="274" t="s">
        <v>234</v>
      </c>
      <c r="H307" s="274" t="s">
        <v>416</v>
      </c>
      <c r="I307" s="274" t="s">
        <v>9</v>
      </c>
      <c r="J307" s="274" t="s">
        <v>398</v>
      </c>
      <c r="K307" s="275">
        <v>0.39583333333333331</v>
      </c>
      <c r="L307" s="275">
        <v>0.65972222222222232</v>
      </c>
      <c r="M307" s="275">
        <v>0.2638888888888889</v>
      </c>
      <c r="N307" s="275">
        <v>0.45833333333333331</v>
      </c>
      <c r="O307" s="275">
        <v>0.52777777777777779</v>
      </c>
      <c r="P307" s="275">
        <v>0.59027777777777779</v>
      </c>
      <c r="Q307" s="276">
        <v>41983</v>
      </c>
      <c r="R307" s="284" t="s">
        <v>72</v>
      </c>
      <c r="S307" s="276">
        <v>42009</v>
      </c>
      <c r="T307" s="284">
        <v>389</v>
      </c>
      <c r="U307" s="274" t="s">
        <v>2218</v>
      </c>
      <c r="V307" s="276">
        <v>42391</v>
      </c>
      <c r="W307" s="276">
        <v>42391</v>
      </c>
      <c r="X307" s="276" t="s">
        <v>2</v>
      </c>
      <c r="Y307" s="274" t="s">
        <v>2246</v>
      </c>
      <c r="Z307" s="274" t="s">
        <v>2</v>
      </c>
      <c r="AA307" s="274" t="s">
        <v>2</v>
      </c>
      <c r="AB307" s="276" t="s">
        <v>2</v>
      </c>
      <c r="AC307" s="274" t="s">
        <v>1257</v>
      </c>
      <c r="AD307" s="274" t="s">
        <v>736</v>
      </c>
      <c r="AE307" s="276">
        <v>35173</v>
      </c>
      <c r="AF307" s="274" t="s">
        <v>2188</v>
      </c>
      <c r="AG307" s="274" t="s">
        <v>775</v>
      </c>
      <c r="AH307" s="274" t="s">
        <v>2197</v>
      </c>
      <c r="AI307" s="274" t="s">
        <v>89</v>
      </c>
      <c r="AJ307" s="281">
        <v>810307</v>
      </c>
      <c r="AK307" s="281" t="s">
        <v>917</v>
      </c>
      <c r="AL307" s="281" t="s">
        <v>566</v>
      </c>
      <c r="AM307" s="281" t="s">
        <v>2</v>
      </c>
      <c r="AN307" s="281" t="s">
        <v>422</v>
      </c>
      <c r="AO307" s="281" t="s">
        <v>2531</v>
      </c>
      <c r="AP307" s="281" t="s">
        <v>2</v>
      </c>
      <c r="AQ307" s="302" t="s">
        <v>2</v>
      </c>
    </row>
    <row r="308" spans="1:43" ht="15" customHeight="1">
      <c r="A308" s="90"/>
      <c r="B308" s="84"/>
      <c r="C308" s="91"/>
      <c r="D308" s="301">
        <v>27200</v>
      </c>
      <c r="E308" s="283">
        <v>827425</v>
      </c>
      <c r="F308" s="273">
        <v>12463</v>
      </c>
      <c r="G308" s="274" t="s">
        <v>171</v>
      </c>
      <c r="H308" s="274" t="s">
        <v>416</v>
      </c>
      <c r="I308" s="274" t="s">
        <v>9</v>
      </c>
      <c r="J308" s="274" t="s">
        <v>398</v>
      </c>
      <c r="K308" s="275">
        <v>0.39583333333333331</v>
      </c>
      <c r="L308" s="275">
        <v>0.73749999999999993</v>
      </c>
      <c r="M308" s="275">
        <v>0.34166666666666662</v>
      </c>
      <c r="N308" s="275">
        <v>0.4513888888888889</v>
      </c>
      <c r="O308" s="275">
        <v>0.54166666666666663</v>
      </c>
      <c r="P308" s="275">
        <v>0.68055555555555547</v>
      </c>
      <c r="Q308" s="276">
        <v>41620</v>
      </c>
      <c r="R308" s="284" t="s">
        <v>72</v>
      </c>
      <c r="S308" s="276">
        <v>41653</v>
      </c>
      <c r="T308" s="284">
        <v>748</v>
      </c>
      <c r="U308" s="274" t="s">
        <v>2218</v>
      </c>
      <c r="V308" s="276">
        <v>42391</v>
      </c>
      <c r="W308" s="276">
        <v>42391</v>
      </c>
      <c r="X308" s="276" t="s">
        <v>2</v>
      </c>
      <c r="Y308" s="274" t="s">
        <v>2246</v>
      </c>
      <c r="Z308" s="274" t="s">
        <v>2</v>
      </c>
      <c r="AA308" s="274" t="s">
        <v>2</v>
      </c>
      <c r="AB308" s="276" t="s">
        <v>2</v>
      </c>
      <c r="AC308" s="274" t="s">
        <v>1257</v>
      </c>
      <c r="AD308" s="277" t="s">
        <v>2</v>
      </c>
      <c r="AE308" s="276" t="s">
        <v>2</v>
      </c>
      <c r="AF308" s="274" t="s">
        <v>2</v>
      </c>
      <c r="AG308" s="274" t="s">
        <v>775</v>
      </c>
      <c r="AH308" s="274" t="s">
        <v>2197</v>
      </c>
      <c r="AI308" s="274" t="s">
        <v>89</v>
      </c>
      <c r="AJ308" s="281">
        <v>810121</v>
      </c>
      <c r="AK308" s="152" t="s">
        <v>856</v>
      </c>
      <c r="AL308" s="152" t="s">
        <v>504</v>
      </c>
      <c r="AM308" s="152" t="s">
        <v>2</v>
      </c>
      <c r="AN308" s="152" t="s">
        <v>422</v>
      </c>
      <c r="AO308" s="152" t="s">
        <v>1143</v>
      </c>
      <c r="AP308" s="152" t="s">
        <v>1249</v>
      </c>
      <c r="AQ308" s="302" t="s">
        <v>2</v>
      </c>
    </row>
    <row r="309" spans="1:43" ht="15" customHeight="1">
      <c r="A309" s="90"/>
      <c r="B309" s="84"/>
      <c r="C309" s="91"/>
      <c r="D309" s="301">
        <v>29303</v>
      </c>
      <c r="E309" s="283">
        <v>858681</v>
      </c>
      <c r="F309" s="273">
        <v>17001</v>
      </c>
      <c r="G309" s="274" t="s">
        <v>198</v>
      </c>
      <c r="H309" s="274" t="s">
        <v>415</v>
      </c>
      <c r="I309" s="274" t="s">
        <v>9</v>
      </c>
      <c r="J309" s="274" t="s">
        <v>398</v>
      </c>
      <c r="K309" s="275">
        <v>0.375</v>
      </c>
      <c r="L309" s="275">
        <v>0.63888888888888895</v>
      </c>
      <c r="M309" s="275">
        <v>0.2638888888888889</v>
      </c>
      <c r="N309" s="275">
        <v>0.41666666666666669</v>
      </c>
      <c r="O309" s="275">
        <v>0.49305555555555558</v>
      </c>
      <c r="P309" s="275">
        <v>0.57638888888888895</v>
      </c>
      <c r="Q309" s="276">
        <v>41918</v>
      </c>
      <c r="R309" s="284" t="s">
        <v>72</v>
      </c>
      <c r="S309" s="276">
        <v>41944</v>
      </c>
      <c r="T309" s="284">
        <v>474</v>
      </c>
      <c r="U309" s="274" t="s">
        <v>2218</v>
      </c>
      <c r="V309" s="276">
        <v>42415</v>
      </c>
      <c r="W309" s="276">
        <v>42415</v>
      </c>
      <c r="X309" s="276" t="s">
        <v>2</v>
      </c>
      <c r="Y309" s="274" t="s">
        <v>2246</v>
      </c>
      <c r="Z309" s="274" t="s">
        <v>2</v>
      </c>
      <c r="AA309" s="274" t="s">
        <v>2</v>
      </c>
      <c r="AB309" s="276" t="s">
        <v>2</v>
      </c>
      <c r="AC309" s="274" t="s">
        <v>1257</v>
      </c>
      <c r="AD309" s="274" t="s">
        <v>725</v>
      </c>
      <c r="AE309" s="276">
        <v>32053</v>
      </c>
      <c r="AF309" s="274" t="s">
        <v>2196</v>
      </c>
      <c r="AG309" s="274" t="s">
        <v>775</v>
      </c>
      <c r="AH309" s="274" t="s">
        <v>2197</v>
      </c>
      <c r="AI309" s="274" t="s">
        <v>89</v>
      </c>
      <c r="AJ309" s="281">
        <v>810122</v>
      </c>
      <c r="AK309" s="281" t="s">
        <v>882</v>
      </c>
      <c r="AL309" s="281" t="s">
        <v>531</v>
      </c>
      <c r="AM309" s="281" t="s">
        <v>2</v>
      </c>
      <c r="AN309" s="281" t="s">
        <v>2</v>
      </c>
      <c r="AO309" s="281" t="s">
        <v>2521</v>
      </c>
      <c r="AP309" s="281" t="s">
        <v>2</v>
      </c>
      <c r="AQ309" s="302" t="s">
        <v>2</v>
      </c>
    </row>
    <row r="310" spans="1:43" ht="15" customHeight="1">
      <c r="A310" s="90"/>
      <c r="B310" s="84"/>
      <c r="C310" s="91"/>
      <c r="D310" s="301">
        <v>31397</v>
      </c>
      <c r="E310" s="283">
        <v>909810</v>
      </c>
      <c r="F310" s="273">
        <v>12280</v>
      </c>
      <c r="G310" s="274" t="s">
        <v>2409</v>
      </c>
      <c r="H310" s="274" t="s">
        <v>420</v>
      </c>
      <c r="I310" s="274" t="s">
        <v>9</v>
      </c>
      <c r="J310" s="274" t="s">
        <v>398</v>
      </c>
      <c r="K310" s="275">
        <v>0.59722222222222221</v>
      </c>
      <c r="L310" s="275">
        <v>0.86111111111111116</v>
      </c>
      <c r="M310" s="275">
        <v>0.2638888888888889</v>
      </c>
      <c r="N310" s="275">
        <v>0.65277777777777779</v>
      </c>
      <c r="O310" s="275">
        <v>0.70833333333333337</v>
      </c>
      <c r="P310" s="275">
        <v>0.8125</v>
      </c>
      <c r="Q310" s="276">
        <v>42340</v>
      </c>
      <c r="R310" s="284" t="s">
        <v>72</v>
      </c>
      <c r="S310" s="276">
        <v>42362</v>
      </c>
      <c r="T310" s="284">
        <v>56</v>
      </c>
      <c r="U310" s="274" t="s">
        <v>2218</v>
      </c>
      <c r="V310" s="276">
        <v>42417</v>
      </c>
      <c r="W310" s="276">
        <v>42417</v>
      </c>
      <c r="X310" s="276" t="s">
        <v>2</v>
      </c>
      <c r="Y310" s="274" t="s">
        <v>2</v>
      </c>
      <c r="Z310" s="274" t="s">
        <v>2</v>
      </c>
      <c r="AA310" s="274" t="s">
        <v>2</v>
      </c>
      <c r="AB310" s="276" t="s">
        <v>2</v>
      </c>
      <c r="AC310" s="274" t="s">
        <v>1257</v>
      </c>
      <c r="AD310" s="274" t="s">
        <v>2501</v>
      </c>
      <c r="AE310" s="276">
        <v>29636</v>
      </c>
      <c r="AF310" s="274" t="s">
        <v>2192</v>
      </c>
      <c r="AG310" s="274" t="s">
        <v>775</v>
      </c>
      <c r="AH310" s="274" t="s">
        <v>2197</v>
      </c>
      <c r="AI310" s="274" t="s">
        <v>89</v>
      </c>
      <c r="AJ310" s="281">
        <v>24222</v>
      </c>
      <c r="AK310" s="281" t="s">
        <v>2433</v>
      </c>
      <c r="AL310" s="281" t="s">
        <v>2458</v>
      </c>
      <c r="AM310" s="281" t="s">
        <v>2</v>
      </c>
      <c r="AN310" s="281" t="s">
        <v>2</v>
      </c>
      <c r="AO310" s="281" t="s">
        <v>2479</v>
      </c>
      <c r="AP310" s="281" t="s">
        <v>2</v>
      </c>
      <c r="AQ310" s="302" t="s">
        <v>2</v>
      </c>
    </row>
    <row r="311" spans="1:43" ht="15.75" customHeight="1">
      <c r="A311" s="90"/>
      <c r="B311" s="84"/>
      <c r="C311" s="91"/>
      <c r="D311" s="301">
        <v>31434</v>
      </c>
      <c r="E311" s="283">
        <v>911884</v>
      </c>
      <c r="F311" s="273">
        <v>17099</v>
      </c>
      <c r="G311" s="274" t="s">
        <v>2640</v>
      </c>
      <c r="H311" s="274" t="s">
        <v>417</v>
      </c>
      <c r="I311" s="274" t="s">
        <v>9</v>
      </c>
      <c r="J311" s="274" t="s">
        <v>403</v>
      </c>
      <c r="K311" s="275">
        <v>0.625</v>
      </c>
      <c r="L311" s="275">
        <v>0.88888888888888884</v>
      </c>
      <c r="M311" s="275">
        <v>0.2638888888888889</v>
      </c>
      <c r="N311" s="275">
        <v>0.66666666666666663</v>
      </c>
      <c r="O311" s="275">
        <v>0.72222222222222221</v>
      </c>
      <c r="P311" s="275">
        <v>0.8125</v>
      </c>
      <c r="Q311" s="276">
        <v>42373</v>
      </c>
      <c r="R311" s="284" t="s">
        <v>85</v>
      </c>
      <c r="S311" s="276">
        <v>42401</v>
      </c>
      <c r="T311" s="284">
        <v>17</v>
      </c>
      <c r="U311" s="274" t="s">
        <v>2218</v>
      </c>
      <c r="V311" s="276">
        <v>42417</v>
      </c>
      <c r="W311" s="276">
        <v>42417</v>
      </c>
      <c r="X311" s="276" t="s">
        <v>2</v>
      </c>
      <c r="Y311" s="274" t="s">
        <v>2245</v>
      </c>
      <c r="Z311" s="274" t="s">
        <v>2</v>
      </c>
      <c r="AA311" s="274" t="s">
        <v>2</v>
      </c>
      <c r="AB311" s="276" t="s">
        <v>2</v>
      </c>
      <c r="AC311" s="274" t="s">
        <v>2248</v>
      </c>
      <c r="AD311" s="274" t="s">
        <v>2</v>
      </c>
      <c r="AE311" s="276" t="s">
        <v>2</v>
      </c>
      <c r="AF311" s="274" t="s">
        <v>2</v>
      </c>
      <c r="AG311" s="274" t="s">
        <v>775</v>
      </c>
      <c r="AH311" s="274" t="s">
        <v>2197</v>
      </c>
      <c r="AI311" s="274" t="s">
        <v>89</v>
      </c>
      <c r="AJ311" s="281" t="s">
        <v>2</v>
      </c>
      <c r="AK311" s="281" t="s">
        <v>2649</v>
      </c>
      <c r="AL311" s="281" t="s">
        <v>2656</v>
      </c>
      <c r="AM311" s="281" t="s">
        <v>2</v>
      </c>
      <c r="AN311" s="281" t="s">
        <v>2</v>
      </c>
      <c r="AO311" s="281" t="s">
        <v>2664</v>
      </c>
      <c r="AP311" s="281" t="s">
        <v>2</v>
      </c>
      <c r="AQ311" s="302" t="s">
        <v>2</v>
      </c>
    </row>
    <row r="312" spans="1:43" ht="15" customHeight="1">
      <c r="A312" s="90"/>
      <c r="B312" s="84"/>
      <c r="C312" s="91"/>
      <c r="D312" s="301">
        <v>31205</v>
      </c>
      <c r="E312" s="283">
        <v>897656</v>
      </c>
      <c r="F312" s="273">
        <v>17160</v>
      </c>
      <c r="G312" s="274" t="s">
        <v>2339</v>
      </c>
      <c r="H312" s="274" t="s">
        <v>417</v>
      </c>
      <c r="I312" s="274" t="s">
        <v>9</v>
      </c>
      <c r="J312" s="274" t="s">
        <v>403</v>
      </c>
      <c r="K312" s="275">
        <v>0.65277777777777779</v>
      </c>
      <c r="L312" s="275">
        <v>0.91666666666666663</v>
      </c>
      <c r="M312" s="275">
        <v>0.2638888888888889</v>
      </c>
      <c r="N312" s="275">
        <v>0.69444444444444453</v>
      </c>
      <c r="O312" s="275">
        <v>0.76388888888888884</v>
      </c>
      <c r="P312" s="275">
        <v>0.84027777777777779</v>
      </c>
      <c r="Q312" s="276">
        <v>42256</v>
      </c>
      <c r="R312" s="284" t="s">
        <v>72</v>
      </c>
      <c r="S312" s="276">
        <v>42282</v>
      </c>
      <c r="T312" s="284">
        <v>136</v>
      </c>
      <c r="U312" s="274" t="s">
        <v>2218</v>
      </c>
      <c r="V312" s="276">
        <v>42411</v>
      </c>
      <c r="W312" s="276">
        <v>42411</v>
      </c>
      <c r="X312" s="276" t="s">
        <v>2</v>
      </c>
      <c r="Y312" s="274" t="s">
        <v>2245</v>
      </c>
      <c r="Z312" s="274" t="s">
        <v>2</v>
      </c>
      <c r="AA312" s="274" t="s">
        <v>2</v>
      </c>
      <c r="AB312" s="276" t="s">
        <v>2</v>
      </c>
      <c r="AC312" s="274" t="s">
        <v>2248</v>
      </c>
      <c r="AD312" s="274" t="s">
        <v>2</v>
      </c>
      <c r="AE312" s="276">
        <v>33793</v>
      </c>
      <c r="AF312" s="274" t="s">
        <v>2</v>
      </c>
      <c r="AG312" s="274" t="s">
        <v>775</v>
      </c>
      <c r="AH312" s="274" t="s">
        <v>2197</v>
      </c>
      <c r="AI312" s="274" t="s">
        <v>89</v>
      </c>
      <c r="AJ312" s="281">
        <v>23697</v>
      </c>
      <c r="AK312" s="281" t="s">
        <v>2376</v>
      </c>
      <c r="AL312" s="281" t="s">
        <v>2391</v>
      </c>
      <c r="AM312" s="281" t="s">
        <v>2</v>
      </c>
      <c r="AN312" s="281" t="s">
        <v>2</v>
      </c>
      <c r="AO312" s="281" t="s">
        <v>2390</v>
      </c>
      <c r="AP312" s="281" t="s">
        <v>2</v>
      </c>
      <c r="AQ312" s="302" t="s">
        <v>2</v>
      </c>
    </row>
    <row r="313" spans="1:43" ht="15" customHeight="1">
      <c r="A313" s="90"/>
      <c r="B313" s="84"/>
      <c r="C313" s="91"/>
      <c r="D313" s="301">
        <v>20673</v>
      </c>
      <c r="E313" s="283">
        <v>760823</v>
      </c>
      <c r="F313" s="273">
        <v>12433</v>
      </c>
      <c r="G313" s="274" t="s">
        <v>422</v>
      </c>
      <c r="H313" s="274" t="s">
        <v>775</v>
      </c>
      <c r="I313" s="274" t="s">
        <v>16</v>
      </c>
      <c r="J313" s="274" t="s">
        <v>1360</v>
      </c>
      <c r="K313" s="275">
        <v>0.375</v>
      </c>
      <c r="L313" s="275">
        <v>0.75</v>
      </c>
      <c r="M313" s="275">
        <v>0.375</v>
      </c>
      <c r="N313" s="275" t="s">
        <v>2</v>
      </c>
      <c r="O313" s="275" t="s">
        <v>2</v>
      </c>
      <c r="P313" s="275" t="s">
        <v>2</v>
      </c>
      <c r="Q313" s="276">
        <v>40947</v>
      </c>
      <c r="R313" s="284" t="s">
        <v>72</v>
      </c>
      <c r="S313" s="276">
        <v>1471</v>
      </c>
      <c r="T313" s="284" t="s">
        <v>2</v>
      </c>
      <c r="U313" s="274" t="s">
        <v>2240</v>
      </c>
      <c r="V313" s="276">
        <v>42401</v>
      </c>
      <c r="W313" s="276">
        <v>42401</v>
      </c>
      <c r="X313" s="276" t="s">
        <v>2</v>
      </c>
      <c r="Y313" s="274" t="s">
        <v>2</v>
      </c>
      <c r="Z313" s="274" t="s">
        <v>89</v>
      </c>
      <c r="AA313" s="274" t="s">
        <v>2389</v>
      </c>
      <c r="AB313" s="276">
        <v>42401</v>
      </c>
      <c r="AC313" s="274" t="s">
        <v>2</v>
      </c>
      <c r="AD313" s="274">
        <v>5529080</v>
      </c>
      <c r="AE313" s="276">
        <v>28381</v>
      </c>
      <c r="AF313" s="274" t="s">
        <v>2191</v>
      </c>
      <c r="AG313" s="274" t="s">
        <v>775</v>
      </c>
      <c r="AH313" s="274" t="s">
        <v>2197</v>
      </c>
      <c r="AI313" s="274" t="s">
        <v>89</v>
      </c>
      <c r="AJ313" s="281" t="s">
        <v>2</v>
      </c>
      <c r="AK313" s="281" t="s">
        <v>1400</v>
      </c>
      <c r="AL313" s="281" t="s">
        <v>1375</v>
      </c>
      <c r="AM313" s="281" t="s">
        <v>2</v>
      </c>
      <c r="AN313" s="281" t="s">
        <v>2</v>
      </c>
      <c r="AO313" s="281" t="s">
        <v>2</v>
      </c>
      <c r="AP313" s="281" t="s">
        <v>2</v>
      </c>
      <c r="AQ313" s="302" t="s">
        <v>2</v>
      </c>
    </row>
    <row r="314" spans="1:43" ht="15" customHeight="1">
      <c r="A314" s="90"/>
      <c r="B314" s="84"/>
      <c r="C314" s="91"/>
      <c r="D314" s="301">
        <v>30464</v>
      </c>
      <c r="E314" s="283">
        <v>876677</v>
      </c>
      <c r="F314" s="273">
        <v>17024</v>
      </c>
      <c r="G314" s="274" t="s">
        <v>219</v>
      </c>
      <c r="H314" s="274" t="s">
        <v>420</v>
      </c>
      <c r="I314" s="274" t="s">
        <v>9</v>
      </c>
      <c r="J314" s="274" t="s">
        <v>398</v>
      </c>
      <c r="K314" s="275">
        <v>0.59722222222222221</v>
      </c>
      <c r="L314" s="275">
        <v>0.86111111111111116</v>
      </c>
      <c r="M314" s="275">
        <v>0.34166666666666662</v>
      </c>
      <c r="N314" s="275">
        <v>0.66666666666666663</v>
      </c>
      <c r="O314" s="275">
        <v>0.73611111111111116</v>
      </c>
      <c r="P314" s="275">
        <v>0.80555555555555547</v>
      </c>
      <c r="Q314" s="276">
        <v>42079</v>
      </c>
      <c r="R314" s="284" t="s">
        <v>72</v>
      </c>
      <c r="S314" s="276">
        <v>42100</v>
      </c>
      <c r="T314" s="284">
        <v>361</v>
      </c>
      <c r="U314" s="274" t="s">
        <v>2218</v>
      </c>
      <c r="V314" s="276">
        <v>42418</v>
      </c>
      <c r="W314" s="276">
        <v>42418</v>
      </c>
      <c r="X314" s="276" t="s">
        <v>2</v>
      </c>
      <c r="Y314" s="274" t="s">
        <v>2246</v>
      </c>
      <c r="Z314" s="274" t="s">
        <v>2</v>
      </c>
      <c r="AA314" s="274" t="s">
        <v>2</v>
      </c>
      <c r="AB314" s="276" t="s">
        <v>2</v>
      </c>
      <c r="AC314" s="274" t="s">
        <v>2</v>
      </c>
      <c r="AD314" s="274" t="s">
        <v>2</v>
      </c>
      <c r="AE314" s="276" t="s">
        <v>731</v>
      </c>
      <c r="AF314" s="274" t="s">
        <v>2</v>
      </c>
      <c r="AG314" s="274" t="s">
        <v>2</v>
      </c>
      <c r="AH314" s="274" t="s">
        <v>2197</v>
      </c>
      <c r="AI314" s="274" t="s">
        <v>89</v>
      </c>
      <c r="AJ314" s="281" t="s">
        <v>2</v>
      </c>
      <c r="AK314" s="281" t="s">
        <v>902</v>
      </c>
      <c r="AL314" s="281" t="s">
        <v>2</v>
      </c>
      <c r="AM314" s="281" t="s">
        <v>2</v>
      </c>
      <c r="AN314" s="281" t="s">
        <v>2</v>
      </c>
      <c r="AO314" s="281" t="s">
        <v>2</v>
      </c>
      <c r="AP314" s="281" t="s">
        <v>2</v>
      </c>
      <c r="AQ314" s="302" t="s">
        <v>2</v>
      </c>
    </row>
    <row r="315" spans="1:43" ht="15" customHeight="1">
      <c r="A315" s="90"/>
      <c r="B315" s="84"/>
      <c r="C315" s="91"/>
      <c r="D315" s="301">
        <v>29851</v>
      </c>
      <c r="E315" s="283">
        <v>868166</v>
      </c>
      <c r="F315" s="273">
        <v>12576</v>
      </c>
      <c r="G315" s="274" t="s">
        <v>173</v>
      </c>
      <c r="H315" s="274" t="s">
        <v>418</v>
      </c>
      <c r="I315" s="274" t="s">
        <v>9</v>
      </c>
      <c r="J315" s="274" t="s">
        <v>396</v>
      </c>
      <c r="K315" s="275">
        <v>0.375</v>
      </c>
      <c r="L315" s="275">
        <v>0.71666666666666667</v>
      </c>
      <c r="M315" s="275">
        <v>0.34166666666666662</v>
      </c>
      <c r="N315" s="275" t="s">
        <v>2</v>
      </c>
      <c r="O315" s="275" t="s">
        <v>2</v>
      </c>
      <c r="P315" s="275" t="s">
        <v>2</v>
      </c>
      <c r="Q315" s="276">
        <v>41983</v>
      </c>
      <c r="R315" s="284" t="s">
        <v>72</v>
      </c>
      <c r="S315" s="276">
        <v>42009</v>
      </c>
      <c r="T315" s="284">
        <v>413</v>
      </c>
      <c r="U315" s="274" t="s">
        <v>2218</v>
      </c>
      <c r="V315" s="276">
        <v>42422</v>
      </c>
      <c r="W315" s="276" t="s">
        <v>2</v>
      </c>
      <c r="X315" s="276" t="s">
        <v>2</v>
      </c>
      <c r="Y315" s="274" t="s">
        <v>2246</v>
      </c>
      <c r="Z315" s="274" t="s">
        <v>2</v>
      </c>
      <c r="AA315" s="274" t="s">
        <v>2</v>
      </c>
      <c r="AB315" s="276" t="s">
        <v>2</v>
      </c>
      <c r="AC315" s="274">
        <v>264</v>
      </c>
      <c r="AD315" s="274">
        <v>5171660</v>
      </c>
      <c r="AE315" s="276" t="s">
        <v>2</v>
      </c>
      <c r="AF315" s="274" t="s">
        <v>2191</v>
      </c>
      <c r="AG315" s="274" t="s">
        <v>775</v>
      </c>
      <c r="AH315" s="274" t="s">
        <v>2197</v>
      </c>
      <c r="AI315" s="274" t="s">
        <v>89</v>
      </c>
      <c r="AJ315" s="281" t="s">
        <v>2</v>
      </c>
      <c r="AK315" s="281" t="s">
        <v>858</v>
      </c>
      <c r="AL315" s="281" t="s">
        <v>506</v>
      </c>
      <c r="AM315" s="281" t="s">
        <v>2</v>
      </c>
      <c r="AN315" s="281" t="s">
        <v>2</v>
      </c>
      <c r="AO315" s="281" t="s">
        <v>1144</v>
      </c>
      <c r="AP315" s="281" t="s">
        <v>1249</v>
      </c>
      <c r="AQ315" s="302" t="s">
        <v>2</v>
      </c>
    </row>
    <row r="316" spans="1:43" ht="15" customHeight="1">
      <c r="A316" s="90"/>
      <c r="B316" s="84"/>
      <c r="C316" s="91"/>
      <c r="D316" s="301">
        <v>27547</v>
      </c>
      <c r="E316" s="283">
        <v>831338</v>
      </c>
      <c r="F316" s="273">
        <v>12272</v>
      </c>
      <c r="G316" s="274" t="s">
        <v>290</v>
      </c>
      <c r="H316" s="274" t="s">
        <v>424</v>
      </c>
      <c r="I316" s="274" t="s">
        <v>9</v>
      </c>
      <c r="J316" s="274" t="s">
        <v>401</v>
      </c>
      <c r="K316" s="275">
        <v>0.25</v>
      </c>
      <c r="L316" s="275">
        <v>0.59166666666666656</v>
      </c>
      <c r="M316" s="275">
        <v>0.34166666666666662</v>
      </c>
      <c r="N316" s="275" t="s">
        <v>2</v>
      </c>
      <c r="O316" s="275" t="s">
        <v>2</v>
      </c>
      <c r="P316" s="275" t="s">
        <v>2</v>
      </c>
      <c r="Q316" s="276">
        <v>41676</v>
      </c>
      <c r="R316" s="284" t="s">
        <v>72</v>
      </c>
      <c r="S316" s="276">
        <v>41705</v>
      </c>
      <c r="T316" s="284">
        <v>756</v>
      </c>
      <c r="U316" s="274" t="s">
        <v>2217</v>
      </c>
      <c r="V316" s="276">
        <v>42422</v>
      </c>
      <c r="W316" s="276">
        <v>42422</v>
      </c>
      <c r="X316" s="276" t="s">
        <v>2</v>
      </c>
      <c r="Y316" s="274" t="s">
        <v>2</v>
      </c>
      <c r="Z316" s="274" t="s">
        <v>2</v>
      </c>
      <c r="AA316" s="274" t="s">
        <v>2</v>
      </c>
      <c r="AB316" s="276" t="s">
        <v>2</v>
      </c>
      <c r="AC316" s="274" t="s">
        <v>2</v>
      </c>
      <c r="AD316" s="274" t="s">
        <v>2</v>
      </c>
      <c r="AE316" s="277" t="s">
        <v>756</v>
      </c>
      <c r="AF316" s="274" t="s">
        <v>2</v>
      </c>
      <c r="AG316" s="274" t="s">
        <v>2</v>
      </c>
      <c r="AH316" s="276" t="s">
        <v>2197</v>
      </c>
      <c r="AI316" s="274" t="s">
        <v>89</v>
      </c>
      <c r="AJ316" s="278" t="s">
        <v>2</v>
      </c>
      <c r="AK316" s="152" t="s">
        <v>970</v>
      </c>
      <c r="AL316" s="274" t="s">
        <v>2</v>
      </c>
      <c r="AM316" s="274" t="s">
        <v>2</v>
      </c>
      <c r="AN316" s="274" t="s">
        <v>2</v>
      </c>
      <c r="AO316" s="281" t="s">
        <v>2</v>
      </c>
      <c r="AP316" s="152" t="s">
        <v>2</v>
      </c>
      <c r="AQ316" s="302" t="s">
        <v>2</v>
      </c>
    </row>
    <row r="317" spans="1:43" ht="15" customHeight="1">
      <c r="A317" s="90"/>
      <c r="B317" s="84"/>
      <c r="C317" s="91"/>
      <c r="D317" s="301">
        <v>11661</v>
      </c>
      <c r="E317" s="283">
        <v>689676</v>
      </c>
      <c r="F317" s="273">
        <v>12378</v>
      </c>
      <c r="G317" s="274" t="s">
        <v>1337</v>
      </c>
      <c r="H317" s="274" t="s">
        <v>776</v>
      </c>
      <c r="I317" s="274" t="s">
        <v>9</v>
      </c>
      <c r="J317" s="274" t="s">
        <v>1359</v>
      </c>
      <c r="K317" s="275">
        <v>0.33333333333333331</v>
      </c>
      <c r="L317" s="275">
        <v>0.70833333333333337</v>
      </c>
      <c r="M317" s="275">
        <v>0.375</v>
      </c>
      <c r="N317" s="275" t="s">
        <v>2</v>
      </c>
      <c r="O317" s="275" t="s">
        <v>2</v>
      </c>
      <c r="P317" s="275" t="s">
        <v>2</v>
      </c>
      <c r="Q317" s="276">
        <v>40121</v>
      </c>
      <c r="R317" s="284" t="s">
        <v>72</v>
      </c>
      <c r="S317" s="276">
        <v>2305</v>
      </c>
      <c r="T317" s="284" t="s">
        <v>2</v>
      </c>
      <c r="U317" s="274" t="s">
        <v>2237</v>
      </c>
      <c r="V317" s="276">
        <v>42380</v>
      </c>
      <c r="W317" s="276">
        <v>42380</v>
      </c>
      <c r="X317" s="276" t="s">
        <v>2</v>
      </c>
      <c r="Y317" s="274" t="s">
        <v>2245</v>
      </c>
      <c r="Z317" s="274" t="s">
        <v>2</v>
      </c>
      <c r="AA317" s="274" t="s">
        <v>2</v>
      </c>
      <c r="AB317" s="276" t="s">
        <v>2</v>
      </c>
      <c r="AC317" s="274" t="s">
        <v>2</v>
      </c>
      <c r="AD317" s="274">
        <v>6434250</v>
      </c>
      <c r="AE317" s="276">
        <v>33205</v>
      </c>
      <c r="AF317" s="274" t="s">
        <v>2193</v>
      </c>
      <c r="AG317" s="274" t="s">
        <v>776</v>
      </c>
      <c r="AH317" s="274" t="s">
        <v>2197</v>
      </c>
      <c r="AI317" s="274" t="s">
        <v>89</v>
      </c>
      <c r="AJ317" s="281" t="s">
        <v>2</v>
      </c>
      <c r="AK317" s="281" t="s">
        <v>1395</v>
      </c>
      <c r="AL317" s="281" t="s">
        <v>1371</v>
      </c>
      <c r="AM317" s="281" t="s">
        <v>2</v>
      </c>
      <c r="AN317" s="281" t="s">
        <v>2</v>
      </c>
      <c r="AO317" s="281" t="s">
        <v>1419</v>
      </c>
      <c r="AP317" s="281" t="s">
        <v>2</v>
      </c>
      <c r="AQ317" s="302" t="s">
        <v>2</v>
      </c>
    </row>
    <row r="318" spans="1:43" ht="15" customHeight="1">
      <c r="A318" s="90"/>
      <c r="B318" s="84"/>
      <c r="C318" s="91"/>
      <c r="D318" s="301">
        <v>30171</v>
      </c>
      <c r="E318" s="283">
        <v>873176</v>
      </c>
      <c r="F318" s="273">
        <v>12592</v>
      </c>
      <c r="G318" s="274" t="s">
        <v>332</v>
      </c>
      <c r="H318" s="274" t="s">
        <v>418</v>
      </c>
      <c r="I318" s="274" t="s">
        <v>16</v>
      </c>
      <c r="J318" s="274" t="s">
        <v>403</v>
      </c>
      <c r="K318" s="275">
        <v>0.375</v>
      </c>
      <c r="L318" s="275">
        <v>0.71666666666666656</v>
      </c>
      <c r="M318" s="275">
        <v>0.34166666666666662</v>
      </c>
      <c r="N318" s="275">
        <v>0.4236111111111111</v>
      </c>
      <c r="O318" s="275">
        <v>0.51388888888888895</v>
      </c>
      <c r="P318" s="275">
        <v>0.66666666666666663</v>
      </c>
      <c r="Q318" s="276">
        <v>42044</v>
      </c>
      <c r="R318" s="284" t="s">
        <v>72</v>
      </c>
      <c r="S318" s="276">
        <v>42068</v>
      </c>
      <c r="T318" s="284">
        <v>361</v>
      </c>
      <c r="U318" s="274" t="s">
        <v>2218</v>
      </c>
      <c r="V318" s="276">
        <v>42429</v>
      </c>
      <c r="W318" s="276">
        <v>42429</v>
      </c>
      <c r="X318" s="276" t="s">
        <v>2</v>
      </c>
      <c r="Y318" s="274" t="s">
        <v>2</v>
      </c>
      <c r="Z318" s="274" t="s">
        <v>398</v>
      </c>
      <c r="AA318" s="274" t="s">
        <v>2714</v>
      </c>
      <c r="AB318" s="276">
        <v>42429</v>
      </c>
      <c r="AC318" s="274" t="s">
        <v>2248</v>
      </c>
      <c r="AD318" s="274" t="s">
        <v>768</v>
      </c>
      <c r="AE318" s="276">
        <v>32646</v>
      </c>
      <c r="AF318" s="274" t="s">
        <v>2192</v>
      </c>
      <c r="AG318" s="274" t="s">
        <v>775</v>
      </c>
      <c r="AH318" s="274" t="s">
        <v>2197</v>
      </c>
      <c r="AI318" s="274" t="s">
        <v>89</v>
      </c>
      <c r="AJ318" s="281">
        <v>810235</v>
      </c>
      <c r="AK318" s="281" t="s">
        <v>1010</v>
      </c>
      <c r="AL318" s="281" t="s">
        <v>659</v>
      </c>
      <c r="AM318" s="281" t="s">
        <v>2</v>
      </c>
      <c r="AN318" s="281" t="s">
        <v>2</v>
      </c>
      <c r="AO318" s="281" t="s">
        <v>2599</v>
      </c>
      <c r="AP318" s="281" t="s">
        <v>1249</v>
      </c>
      <c r="AQ318" s="302" t="s">
        <v>2</v>
      </c>
    </row>
    <row r="319" spans="1:43" ht="15" customHeight="1">
      <c r="B319" s="84" t="e">
        <f>IF(Production!B121="x","","x")</f>
        <v>#REF!</v>
      </c>
      <c r="C319" s="64"/>
      <c r="D319" s="301">
        <v>18315</v>
      </c>
      <c r="E319" s="283">
        <v>735275</v>
      </c>
      <c r="F319" s="273">
        <v>12539</v>
      </c>
      <c r="G319" s="274" t="s">
        <v>283</v>
      </c>
      <c r="H319" s="274" t="s">
        <v>424</v>
      </c>
      <c r="I319" s="274" t="s">
        <v>9</v>
      </c>
      <c r="J319" s="274" t="s">
        <v>401</v>
      </c>
      <c r="K319" s="275">
        <v>0.33333333333333331</v>
      </c>
      <c r="L319" s="275">
        <v>0.70833333333333337</v>
      </c>
      <c r="M319" s="275">
        <v>0.375</v>
      </c>
      <c r="N319" s="275" t="s">
        <v>2</v>
      </c>
      <c r="O319" s="275" t="s">
        <v>2</v>
      </c>
      <c r="P319" s="275" t="s">
        <v>2</v>
      </c>
      <c r="Q319" s="276">
        <v>40742</v>
      </c>
      <c r="R319" s="284" t="s">
        <v>72</v>
      </c>
      <c r="S319" s="276">
        <v>40765</v>
      </c>
      <c r="T319" s="284">
        <v>1696</v>
      </c>
      <c r="U319" s="274" t="s">
        <v>2217</v>
      </c>
      <c r="V319" s="276">
        <v>42425</v>
      </c>
      <c r="W319" s="276">
        <v>42425</v>
      </c>
      <c r="X319" s="276" t="s">
        <v>2</v>
      </c>
      <c r="Y319" s="274" t="s">
        <v>2</v>
      </c>
      <c r="Z319" s="274" t="s">
        <v>2</v>
      </c>
      <c r="AA319" s="274" t="s">
        <v>2</v>
      </c>
      <c r="AB319" s="276" t="s">
        <v>2</v>
      </c>
      <c r="AC319" s="274" t="s">
        <v>2</v>
      </c>
      <c r="AD319" s="274" t="s">
        <v>2</v>
      </c>
      <c r="AE319" s="277">
        <v>3633110</v>
      </c>
      <c r="AF319" s="274" t="s">
        <v>2</v>
      </c>
      <c r="AG319" s="274" t="s">
        <v>2</v>
      </c>
      <c r="AH319" s="276" t="s">
        <v>2197</v>
      </c>
      <c r="AI319" s="274" t="s">
        <v>2195</v>
      </c>
      <c r="AJ319" s="278" t="s">
        <v>2</v>
      </c>
      <c r="AK319" s="279" t="s">
        <v>2</v>
      </c>
      <c r="AL319" s="274" t="s">
        <v>775</v>
      </c>
      <c r="AM319" s="274" t="s">
        <v>68</v>
      </c>
      <c r="AN319" s="274" t="s">
        <v>89</v>
      </c>
      <c r="AO319" s="281" t="s">
        <v>2</v>
      </c>
      <c r="AP319" s="152" t="s">
        <v>963</v>
      </c>
      <c r="AQ319" s="302" t="s">
        <v>612</v>
      </c>
    </row>
    <row r="320" spans="1:43" ht="15" customHeight="1">
      <c r="B320" s="84" t="e">
        <f>IF(Production!B127="x","","x")</f>
        <v>#REF!</v>
      </c>
      <c r="C320" s="64"/>
      <c r="D320" s="301">
        <v>12289</v>
      </c>
      <c r="E320" s="283">
        <v>691711</v>
      </c>
      <c r="F320" s="273">
        <v>12391</v>
      </c>
      <c r="G320" s="274" t="s">
        <v>284</v>
      </c>
      <c r="H320" s="274" t="s">
        <v>424</v>
      </c>
      <c r="I320" s="274" t="s">
        <v>9</v>
      </c>
      <c r="J320" s="274" t="s">
        <v>401</v>
      </c>
      <c r="K320" s="275">
        <v>0.45833333333333331</v>
      </c>
      <c r="L320" s="275">
        <v>0.83333333333333337</v>
      </c>
      <c r="M320" s="275">
        <v>0.375</v>
      </c>
      <c r="N320" s="275" t="s">
        <v>2</v>
      </c>
      <c r="O320" s="275" t="s">
        <v>2</v>
      </c>
      <c r="P320" s="275" t="s">
        <v>2</v>
      </c>
      <c r="Q320" s="276">
        <v>40248</v>
      </c>
      <c r="R320" s="284" t="s">
        <v>72</v>
      </c>
      <c r="S320" s="276">
        <v>40271</v>
      </c>
      <c r="T320" s="284">
        <v>2190</v>
      </c>
      <c r="U320" s="274" t="s">
        <v>2217</v>
      </c>
      <c r="V320" s="276">
        <v>42424</v>
      </c>
      <c r="W320" s="276">
        <v>42425</v>
      </c>
      <c r="X320" s="276" t="s">
        <v>2</v>
      </c>
      <c r="Y320" s="274" t="s">
        <v>2245</v>
      </c>
      <c r="Z320" s="274" t="s">
        <v>2</v>
      </c>
      <c r="AA320" s="274" t="s">
        <v>2</v>
      </c>
      <c r="AB320" s="276" t="s">
        <v>2</v>
      </c>
      <c r="AC320" s="274" t="s">
        <v>2</v>
      </c>
      <c r="AD320" s="274" t="s">
        <v>2</v>
      </c>
      <c r="AE320" s="277">
        <v>7124365</v>
      </c>
      <c r="AF320" s="274" t="s">
        <v>2</v>
      </c>
      <c r="AG320" s="274" t="s">
        <v>2</v>
      </c>
      <c r="AH320" s="276" t="s">
        <v>2197</v>
      </c>
      <c r="AI320" s="274" t="s">
        <v>2196</v>
      </c>
      <c r="AJ320" s="278" t="s">
        <v>2</v>
      </c>
      <c r="AK320" s="279" t="s">
        <v>2</v>
      </c>
      <c r="AL320" s="274" t="s">
        <v>775</v>
      </c>
      <c r="AM320" s="274" t="s">
        <v>68</v>
      </c>
      <c r="AN320" s="274" t="s">
        <v>89</v>
      </c>
      <c r="AO320" s="281" t="s">
        <v>2</v>
      </c>
      <c r="AP320" s="152" t="s">
        <v>964</v>
      </c>
      <c r="AQ320" s="302" t="s">
        <v>613</v>
      </c>
    </row>
    <row r="321" spans="2:43" ht="15" customHeight="1">
      <c r="B321" s="84"/>
      <c r="C321" s="64"/>
      <c r="D321" s="301">
        <v>29309</v>
      </c>
      <c r="E321" s="283">
        <v>858687</v>
      </c>
      <c r="F321" s="273">
        <v>17146</v>
      </c>
      <c r="G321" s="274" t="s">
        <v>161</v>
      </c>
      <c r="H321" s="274" t="s">
        <v>412</v>
      </c>
      <c r="I321" s="274" t="s">
        <v>9</v>
      </c>
      <c r="J321" s="274" t="s">
        <v>395</v>
      </c>
      <c r="K321" s="275">
        <v>0.625</v>
      </c>
      <c r="L321" s="275">
        <v>0.88888888888888884</v>
      </c>
      <c r="M321" s="275">
        <v>0.2638888888888889</v>
      </c>
      <c r="N321" s="275" t="s">
        <v>2</v>
      </c>
      <c r="O321" s="275" t="s">
        <v>2</v>
      </c>
      <c r="P321" s="275" t="s">
        <v>2</v>
      </c>
      <c r="Q321" s="276">
        <v>41918</v>
      </c>
      <c r="R321" s="284" t="s">
        <v>72</v>
      </c>
      <c r="S321" s="276">
        <v>41944</v>
      </c>
      <c r="T321" s="284">
        <v>502</v>
      </c>
      <c r="U321" s="274" t="s">
        <v>2218</v>
      </c>
      <c r="V321" s="276">
        <v>42445</v>
      </c>
      <c r="W321" s="276">
        <v>42445</v>
      </c>
      <c r="X321" s="276" t="s">
        <v>2</v>
      </c>
      <c r="Y321" s="274" t="s">
        <v>2753</v>
      </c>
      <c r="Z321" s="274" t="s">
        <v>2</v>
      </c>
      <c r="AA321" s="274" t="s">
        <v>2</v>
      </c>
      <c r="AB321" s="276" t="s">
        <v>2</v>
      </c>
      <c r="AC321" s="274">
        <v>171</v>
      </c>
      <c r="AD321" s="274" t="s">
        <v>712</v>
      </c>
      <c r="AE321" s="277">
        <v>33643</v>
      </c>
      <c r="AF321" s="274" t="s">
        <v>2195</v>
      </c>
      <c r="AG321" s="274" t="s">
        <v>775</v>
      </c>
      <c r="AH321" s="276" t="s">
        <v>2197</v>
      </c>
      <c r="AI321" s="274" t="s">
        <v>89</v>
      </c>
      <c r="AJ321" s="278" t="s">
        <v>2</v>
      </c>
      <c r="AK321" s="279" t="s">
        <v>847</v>
      </c>
      <c r="AL321" s="274" t="s">
        <v>495</v>
      </c>
      <c r="AM321" s="274" t="s">
        <v>2</v>
      </c>
      <c r="AN321" s="274" t="s">
        <v>2</v>
      </c>
      <c r="AO321" s="281" t="s">
        <v>1135</v>
      </c>
      <c r="AP321" s="152" t="s">
        <v>1249</v>
      </c>
      <c r="AQ321" s="302" t="s">
        <v>2</v>
      </c>
    </row>
    <row r="322" spans="2:43" ht="15" customHeight="1">
      <c r="B322" s="84"/>
      <c r="C322" s="64"/>
      <c r="D322" s="301">
        <v>29204</v>
      </c>
      <c r="E322" s="283">
        <v>854906</v>
      </c>
      <c r="F322" s="273">
        <v>12783</v>
      </c>
      <c r="G322" s="274" t="s">
        <v>194</v>
      </c>
      <c r="H322" s="274" t="s">
        <v>415</v>
      </c>
      <c r="I322" s="274" t="s">
        <v>9</v>
      </c>
      <c r="J322" s="274" t="s">
        <v>398</v>
      </c>
      <c r="K322" s="275">
        <v>0.33333333333333331</v>
      </c>
      <c r="L322" s="275">
        <v>0.59722222222222221</v>
      </c>
      <c r="M322" s="275">
        <v>0.2638888888888889</v>
      </c>
      <c r="N322" s="275">
        <v>0.39583333333333331</v>
      </c>
      <c r="O322" s="275">
        <v>0.47916666666666669</v>
      </c>
      <c r="P322" s="275">
        <v>0.54861111111111105</v>
      </c>
      <c r="Q322" s="276">
        <v>41891</v>
      </c>
      <c r="R322" s="284" t="s">
        <v>72</v>
      </c>
      <c r="S322" s="276">
        <v>41918</v>
      </c>
      <c r="T322" s="284">
        <v>528</v>
      </c>
      <c r="U322" s="274" t="s">
        <v>2218</v>
      </c>
      <c r="V322" s="276">
        <v>42438</v>
      </c>
      <c r="W322" s="276">
        <v>42437</v>
      </c>
      <c r="X322" s="276" t="s">
        <v>2</v>
      </c>
      <c r="Y322" s="274" t="s">
        <v>2245</v>
      </c>
      <c r="Z322" s="274" t="s">
        <v>2</v>
      </c>
      <c r="AA322" s="274" t="s">
        <v>2</v>
      </c>
      <c r="AB322" s="276" t="s">
        <v>2</v>
      </c>
      <c r="AC322" s="274" t="s">
        <v>1257</v>
      </c>
      <c r="AD322" s="274" t="s">
        <v>2</v>
      </c>
      <c r="AE322" s="277">
        <v>33996</v>
      </c>
      <c r="AF322" s="274" t="s">
        <v>2</v>
      </c>
      <c r="AG322" s="274" t="s">
        <v>775</v>
      </c>
      <c r="AH322" s="276" t="s">
        <v>2197</v>
      </c>
      <c r="AI322" s="274" t="s">
        <v>89</v>
      </c>
      <c r="AJ322" s="278">
        <v>810150</v>
      </c>
      <c r="AK322" s="279" t="s">
        <v>879</v>
      </c>
      <c r="AL322" s="274" t="s">
        <v>527</v>
      </c>
      <c r="AM322" s="274" t="s">
        <v>2</v>
      </c>
      <c r="AN322" s="274" t="s">
        <v>2</v>
      </c>
      <c r="AO322" s="281" t="s">
        <v>1159</v>
      </c>
      <c r="AP322" s="152" t="s">
        <v>2</v>
      </c>
      <c r="AQ322" s="302" t="s">
        <v>2</v>
      </c>
    </row>
    <row r="323" spans="2:43" ht="15" customHeight="1">
      <c r="B323" s="84"/>
      <c r="C323" s="64"/>
      <c r="D323" s="301">
        <v>31509</v>
      </c>
      <c r="E323" s="283">
        <v>915109</v>
      </c>
      <c r="F323" s="273">
        <v>17018</v>
      </c>
      <c r="G323" s="274" t="s">
        <v>2677</v>
      </c>
      <c r="H323" s="274" t="s">
        <v>415</v>
      </c>
      <c r="I323" s="274" t="s">
        <v>9</v>
      </c>
      <c r="J323" s="274" t="s">
        <v>398</v>
      </c>
      <c r="K323" s="275">
        <v>0.41666666666666669</v>
      </c>
      <c r="L323" s="275">
        <v>0.68055555555555547</v>
      </c>
      <c r="M323" s="275">
        <v>0.2638888888888889</v>
      </c>
      <c r="N323" s="275">
        <v>0.47916666666666669</v>
      </c>
      <c r="O323" s="275">
        <v>0.53472222222222221</v>
      </c>
      <c r="P323" s="275">
        <v>0.625</v>
      </c>
      <c r="Q323" s="276">
        <v>42404</v>
      </c>
      <c r="R323" s="284" t="s">
        <v>84</v>
      </c>
      <c r="S323" s="276">
        <v>42429</v>
      </c>
      <c r="T323" s="284">
        <v>0</v>
      </c>
      <c r="U323" s="274" t="s">
        <v>2219</v>
      </c>
      <c r="V323" s="276">
        <v>42436</v>
      </c>
      <c r="W323" s="276">
        <v>42436</v>
      </c>
      <c r="X323" s="276" t="s">
        <v>2</v>
      </c>
      <c r="Y323" s="274" t="s">
        <v>2753</v>
      </c>
      <c r="Z323" s="274" t="s">
        <v>2</v>
      </c>
      <c r="AA323" s="274" t="s">
        <v>2</v>
      </c>
      <c r="AB323" s="276" t="s">
        <v>2</v>
      </c>
      <c r="AC323" s="274" t="s">
        <v>1257</v>
      </c>
      <c r="AD323" s="274" t="s">
        <v>2</v>
      </c>
      <c r="AE323" s="277" t="s">
        <v>2</v>
      </c>
      <c r="AF323" s="274" t="s">
        <v>2</v>
      </c>
      <c r="AG323" s="274" t="s">
        <v>775</v>
      </c>
      <c r="AH323" s="276" t="s">
        <v>2197</v>
      </c>
      <c r="AI323" s="274" t="s">
        <v>89</v>
      </c>
      <c r="AJ323" s="278">
        <v>810400</v>
      </c>
      <c r="AK323" s="279" t="s">
        <v>2708</v>
      </c>
      <c r="AL323" s="274" t="s">
        <v>2720</v>
      </c>
      <c r="AM323" s="274" t="s">
        <v>2</v>
      </c>
      <c r="AN323" s="274" t="s">
        <v>2</v>
      </c>
      <c r="AO323" s="281" t="s">
        <v>2721</v>
      </c>
      <c r="AP323" s="152" t="s">
        <v>2</v>
      </c>
      <c r="AQ323" s="302" t="s">
        <v>2</v>
      </c>
    </row>
    <row r="324" spans="2:43" ht="15" customHeight="1">
      <c r="B324" s="84"/>
      <c r="C324" s="64"/>
      <c r="D324" s="301">
        <v>31396</v>
      </c>
      <c r="E324" s="283">
        <v>909809</v>
      </c>
      <c r="F324" s="273">
        <v>12271</v>
      </c>
      <c r="G324" s="274" t="s">
        <v>2404</v>
      </c>
      <c r="H324" s="274" t="s">
        <v>414</v>
      </c>
      <c r="I324" s="274" t="s">
        <v>9</v>
      </c>
      <c r="J324" s="274" t="s">
        <v>398</v>
      </c>
      <c r="K324" s="275">
        <v>0.33333333333333331</v>
      </c>
      <c r="L324" s="275">
        <v>0.59722222222222221</v>
      </c>
      <c r="M324" s="275">
        <v>0.2638888888888889</v>
      </c>
      <c r="N324" s="275">
        <v>0.38194444444444442</v>
      </c>
      <c r="O324" s="275">
        <v>0.47916666666666669</v>
      </c>
      <c r="P324" s="275">
        <v>0.54166666666666663</v>
      </c>
      <c r="Q324" s="276">
        <v>42340</v>
      </c>
      <c r="R324" s="284" t="s">
        <v>72</v>
      </c>
      <c r="S324" s="276">
        <v>42362</v>
      </c>
      <c r="T324" s="284">
        <v>84</v>
      </c>
      <c r="U324" s="274" t="s">
        <v>2218</v>
      </c>
      <c r="V324" s="276">
        <v>42430</v>
      </c>
      <c r="W324" s="276">
        <v>42430</v>
      </c>
      <c r="X324" s="276" t="s">
        <v>2</v>
      </c>
      <c r="Y324" s="274" t="s">
        <v>2245</v>
      </c>
      <c r="Z324" s="274" t="s">
        <v>2</v>
      </c>
      <c r="AA324" s="274" t="s">
        <v>2</v>
      </c>
      <c r="AB324" s="276" t="s">
        <v>2</v>
      </c>
      <c r="AC324" s="274" t="s">
        <v>1257</v>
      </c>
      <c r="AD324" s="274" t="s">
        <v>2498</v>
      </c>
      <c r="AE324" s="277">
        <v>32884</v>
      </c>
      <c r="AF324" s="274" t="s">
        <v>2189</v>
      </c>
      <c r="AG324" s="274" t="s">
        <v>775</v>
      </c>
      <c r="AH324" s="276" t="s">
        <v>2197</v>
      </c>
      <c r="AI324" s="274" t="s">
        <v>89</v>
      </c>
      <c r="AJ324" s="278">
        <v>24200</v>
      </c>
      <c r="AK324" s="279" t="s">
        <v>2427</v>
      </c>
      <c r="AL324" s="274" t="s">
        <v>2451</v>
      </c>
      <c r="AM324" s="274" t="s">
        <v>2</v>
      </c>
      <c r="AN324" s="274" t="s">
        <v>2</v>
      </c>
      <c r="AO324" s="281" t="s">
        <v>2472</v>
      </c>
      <c r="AP324" s="152" t="s">
        <v>2</v>
      </c>
      <c r="AQ324" s="302" t="s">
        <v>2</v>
      </c>
    </row>
    <row r="325" spans="2:43" ht="15" customHeight="1">
      <c r="B325" s="84"/>
      <c r="C325" s="64"/>
      <c r="D325" s="301">
        <v>31395</v>
      </c>
      <c r="E325" s="283">
        <v>909808</v>
      </c>
      <c r="F325" s="273">
        <v>12273</v>
      </c>
      <c r="G325" s="274" t="s">
        <v>2405</v>
      </c>
      <c r="H325" s="274" t="s">
        <v>414</v>
      </c>
      <c r="I325" s="274" t="s">
        <v>9</v>
      </c>
      <c r="J325" s="274" t="s">
        <v>398</v>
      </c>
      <c r="K325" s="275">
        <v>0.33333333333333331</v>
      </c>
      <c r="L325" s="275">
        <v>0.59722222222222221</v>
      </c>
      <c r="M325" s="275">
        <v>0.2638888888888889</v>
      </c>
      <c r="N325" s="275">
        <v>0.375</v>
      </c>
      <c r="O325" s="275">
        <v>0.4236111111111111</v>
      </c>
      <c r="P325" s="275">
        <v>0.49305555555555558</v>
      </c>
      <c r="Q325" s="276">
        <v>42340</v>
      </c>
      <c r="R325" s="284" t="s">
        <v>72</v>
      </c>
      <c r="S325" s="276">
        <v>42362</v>
      </c>
      <c r="T325" s="284">
        <v>84</v>
      </c>
      <c r="U325" s="274" t="s">
        <v>2218</v>
      </c>
      <c r="V325" s="276">
        <v>42430</v>
      </c>
      <c r="W325" s="276">
        <v>42430</v>
      </c>
      <c r="X325" s="276" t="s">
        <v>2</v>
      </c>
      <c r="Y325" s="274" t="s">
        <v>2245</v>
      </c>
      <c r="Z325" s="274" t="s">
        <v>2</v>
      </c>
      <c r="AA325" s="274" t="s">
        <v>2</v>
      </c>
      <c r="AB325" s="276" t="s">
        <v>2</v>
      </c>
      <c r="AC325" s="274" t="s">
        <v>1257</v>
      </c>
      <c r="AD325" s="274" t="s">
        <v>2503</v>
      </c>
      <c r="AE325" s="277">
        <v>31010</v>
      </c>
      <c r="AF325" s="274" t="s">
        <v>2191</v>
      </c>
      <c r="AG325" s="274" t="s">
        <v>775</v>
      </c>
      <c r="AH325" s="276" t="s">
        <v>2197</v>
      </c>
      <c r="AI325" s="274" t="s">
        <v>89</v>
      </c>
      <c r="AJ325" s="278">
        <v>24201</v>
      </c>
      <c r="AK325" s="279" t="s">
        <v>2428</v>
      </c>
      <c r="AL325" s="274" t="s">
        <v>2452</v>
      </c>
      <c r="AM325" s="274" t="s">
        <v>2</v>
      </c>
      <c r="AN325" s="274" t="s">
        <v>2</v>
      </c>
      <c r="AO325" s="281" t="s">
        <v>2473</v>
      </c>
      <c r="AP325" s="152" t="s">
        <v>2</v>
      </c>
      <c r="AQ325" s="302" t="s">
        <v>2</v>
      </c>
    </row>
    <row r="326" spans="2:43" ht="15" customHeight="1">
      <c r="B326" s="84"/>
      <c r="C326" s="64"/>
      <c r="D326" s="301">
        <v>31393</v>
      </c>
      <c r="E326" s="283">
        <v>909806</v>
      </c>
      <c r="F326" s="273">
        <v>12277</v>
      </c>
      <c r="G326" s="274" t="s">
        <v>2408</v>
      </c>
      <c r="H326" s="274" t="s">
        <v>415</v>
      </c>
      <c r="I326" s="274" t="s">
        <v>9</v>
      </c>
      <c r="J326" s="274" t="s">
        <v>398</v>
      </c>
      <c r="K326" s="275">
        <v>0.59722222222222221</v>
      </c>
      <c r="L326" s="275">
        <v>0.86111111111111116</v>
      </c>
      <c r="M326" s="275">
        <v>0.2638888888888889</v>
      </c>
      <c r="N326" s="275">
        <v>0.67361111111111116</v>
      </c>
      <c r="O326" s="275">
        <v>0.73611111111111116</v>
      </c>
      <c r="P326" s="275">
        <v>0.80555555555555547</v>
      </c>
      <c r="Q326" s="276">
        <v>42340</v>
      </c>
      <c r="R326" s="284" t="s">
        <v>72</v>
      </c>
      <c r="S326" s="276">
        <v>42362</v>
      </c>
      <c r="T326" s="284">
        <v>84</v>
      </c>
      <c r="U326" s="274" t="s">
        <v>2218</v>
      </c>
      <c r="V326" s="276">
        <v>42430</v>
      </c>
      <c r="W326" s="276">
        <v>42430</v>
      </c>
      <c r="X326" s="276" t="s">
        <v>2</v>
      </c>
      <c r="Y326" s="274" t="s">
        <v>2245</v>
      </c>
      <c r="Z326" s="274" t="s">
        <v>2</v>
      </c>
      <c r="AA326" s="274" t="s">
        <v>2</v>
      </c>
      <c r="AB326" s="276" t="s">
        <v>2</v>
      </c>
      <c r="AC326" s="274" t="s">
        <v>1257</v>
      </c>
      <c r="AD326" s="274" t="s">
        <v>2497</v>
      </c>
      <c r="AE326" s="277">
        <v>34259</v>
      </c>
      <c r="AF326" s="274" t="s">
        <v>2192</v>
      </c>
      <c r="AG326" s="274" t="s">
        <v>775</v>
      </c>
      <c r="AH326" s="276" t="s">
        <v>2197</v>
      </c>
      <c r="AI326" s="274" t="s">
        <v>89</v>
      </c>
      <c r="AJ326" s="278">
        <v>24219</v>
      </c>
      <c r="AK326" s="279" t="s">
        <v>2431</v>
      </c>
      <c r="AL326" s="274" t="s">
        <v>2455</v>
      </c>
      <c r="AM326" s="274" t="s">
        <v>2</v>
      </c>
      <c r="AN326" s="274" t="s">
        <v>2</v>
      </c>
      <c r="AO326" s="281" t="s">
        <v>2476</v>
      </c>
      <c r="AP326" s="152" t="s">
        <v>2</v>
      </c>
      <c r="AQ326" s="302" t="s">
        <v>2</v>
      </c>
    </row>
    <row r="327" spans="2:43" ht="15" customHeight="1">
      <c r="B327" s="84"/>
      <c r="C327" s="64"/>
      <c r="D327" s="301">
        <v>31399</v>
      </c>
      <c r="E327" s="283">
        <v>909812</v>
      </c>
      <c r="F327" s="273">
        <v>12283</v>
      </c>
      <c r="G327" s="274" t="s">
        <v>2411</v>
      </c>
      <c r="H327" s="274" t="s">
        <v>420</v>
      </c>
      <c r="I327" s="274" t="s">
        <v>9</v>
      </c>
      <c r="J327" s="274" t="s">
        <v>398</v>
      </c>
      <c r="K327" s="275">
        <v>0.59722222222222221</v>
      </c>
      <c r="L327" s="275">
        <v>0.86111111111111116</v>
      </c>
      <c r="M327" s="275">
        <v>0.2638888888888889</v>
      </c>
      <c r="N327" s="275">
        <v>0.65277777777777779</v>
      </c>
      <c r="O327" s="275">
        <v>0.70138888888888884</v>
      </c>
      <c r="P327" s="275">
        <v>0.79166666666666663</v>
      </c>
      <c r="Q327" s="276">
        <v>42340</v>
      </c>
      <c r="R327" s="284" t="s">
        <v>72</v>
      </c>
      <c r="S327" s="276">
        <v>42362</v>
      </c>
      <c r="T327" s="284">
        <v>84</v>
      </c>
      <c r="U327" s="274" t="s">
        <v>2218</v>
      </c>
      <c r="V327" s="276">
        <v>42430</v>
      </c>
      <c r="W327" s="276">
        <v>42430</v>
      </c>
      <c r="X327" s="276" t="s">
        <v>2</v>
      </c>
      <c r="Y327" s="274" t="s">
        <v>2245</v>
      </c>
      <c r="Z327" s="274" t="s">
        <v>2</v>
      </c>
      <c r="AA327" s="274" t="s">
        <v>2</v>
      </c>
      <c r="AB327" s="276" t="s">
        <v>2</v>
      </c>
      <c r="AC327" s="274" t="s">
        <v>1257</v>
      </c>
      <c r="AD327" s="274" t="s">
        <v>2500</v>
      </c>
      <c r="AE327" s="277">
        <v>29631</v>
      </c>
      <c r="AF327" s="274" t="s">
        <v>2190</v>
      </c>
      <c r="AG327" s="274" t="s">
        <v>775</v>
      </c>
      <c r="AH327" s="276" t="s">
        <v>2197</v>
      </c>
      <c r="AI327" s="274" t="s">
        <v>89</v>
      </c>
      <c r="AJ327" s="278">
        <v>810404</v>
      </c>
      <c r="AK327" s="279" t="s">
        <v>2435</v>
      </c>
      <c r="AL327" s="274" t="s">
        <v>2460</v>
      </c>
      <c r="AM327" s="274" t="s">
        <v>2</v>
      </c>
      <c r="AN327" s="274" t="s">
        <v>2</v>
      </c>
      <c r="AO327" s="281" t="s">
        <v>2481</v>
      </c>
      <c r="AP327" s="152" t="s">
        <v>2</v>
      </c>
      <c r="AQ327" s="302" t="s">
        <v>2</v>
      </c>
    </row>
    <row r="328" spans="2:43" ht="15" customHeight="1">
      <c r="B328" s="84"/>
      <c r="C328" s="64"/>
      <c r="D328" s="301">
        <v>25594</v>
      </c>
      <c r="E328" s="283">
        <v>807807</v>
      </c>
      <c r="F328" s="273">
        <v>12072</v>
      </c>
      <c r="G328" s="274" t="s">
        <v>297</v>
      </c>
      <c r="H328" s="274" t="s">
        <v>424</v>
      </c>
      <c r="I328" s="274" t="s">
        <v>9</v>
      </c>
      <c r="J328" s="274" t="s">
        <v>402</v>
      </c>
      <c r="K328" s="275">
        <v>0.375</v>
      </c>
      <c r="L328" s="275">
        <v>0.63888888888888895</v>
      </c>
      <c r="M328" s="275">
        <v>0.2638888888888889</v>
      </c>
      <c r="N328" s="275">
        <v>0.4375</v>
      </c>
      <c r="O328" s="275">
        <v>0.5</v>
      </c>
      <c r="P328" s="275">
        <v>0.60416666666666663</v>
      </c>
      <c r="Q328" s="276">
        <v>41429</v>
      </c>
      <c r="R328" s="284" t="s">
        <v>72</v>
      </c>
      <c r="S328" s="276">
        <v>41452</v>
      </c>
      <c r="T328" s="284">
        <v>994</v>
      </c>
      <c r="U328" s="274" t="s">
        <v>2218</v>
      </c>
      <c r="V328" s="276">
        <v>42430</v>
      </c>
      <c r="W328" s="276">
        <v>42430</v>
      </c>
      <c r="X328" s="276" t="s">
        <v>2</v>
      </c>
      <c r="Y328" s="274" t="s">
        <v>2246</v>
      </c>
      <c r="Z328" s="274" t="s">
        <v>2</v>
      </c>
      <c r="AA328" s="274" t="s">
        <v>2</v>
      </c>
      <c r="AB328" s="276" t="s">
        <v>2</v>
      </c>
      <c r="AC328" s="274" t="s">
        <v>2</v>
      </c>
      <c r="AD328" s="274">
        <v>6130120</v>
      </c>
      <c r="AE328" s="277">
        <v>33456</v>
      </c>
      <c r="AF328" s="274" t="s">
        <v>2193</v>
      </c>
      <c r="AG328" s="274" t="s">
        <v>775</v>
      </c>
      <c r="AH328" s="276" t="s">
        <v>2197</v>
      </c>
      <c r="AI328" s="274" t="s">
        <v>89</v>
      </c>
      <c r="AJ328" s="278" t="s">
        <v>2</v>
      </c>
      <c r="AK328" s="279" t="s">
        <v>977</v>
      </c>
      <c r="AL328" s="274" t="s">
        <v>625</v>
      </c>
      <c r="AM328" s="274" t="s">
        <v>2</v>
      </c>
      <c r="AN328" s="274" t="s">
        <v>2</v>
      </c>
      <c r="AO328" s="281" t="s">
        <v>2593</v>
      </c>
      <c r="AP328" s="152" t="s">
        <v>1249</v>
      </c>
      <c r="AQ328" s="302" t="s">
        <v>2</v>
      </c>
    </row>
    <row r="329" spans="2:43" ht="15" customHeight="1">
      <c r="B329" s="84"/>
      <c r="C329" s="64"/>
      <c r="D329" s="301">
        <v>31404</v>
      </c>
      <c r="E329" s="283">
        <v>909817</v>
      </c>
      <c r="F329" s="273">
        <v>12266</v>
      </c>
      <c r="G329" s="274" t="s">
        <v>2419</v>
      </c>
      <c r="H329" s="274" t="s">
        <v>417</v>
      </c>
      <c r="I329" s="274" t="s">
        <v>9</v>
      </c>
      <c r="J329" s="274" t="s">
        <v>403</v>
      </c>
      <c r="K329" s="275">
        <v>0.59722222222222221</v>
      </c>
      <c r="L329" s="275">
        <v>0.86111111111111116</v>
      </c>
      <c r="M329" s="275">
        <v>0.2638888888888889</v>
      </c>
      <c r="N329" s="275">
        <v>0.63888888888888895</v>
      </c>
      <c r="O329" s="275">
        <v>0.69444444444444453</v>
      </c>
      <c r="P329" s="275">
        <v>0.79861111111111116</v>
      </c>
      <c r="Q329" s="276">
        <v>42340</v>
      </c>
      <c r="R329" s="284" t="s">
        <v>72</v>
      </c>
      <c r="S329" s="276">
        <v>42362</v>
      </c>
      <c r="T329" s="284">
        <v>84</v>
      </c>
      <c r="U329" s="274" t="s">
        <v>2218</v>
      </c>
      <c r="V329" s="276">
        <v>42430</v>
      </c>
      <c r="W329" s="276">
        <v>42430</v>
      </c>
      <c r="X329" s="276" t="s">
        <v>2</v>
      </c>
      <c r="Y329" s="274" t="s">
        <v>2245</v>
      </c>
      <c r="Z329" s="274" t="s">
        <v>2</v>
      </c>
      <c r="AA329" s="274" t="s">
        <v>2</v>
      </c>
      <c r="AB329" s="276" t="s">
        <v>2</v>
      </c>
      <c r="AC329" s="274" t="s">
        <v>2248</v>
      </c>
      <c r="AD329" s="274" t="s">
        <v>2511</v>
      </c>
      <c r="AE329" s="277">
        <v>33577</v>
      </c>
      <c r="AF329" s="274" t="s">
        <v>2189</v>
      </c>
      <c r="AG329" s="274" t="s">
        <v>775</v>
      </c>
      <c r="AH329" s="276" t="s">
        <v>2197</v>
      </c>
      <c r="AI329" s="274" t="s">
        <v>89</v>
      </c>
      <c r="AJ329" s="278">
        <v>24212</v>
      </c>
      <c r="AK329" s="279" t="s">
        <v>2446</v>
      </c>
      <c r="AL329" s="274" t="s">
        <v>2469</v>
      </c>
      <c r="AM329" s="274" t="s">
        <v>2</v>
      </c>
      <c r="AN329" s="274" t="s">
        <v>2</v>
      </c>
      <c r="AO329" s="281" t="s">
        <v>2490</v>
      </c>
      <c r="AP329" s="152" t="s">
        <v>2</v>
      </c>
      <c r="AQ329" s="302" t="s">
        <v>2</v>
      </c>
    </row>
    <row r="330" spans="2:43" ht="15" customHeight="1">
      <c r="B330" s="84"/>
      <c r="C330" s="64"/>
      <c r="D330" s="301">
        <v>16360</v>
      </c>
      <c r="E330" s="283">
        <v>724374</v>
      </c>
      <c r="F330" s="273">
        <v>10045</v>
      </c>
      <c r="G330" s="274" t="s">
        <v>1270</v>
      </c>
      <c r="H330" s="274" t="s">
        <v>775</v>
      </c>
      <c r="I330" s="274" t="s">
        <v>16</v>
      </c>
      <c r="J330" s="274" t="s">
        <v>2</v>
      </c>
      <c r="K330" s="275">
        <v>0.45833333333333331</v>
      </c>
      <c r="L330" s="275">
        <v>0.83333333333333337</v>
      </c>
      <c r="M330" s="275">
        <v>0.375</v>
      </c>
      <c r="N330" s="275" t="s">
        <v>2</v>
      </c>
      <c r="O330" s="275" t="s">
        <v>2</v>
      </c>
      <c r="P330" s="275" t="s">
        <v>2</v>
      </c>
      <c r="Q330" s="276">
        <v>40634</v>
      </c>
      <c r="R330" s="284" t="s">
        <v>72</v>
      </c>
      <c r="S330" s="276">
        <v>1813</v>
      </c>
      <c r="T330" s="284" t="s">
        <v>2</v>
      </c>
      <c r="U330" s="274" t="s">
        <v>2230</v>
      </c>
      <c r="V330" s="276">
        <v>42430</v>
      </c>
      <c r="W330" s="276">
        <v>42430</v>
      </c>
      <c r="X330" s="276" t="s">
        <v>2</v>
      </c>
      <c r="Y330" s="274" t="s">
        <v>2</v>
      </c>
      <c r="Z330" s="274" t="s">
        <v>89</v>
      </c>
      <c r="AA330" s="274" t="s">
        <v>2212</v>
      </c>
      <c r="AB330" s="276">
        <v>42430</v>
      </c>
      <c r="AC330" s="274" t="s">
        <v>2</v>
      </c>
      <c r="AD330" s="274">
        <v>1153020</v>
      </c>
      <c r="AE330" s="277">
        <v>26622</v>
      </c>
      <c r="AF330" s="274" t="s">
        <v>2192</v>
      </c>
      <c r="AG330" s="274" t="s">
        <v>775</v>
      </c>
      <c r="AH330" s="276" t="s">
        <v>2197</v>
      </c>
      <c r="AI330" s="274" t="s">
        <v>89</v>
      </c>
      <c r="AJ330" s="278" t="s">
        <v>2</v>
      </c>
      <c r="AK330" s="279" t="s">
        <v>1280</v>
      </c>
      <c r="AL330" s="274" t="s">
        <v>1296</v>
      </c>
      <c r="AM330" s="274" t="s">
        <v>2</v>
      </c>
      <c r="AN330" s="274" t="s">
        <v>2</v>
      </c>
      <c r="AO330" s="281" t="s">
        <v>1322</v>
      </c>
      <c r="AP330" s="152" t="s">
        <v>2</v>
      </c>
      <c r="AQ330" s="302" t="s">
        <v>2</v>
      </c>
    </row>
    <row r="331" spans="2:43" ht="15" customHeight="1">
      <c r="B331" s="84"/>
      <c r="C331" s="64"/>
      <c r="D331" s="301">
        <v>31501</v>
      </c>
      <c r="E331" s="283">
        <v>915101</v>
      </c>
      <c r="F331" s="273">
        <v>12846</v>
      </c>
      <c r="G331" s="274" t="s">
        <v>2669</v>
      </c>
      <c r="H331" s="274" t="s">
        <v>420</v>
      </c>
      <c r="I331" s="274" t="s">
        <v>9</v>
      </c>
      <c r="J331" s="274" t="s">
        <v>398</v>
      </c>
      <c r="K331" s="275">
        <v>0.59722222222222221</v>
      </c>
      <c r="L331" s="275">
        <v>0.86111111111111116</v>
      </c>
      <c r="M331" s="275">
        <v>0.2638888888888889</v>
      </c>
      <c r="N331" s="275">
        <v>0.66666666666666663</v>
      </c>
      <c r="O331" s="275">
        <v>0.72916666666666663</v>
      </c>
      <c r="P331" s="275">
        <v>0.80555555555555547</v>
      </c>
      <c r="Q331" s="276">
        <v>42404</v>
      </c>
      <c r="R331" s="284" t="s">
        <v>84</v>
      </c>
      <c r="S331" s="276">
        <v>42429</v>
      </c>
      <c r="T331" s="284">
        <v>0</v>
      </c>
      <c r="U331" s="274" t="s">
        <v>2219</v>
      </c>
      <c r="V331" s="276">
        <v>42447</v>
      </c>
      <c r="W331" s="276">
        <v>42447</v>
      </c>
      <c r="X331" s="276" t="s">
        <v>2</v>
      </c>
      <c r="Y331" s="274" t="s">
        <v>2245</v>
      </c>
      <c r="Z331" s="274" t="s">
        <v>2</v>
      </c>
      <c r="AA331" s="274" t="s">
        <v>2</v>
      </c>
      <c r="AB331" s="276" t="s">
        <v>2</v>
      </c>
      <c r="AC331" s="274" t="s">
        <v>1257</v>
      </c>
      <c r="AD331" s="274"/>
      <c r="AE331" s="274" t="s">
        <v>2</v>
      </c>
      <c r="AF331" s="274" t="s">
        <v>2</v>
      </c>
      <c r="AG331" s="274" t="s">
        <v>2</v>
      </c>
      <c r="AH331" s="276" t="s">
        <v>2197</v>
      </c>
      <c r="AI331" s="274" t="s">
        <v>2</v>
      </c>
      <c r="AJ331" s="274" t="s">
        <v>2</v>
      </c>
      <c r="AK331" s="274" t="s">
        <v>2</v>
      </c>
      <c r="AL331" s="274" t="s">
        <v>2733</v>
      </c>
      <c r="AM331" s="274" t="s">
        <v>68</v>
      </c>
      <c r="AN331" s="274" t="s">
        <v>2</v>
      </c>
      <c r="AO331" s="281">
        <v>810406</v>
      </c>
      <c r="AP331" s="274" t="s">
        <v>2689</v>
      </c>
      <c r="AQ331" s="303" t="s">
        <v>2</v>
      </c>
    </row>
    <row r="332" spans="2:43" ht="15" customHeight="1">
      <c r="B332" s="84"/>
      <c r="C332" s="64"/>
      <c r="D332" s="301">
        <v>9736</v>
      </c>
      <c r="E332" s="283">
        <v>689575</v>
      </c>
      <c r="F332" s="273" t="s">
        <v>2</v>
      </c>
      <c r="G332" s="274" t="s">
        <v>1333</v>
      </c>
      <c r="H332" s="274" t="s">
        <v>1366</v>
      </c>
      <c r="I332" s="274" t="s">
        <v>16</v>
      </c>
      <c r="J332" s="274" t="s">
        <v>1358</v>
      </c>
      <c r="K332" s="275">
        <v>0.33333333333333331</v>
      </c>
      <c r="L332" s="275">
        <v>0.70833333333333337</v>
      </c>
      <c r="M332" s="275">
        <v>0.375</v>
      </c>
      <c r="N332" s="275" t="s">
        <v>2</v>
      </c>
      <c r="O332" s="275" t="s">
        <v>2</v>
      </c>
      <c r="P332" s="275" t="s">
        <v>2</v>
      </c>
      <c r="Q332" s="276">
        <v>39765</v>
      </c>
      <c r="R332" s="284" t="s">
        <v>72</v>
      </c>
      <c r="S332" s="276">
        <v>2685</v>
      </c>
      <c r="T332" s="284" t="s">
        <v>2</v>
      </c>
      <c r="U332" s="274" t="s">
        <v>2234</v>
      </c>
      <c r="V332" s="276" t="s">
        <v>2</v>
      </c>
      <c r="W332" s="276" t="s">
        <v>2</v>
      </c>
      <c r="X332" s="276" t="s">
        <v>2</v>
      </c>
      <c r="Y332" s="274" t="s">
        <v>2</v>
      </c>
      <c r="Z332" s="274" t="s">
        <v>2</v>
      </c>
      <c r="AA332" s="274" t="s">
        <v>2</v>
      </c>
      <c r="AB332" s="274" t="s">
        <v>2</v>
      </c>
      <c r="AC332" s="274" t="s">
        <v>2</v>
      </c>
      <c r="AD332" s="274">
        <v>3531010</v>
      </c>
      <c r="AE332" s="276">
        <v>27754</v>
      </c>
      <c r="AF332" s="274" t="s">
        <v>2195</v>
      </c>
      <c r="AG332" s="274" t="s">
        <v>1366</v>
      </c>
      <c r="AH332" s="276" t="s">
        <v>2197</v>
      </c>
      <c r="AI332" s="274" t="s">
        <v>89</v>
      </c>
      <c r="AJ332" s="274" t="s">
        <v>2</v>
      </c>
      <c r="AK332" s="276" t="s">
        <v>1392</v>
      </c>
      <c r="AL332" s="274" t="s">
        <v>2</v>
      </c>
      <c r="AM332" s="278" t="s">
        <v>2</v>
      </c>
      <c r="AN332" s="274" t="s">
        <v>2</v>
      </c>
      <c r="AO332" s="274" t="s">
        <v>1417</v>
      </c>
      <c r="AP332" s="274" t="s">
        <v>2</v>
      </c>
      <c r="AQ332" s="303" t="s">
        <v>2</v>
      </c>
    </row>
    <row r="333" spans="2:43" ht="15" customHeight="1">
      <c r="B333" s="84" t="e">
        <f>IF(Production!#REF!="x","","x")</f>
        <v>#REF!</v>
      </c>
      <c r="C333" s="64"/>
      <c r="D333" s="304">
        <v>31055</v>
      </c>
      <c r="E333" s="213">
        <v>893770</v>
      </c>
      <c r="F333" s="214">
        <v>17090</v>
      </c>
      <c r="G333" s="215" t="s">
        <v>2255</v>
      </c>
      <c r="H333" s="215" t="s">
        <v>416</v>
      </c>
      <c r="I333" s="215" t="s">
        <v>9</v>
      </c>
      <c r="J333" s="215" t="s">
        <v>398</v>
      </c>
      <c r="K333" s="275">
        <v>0.33333333333333331</v>
      </c>
      <c r="L333" s="275">
        <v>0.59722222222222221</v>
      </c>
      <c r="M333" s="275">
        <v>0.2638888888888889</v>
      </c>
      <c r="N333" s="275">
        <v>0.38194444444444442</v>
      </c>
      <c r="O333" s="275">
        <v>0.4375</v>
      </c>
      <c r="P333" s="275">
        <v>0.51388888888888895</v>
      </c>
      <c r="Q333" s="216">
        <v>42227</v>
      </c>
      <c r="R333" s="217" t="s">
        <v>72</v>
      </c>
      <c r="S333" s="216">
        <v>42254</v>
      </c>
      <c r="T333" s="284">
        <v>207</v>
      </c>
      <c r="U333" s="215" t="s">
        <v>2218</v>
      </c>
      <c r="V333" s="216">
        <v>42451</v>
      </c>
      <c r="W333" s="216">
        <v>42451</v>
      </c>
      <c r="X333" s="228" t="s">
        <v>2</v>
      </c>
      <c r="Y333" s="215" t="s">
        <v>2753</v>
      </c>
      <c r="Z333" s="215" t="s">
        <v>2</v>
      </c>
      <c r="AA333" s="215" t="s">
        <v>2</v>
      </c>
      <c r="AB333" s="274" t="s">
        <v>2</v>
      </c>
      <c r="AC333" s="274" t="s">
        <v>2</v>
      </c>
      <c r="AD333" s="274"/>
      <c r="AE333" s="276" t="s">
        <v>2</v>
      </c>
      <c r="AF333" s="274"/>
      <c r="AG333" s="274"/>
      <c r="AH333" s="276" t="s">
        <v>2197</v>
      </c>
      <c r="AI333" s="274" t="s">
        <v>2</v>
      </c>
      <c r="AJ333" s="274"/>
      <c r="AK333" s="276"/>
      <c r="AL333" s="274" t="s">
        <v>2294</v>
      </c>
      <c r="AM333" s="278" t="s">
        <v>68</v>
      </c>
      <c r="AN333" s="274" t="s">
        <v>2</v>
      </c>
      <c r="AO333" s="274" t="s">
        <v>2312</v>
      </c>
      <c r="AP333" s="274" t="s">
        <v>2275</v>
      </c>
      <c r="AQ333" s="303" t="s">
        <v>2</v>
      </c>
    </row>
    <row r="334" spans="2:43" ht="15" customHeight="1">
      <c r="B334" s="84" t="e">
        <f>IF(B333="x","","x")</f>
        <v>#REF!</v>
      </c>
      <c r="C334" s="64"/>
      <c r="D334" s="301">
        <v>31521</v>
      </c>
      <c r="E334" s="283">
        <v>915146</v>
      </c>
      <c r="F334" s="273">
        <v>17013</v>
      </c>
      <c r="G334" s="274" t="s">
        <v>2675</v>
      </c>
      <c r="H334" s="274" t="s">
        <v>415</v>
      </c>
      <c r="I334" s="274" t="s">
        <v>9</v>
      </c>
      <c r="J334" s="274" t="s">
        <v>398</v>
      </c>
      <c r="K334" s="275">
        <v>0.375</v>
      </c>
      <c r="L334" s="275">
        <v>0.63888888888888895</v>
      </c>
      <c r="M334" s="275">
        <v>0.2638888888888889</v>
      </c>
      <c r="N334" s="275">
        <v>0.4236111111111111</v>
      </c>
      <c r="O334" s="275">
        <v>0.5</v>
      </c>
      <c r="P334" s="275">
        <v>0.57638888888888895</v>
      </c>
      <c r="Q334" s="276">
        <v>42404</v>
      </c>
      <c r="R334" s="284" t="s">
        <v>84</v>
      </c>
      <c r="S334" s="276">
        <v>42429</v>
      </c>
      <c r="T334" s="284">
        <v>0</v>
      </c>
      <c r="U334" s="274" t="s">
        <v>2219</v>
      </c>
      <c r="V334" s="276">
        <v>42451</v>
      </c>
      <c r="W334" s="276">
        <v>42447</v>
      </c>
      <c r="X334" s="276" t="s">
        <v>2</v>
      </c>
      <c r="Y334" s="274" t="s">
        <v>2245</v>
      </c>
      <c r="Z334" s="274" t="s">
        <v>2</v>
      </c>
      <c r="AA334" s="274" t="s">
        <v>2</v>
      </c>
      <c r="AB334" s="276" t="s">
        <v>2</v>
      </c>
      <c r="AC334" s="274" t="s">
        <v>1257</v>
      </c>
      <c r="AD334" s="274"/>
      <c r="AE334" s="274" t="s">
        <v>2</v>
      </c>
      <c r="AF334" s="274" t="s">
        <v>2</v>
      </c>
      <c r="AG334" s="274" t="s">
        <v>2</v>
      </c>
      <c r="AH334" s="276" t="s">
        <v>2197</v>
      </c>
      <c r="AI334" s="274" t="s">
        <v>2</v>
      </c>
      <c r="AJ334" s="274" t="s">
        <v>2</v>
      </c>
      <c r="AK334" s="274" t="s">
        <v>2</v>
      </c>
      <c r="AL334" s="274" t="s">
        <v>2716</v>
      </c>
      <c r="AM334" s="274" t="s">
        <v>68</v>
      </c>
      <c r="AN334" s="274" t="s">
        <v>2</v>
      </c>
      <c r="AO334" s="281" t="s">
        <v>2717</v>
      </c>
      <c r="AP334" s="274" t="s">
        <v>2694</v>
      </c>
      <c r="AQ334" s="303" t="s">
        <v>2</v>
      </c>
    </row>
    <row r="335" spans="2:43" ht="15" customHeight="1">
      <c r="B335" s="84" t="e">
        <f>IF(Production!#REF!="x","","x")</f>
        <v>#REF!</v>
      </c>
      <c r="C335" s="64"/>
      <c r="D335" s="301">
        <v>31407</v>
      </c>
      <c r="E335" s="283">
        <v>909820</v>
      </c>
      <c r="F335" s="273">
        <v>12306</v>
      </c>
      <c r="G335" s="274" t="s">
        <v>2421</v>
      </c>
      <c r="H335" s="274" t="s">
        <v>417</v>
      </c>
      <c r="I335" s="274" t="s">
        <v>9</v>
      </c>
      <c r="J335" s="274" t="s">
        <v>403</v>
      </c>
      <c r="K335" s="275">
        <v>0.59722222222222221</v>
      </c>
      <c r="L335" s="275">
        <v>0.86111111111111116</v>
      </c>
      <c r="M335" s="275">
        <v>0.2638888888888889</v>
      </c>
      <c r="N335" s="275">
        <v>0.65277777777777779</v>
      </c>
      <c r="O335" s="275">
        <v>0.70833333333333337</v>
      </c>
      <c r="P335" s="275">
        <v>0.77777777777777779</v>
      </c>
      <c r="Q335" s="276">
        <v>42340</v>
      </c>
      <c r="R335" s="284" t="s">
        <v>72</v>
      </c>
      <c r="S335" s="276">
        <v>42362</v>
      </c>
      <c r="T335" s="284">
        <v>99</v>
      </c>
      <c r="U335" s="274" t="s">
        <v>2218</v>
      </c>
      <c r="V335" s="276">
        <v>42458</v>
      </c>
      <c r="W335" s="276">
        <v>42458</v>
      </c>
      <c r="X335" s="276" t="s">
        <v>2</v>
      </c>
      <c r="Y335" s="274" t="s">
        <v>2246</v>
      </c>
      <c r="Z335" s="274" t="s">
        <v>2</v>
      </c>
      <c r="AA335" s="274" t="s">
        <v>2</v>
      </c>
      <c r="AB335" s="276" t="s">
        <v>2</v>
      </c>
      <c r="AC335" s="274" t="s">
        <v>2248</v>
      </c>
      <c r="AD335" s="274"/>
      <c r="AE335" s="277">
        <v>8270350</v>
      </c>
      <c r="AF335" s="274"/>
      <c r="AG335" s="274"/>
      <c r="AH335" s="276" t="s">
        <v>2197</v>
      </c>
      <c r="AI335" s="274" t="s">
        <v>2194</v>
      </c>
      <c r="AJ335" s="278"/>
      <c r="AK335" s="279"/>
      <c r="AL335" s="274" t="s">
        <v>2471</v>
      </c>
      <c r="AM335" s="274" t="s">
        <v>68</v>
      </c>
      <c r="AN335" s="274" t="s">
        <v>2</v>
      </c>
      <c r="AO335" s="281" t="s">
        <v>2492</v>
      </c>
      <c r="AP335" s="152" t="s">
        <v>2448</v>
      </c>
      <c r="AQ335" s="302" t="s">
        <v>2</v>
      </c>
    </row>
    <row r="336" spans="2:43" ht="15" customHeight="1">
      <c r="B336" s="84" t="e">
        <f>IF(Production!#REF!="x","","x")</f>
        <v>#REF!</v>
      </c>
      <c r="C336" s="64"/>
      <c r="D336" s="301">
        <v>29874</v>
      </c>
      <c r="E336" s="283">
        <v>868190</v>
      </c>
      <c r="F336" s="273">
        <v>17056</v>
      </c>
      <c r="G336" s="274" t="s">
        <v>333</v>
      </c>
      <c r="H336" s="274" t="s">
        <v>418</v>
      </c>
      <c r="I336" s="274" t="s">
        <v>9</v>
      </c>
      <c r="J336" s="274" t="s">
        <v>403</v>
      </c>
      <c r="K336" s="275">
        <v>0.33333333333333331</v>
      </c>
      <c r="L336" s="275">
        <v>0.67499999999999993</v>
      </c>
      <c r="M336" s="275">
        <v>0.34166666666666662</v>
      </c>
      <c r="N336" s="275">
        <v>0.40972222222222227</v>
      </c>
      <c r="O336" s="275">
        <v>0.5</v>
      </c>
      <c r="P336" s="275">
        <v>0.63194444444444442</v>
      </c>
      <c r="Q336" s="276">
        <v>41983</v>
      </c>
      <c r="R336" s="284" t="s">
        <v>72</v>
      </c>
      <c r="S336" s="276">
        <v>42009</v>
      </c>
      <c r="T336" s="284">
        <v>452</v>
      </c>
      <c r="U336" s="274" t="s">
        <v>2218</v>
      </c>
      <c r="V336" s="276">
        <v>42459</v>
      </c>
      <c r="W336" s="276">
        <v>42459</v>
      </c>
      <c r="X336" s="276" t="s">
        <v>2</v>
      </c>
      <c r="Y336" s="274" t="s">
        <v>2246</v>
      </c>
      <c r="Z336" s="274" t="s">
        <v>2</v>
      </c>
      <c r="AA336" s="274" t="s">
        <v>2</v>
      </c>
      <c r="AB336" s="276" t="s">
        <v>2</v>
      </c>
      <c r="AC336" s="274" t="s">
        <v>2</v>
      </c>
      <c r="AD336" s="274" t="s">
        <v>2</v>
      </c>
      <c r="AE336" s="277">
        <v>6783230</v>
      </c>
      <c r="AF336" s="274" t="s">
        <v>2</v>
      </c>
      <c r="AG336" s="274" t="s">
        <v>2</v>
      </c>
      <c r="AH336" s="276" t="s">
        <v>2197</v>
      </c>
      <c r="AI336" s="274" t="s">
        <v>2193</v>
      </c>
      <c r="AJ336" s="278" t="s">
        <v>2</v>
      </c>
      <c r="AK336" s="279" t="s">
        <v>2</v>
      </c>
      <c r="AL336" s="274" t="s">
        <v>660</v>
      </c>
      <c r="AM336" s="274" t="s">
        <v>68</v>
      </c>
      <c r="AN336" s="274" t="s">
        <v>2</v>
      </c>
      <c r="AO336" s="281" t="s">
        <v>2617</v>
      </c>
      <c r="AP336" s="152" t="s">
        <v>1011</v>
      </c>
      <c r="AQ336" s="302" t="s">
        <v>2</v>
      </c>
    </row>
    <row r="337" spans="1:43" ht="15" customHeight="1">
      <c r="B337" s="84" t="str">
        <f>IF(Production!B66="x","","x")</f>
        <v>x</v>
      </c>
      <c r="C337" s="64"/>
      <c r="D337" s="301">
        <v>31513</v>
      </c>
      <c r="E337" s="283">
        <v>915113</v>
      </c>
      <c r="F337" s="273">
        <v>17028</v>
      </c>
      <c r="G337" s="274" t="s">
        <v>2680</v>
      </c>
      <c r="H337" s="274" t="s">
        <v>415</v>
      </c>
      <c r="I337" s="274" t="s">
        <v>9</v>
      </c>
      <c r="J337" s="274" t="s">
        <v>398</v>
      </c>
      <c r="K337" s="275">
        <v>0.375</v>
      </c>
      <c r="L337" s="275">
        <v>0.63888888888888895</v>
      </c>
      <c r="M337" s="275">
        <v>0.2638888888888889</v>
      </c>
      <c r="N337" s="275">
        <v>0.43055555555555558</v>
      </c>
      <c r="O337" s="275">
        <v>0.51388888888888895</v>
      </c>
      <c r="P337" s="275">
        <v>0.57638888888888895</v>
      </c>
      <c r="Q337" s="276">
        <v>42404</v>
      </c>
      <c r="R337" s="284" t="s">
        <v>84</v>
      </c>
      <c r="S337" s="276">
        <v>42429</v>
      </c>
      <c r="T337" s="284">
        <v>0</v>
      </c>
      <c r="U337" s="274" t="s">
        <v>2219</v>
      </c>
      <c r="V337" s="276">
        <v>42459</v>
      </c>
      <c r="W337" s="276">
        <v>42459</v>
      </c>
      <c r="X337" s="276" t="s">
        <v>2</v>
      </c>
      <c r="Y337" s="274" t="s">
        <v>2246</v>
      </c>
      <c r="Z337" s="274" t="s">
        <v>2</v>
      </c>
      <c r="AA337" s="274" t="s">
        <v>2</v>
      </c>
      <c r="AB337" s="276" t="s">
        <v>2</v>
      </c>
      <c r="AC337" s="274" t="s">
        <v>1257</v>
      </c>
      <c r="AD337" s="274"/>
      <c r="AE337" s="277" t="s">
        <v>2</v>
      </c>
      <c r="AF337" s="274" t="s">
        <v>2</v>
      </c>
      <c r="AG337" s="274" t="s">
        <v>2</v>
      </c>
      <c r="AH337" s="276" t="s">
        <v>2197</v>
      </c>
      <c r="AI337" s="274" t="s">
        <v>2</v>
      </c>
      <c r="AJ337" s="278" t="s">
        <v>2</v>
      </c>
      <c r="AK337" s="279" t="s">
        <v>2</v>
      </c>
      <c r="AL337" s="274" t="s">
        <v>2718</v>
      </c>
      <c r="AM337" s="274" t="s">
        <v>68</v>
      </c>
      <c r="AN337" s="274" t="s">
        <v>2</v>
      </c>
      <c r="AO337" s="281" t="s">
        <v>2719</v>
      </c>
      <c r="AP337" s="152" t="s">
        <v>2697</v>
      </c>
      <c r="AQ337" s="302" t="s">
        <v>2</v>
      </c>
    </row>
    <row r="338" spans="1:43" ht="15" customHeight="1">
      <c r="B338" s="84" t="e">
        <f>IF(Production!#REF!="x","","x")</f>
        <v>#REF!</v>
      </c>
      <c r="C338" s="64"/>
      <c r="D338" s="301">
        <v>29852</v>
      </c>
      <c r="E338" s="283">
        <v>868167</v>
      </c>
      <c r="F338" s="273">
        <v>17194</v>
      </c>
      <c r="G338" s="274" t="s">
        <v>335</v>
      </c>
      <c r="H338" s="274" t="s">
        <v>418</v>
      </c>
      <c r="I338" s="274" t="s">
        <v>9</v>
      </c>
      <c r="J338" s="274" t="s">
        <v>403</v>
      </c>
      <c r="K338" s="275">
        <v>0.33333333333333331</v>
      </c>
      <c r="L338" s="275">
        <v>0.59722222222222221</v>
      </c>
      <c r="M338" s="275">
        <v>0.2638888888888889</v>
      </c>
      <c r="N338" s="275">
        <v>0.3888888888888889</v>
      </c>
      <c r="O338" s="275">
        <v>0.4513888888888889</v>
      </c>
      <c r="P338" s="275">
        <v>0.52777777777777779</v>
      </c>
      <c r="Q338" s="276">
        <v>41983</v>
      </c>
      <c r="R338" s="284" t="s">
        <v>72</v>
      </c>
      <c r="S338" s="276">
        <v>42009</v>
      </c>
      <c r="T338" s="284">
        <v>452</v>
      </c>
      <c r="U338" s="274" t="s">
        <v>2218</v>
      </c>
      <c r="V338" s="276">
        <v>42460</v>
      </c>
      <c r="W338" s="276">
        <v>42460</v>
      </c>
      <c r="X338" s="276" t="s">
        <v>2</v>
      </c>
      <c r="Y338" s="274" t="s">
        <v>2246</v>
      </c>
      <c r="Z338" s="274" t="s">
        <v>2</v>
      </c>
      <c r="AA338" s="274" t="s">
        <v>2</v>
      </c>
      <c r="AB338" s="276" t="s">
        <v>2</v>
      </c>
      <c r="AC338" s="274" t="s">
        <v>2248</v>
      </c>
      <c r="AD338" s="274" t="s">
        <v>2</v>
      </c>
      <c r="AE338" s="277">
        <v>2119030</v>
      </c>
      <c r="AF338" s="274" t="s">
        <v>2</v>
      </c>
      <c r="AG338" s="274" t="s">
        <v>2</v>
      </c>
      <c r="AH338" s="276" t="s">
        <v>2197</v>
      </c>
      <c r="AI338" s="274" t="s">
        <v>2189</v>
      </c>
      <c r="AJ338" s="278" t="s">
        <v>2</v>
      </c>
      <c r="AK338" s="279" t="s">
        <v>2</v>
      </c>
      <c r="AL338" s="274" t="s">
        <v>662</v>
      </c>
      <c r="AM338" s="274" t="s">
        <v>68</v>
      </c>
      <c r="AN338" s="274" t="s">
        <v>2</v>
      </c>
      <c r="AO338" s="281" t="s">
        <v>2602</v>
      </c>
      <c r="AP338" s="152" t="s">
        <v>1013</v>
      </c>
      <c r="AQ338" s="302" t="s">
        <v>2</v>
      </c>
    </row>
    <row r="339" spans="1:43" ht="15" customHeight="1">
      <c r="B339" s="84" t="e">
        <f>IF(Production!#REF!="x","","x")</f>
        <v>#REF!</v>
      </c>
      <c r="C339" s="64"/>
      <c r="D339" s="301">
        <v>29873</v>
      </c>
      <c r="E339" s="283">
        <v>868189</v>
      </c>
      <c r="F339" s="273">
        <v>17022</v>
      </c>
      <c r="G339" s="274" t="s">
        <v>344</v>
      </c>
      <c r="H339" s="274" t="s">
        <v>418</v>
      </c>
      <c r="I339" s="274" t="s">
        <v>9</v>
      </c>
      <c r="J339" s="274" t="s">
        <v>403</v>
      </c>
      <c r="K339" s="275">
        <v>0.33333333333333331</v>
      </c>
      <c r="L339" s="275">
        <v>0.59722222222222221</v>
      </c>
      <c r="M339" s="275">
        <v>0.2638888888888889</v>
      </c>
      <c r="N339" s="275">
        <v>0.38194444444444442</v>
      </c>
      <c r="O339" s="275">
        <v>0.44444444444444442</v>
      </c>
      <c r="P339" s="275">
        <v>0.52083333333333337</v>
      </c>
      <c r="Q339" s="276">
        <v>41983</v>
      </c>
      <c r="R339" s="284" t="s">
        <v>72</v>
      </c>
      <c r="S339" s="276">
        <v>42009</v>
      </c>
      <c r="T339" s="284">
        <v>452</v>
      </c>
      <c r="U339" s="274" t="s">
        <v>2218</v>
      </c>
      <c r="V339" s="276">
        <v>42460</v>
      </c>
      <c r="W339" s="276">
        <v>42460</v>
      </c>
      <c r="X339" s="276" t="s">
        <v>2</v>
      </c>
      <c r="Y339" s="274" t="s">
        <v>2246</v>
      </c>
      <c r="Z339" s="274" t="s">
        <v>2</v>
      </c>
      <c r="AA339" s="274" t="s">
        <v>2</v>
      </c>
      <c r="AB339" s="276" t="s">
        <v>2</v>
      </c>
      <c r="AC339" s="274" t="s">
        <v>2248</v>
      </c>
      <c r="AD339" s="274" t="s">
        <v>2</v>
      </c>
      <c r="AE339" s="277">
        <v>8280190</v>
      </c>
      <c r="AF339" s="274" t="s">
        <v>2</v>
      </c>
      <c r="AG339" s="274" t="s">
        <v>2</v>
      </c>
      <c r="AH339" s="276" t="s">
        <v>2197</v>
      </c>
      <c r="AI339" s="274" t="s">
        <v>2194</v>
      </c>
      <c r="AJ339" s="278" t="s">
        <v>2</v>
      </c>
      <c r="AK339" s="279" t="s">
        <v>2</v>
      </c>
      <c r="AL339" s="274" t="s">
        <v>671</v>
      </c>
      <c r="AM339" s="274" t="s">
        <v>68</v>
      </c>
      <c r="AN339" s="274" t="s">
        <v>2</v>
      </c>
      <c r="AO339" s="281" t="s">
        <v>2603</v>
      </c>
      <c r="AP339" s="152" t="s">
        <v>1022</v>
      </c>
      <c r="AQ339" s="302" t="s">
        <v>2</v>
      </c>
    </row>
    <row r="340" spans="1:43" ht="15" customHeight="1">
      <c r="B340" s="84"/>
      <c r="C340" s="64"/>
      <c r="D340" s="301">
        <v>11264</v>
      </c>
      <c r="E340" s="283">
        <v>689426</v>
      </c>
      <c r="F340" s="273">
        <v>10184</v>
      </c>
      <c r="G340" s="274" t="s">
        <v>419</v>
      </c>
      <c r="H340" s="274" t="s">
        <v>775</v>
      </c>
      <c r="I340" s="274" t="s">
        <v>2754</v>
      </c>
      <c r="J340" s="274" t="s">
        <v>398</v>
      </c>
      <c r="K340" s="275">
        <v>0.54166666666666663</v>
      </c>
      <c r="L340" s="275">
        <v>0.91666666666666663</v>
      </c>
      <c r="M340" s="275">
        <v>0.375</v>
      </c>
      <c r="N340" s="275"/>
      <c r="O340" s="275"/>
      <c r="P340" s="275"/>
      <c r="Q340" s="276">
        <v>40042</v>
      </c>
      <c r="R340" s="275" t="s">
        <v>72</v>
      </c>
      <c r="S340" s="275" t="s">
        <v>2</v>
      </c>
      <c r="T340" s="284">
        <v>2419</v>
      </c>
      <c r="U340" s="276" t="s">
        <v>2228</v>
      </c>
      <c r="V340" s="276">
        <v>42439</v>
      </c>
      <c r="W340" s="276">
        <v>42439</v>
      </c>
      <c r="X340" s="284" t="s">
        <v>2</v>
      </c>
      <c r="Y340" s="274" t="s">
        <v>2245</v>
      </c>
      <c r="Z340" s="276" t="s">
        <v>2</v>
      </c>
      <c r="AA340" s="276" t="s">
        <v>2</v>
      </c>
      <c r="AB340" s="276" t="s">
        <v>2</v>
      </c>
      <c r="AC340" s="274" t="s">
        <v>2</v>
      </c>
      <c r="AD340" s="274">
        <v>2232050</v>
      </c>
      <c r="AE340" s="276">
        <v>30414</v>
      </c>
      <c r="AF340" s="276" t="s">
        <v>2189</v>
      </c>
      <c r="AG340" s="274" t="s">
        <v>775</v>
      </c>
      <c r="AH340" s="276" t="s">
        <v>2197</v>
      </c>
      <c r="AI340" s="277" t="s">
        <v>89</v>
      </c>
      <c r="AJ340" s="274" t="s">
        <v>2</v>
      </c>
      <c r="AK340" s="274" t="s">
        <v>1288</v>
      </c>
      <c r="AL340" s="276" t="s">
        <v>1301</v>
      </c>
      <c r="AM340" s="274" t="s">
        <v>2</v>
      </c>
      <c r="AN340" s="274" t="s">
        <v>2</v>
      </c>
      <c r="AO340" s="279" t="s">
        <v>1331</v>
      </c>
      <c r="AP340" s="152" t="s">
        <v>2</v>
      </c>
      <c r="AQ340" s="302" t="s">
        <v>2</v>
      </c>
    </row>
    <row r="341" spans="1:43" ht="15" customHeight="1">
      <c r="B341" s="84"/>
      <c r="C341" s="64"/>
      <c r="D341" s="301">
        <v>10027</v>
      </c>
      <c r="E341" s="283">
        <v>689578</v>
      </c>
      <c r="F341" s="273">
        <v>12688</v>
      </c>
      <c r="G341" s="274" t="s">
        <v>2710</v>
      </c>
      <c r="H341" s="274" t="s">
        <v>775</v>
      </c>
      <c r="I341" s="274" t="s">
        <v>9</v>
      </c>
      <c r="J341" s="274" t="s">
        <v>1359</v>
      </c>
      <c r="K341" s="275">
        <v>0.375</v>
      </c>
      <c r="L341" s="275">
        <v>0.75</v>
      </c>
      <c r="M341" s="275">
        <v>0.375</v>
      </c>
      <c r="N341" s="275" t="s">
        <v>2</v>
      </c>
      <c r="O341" s="275" t="s">
        <v>2</v>
      </c>
      <c r="P341" s="275" t="s">
        <v>2</v>
      </c>
      <c r="Q341" s="276">
        <v>39773</v>
      </c>
      <c r="R341" s="284" t="s">
        <v>72</v>
      </c>
      <c r="S341" s="275" t="s">
        <v>2</v>
      </c>
      <c r="T341" s="284">
        <v>2688</v>
      </c>
      <c r="U341" s="284" t="s">
        <v>2711</v>
      </c>
      <c r="V341" s="276">
        <v>42439</v>
      </c>
      <c r="W341" s="276">
        <v>42439</v>
      </c>
      <c r="X341" s="276" t="s">
        <v>2</v>
      </c>
      <c r="Y341" s="276" t="s">
        <v>2245</v>
      </c>
      <c r="Z341" s="274" t="s">
        <v>2</v>
      </c>
      <c r="AA341" s="274" t="s">
        <v>2</v>
      </c>
      <c r="AB341" s="274" t="s">
        <v>2</v>
      </c>
      <c r="AC341" s="276" t="s">
        <v>2</v>
      </c>
      <c r="AD341" s="274">
        <v>3545070</v>
      </c>
      <c r="AE341" s="276">
        <v>32354</v>
      </c>
      <c r="AF341" s="277" t="s">
        <v>2195</v>
      </c>
      <c r="AG341" s="274" t="s">
        <v>775</v>
      </c>
      <c r="AH341" s="276" t="s">
        <v>2197</v>
      </c>
      <c r="AI341" s="276" t="s">
        <v>89</v>
      </c>
      <c r="AJ341" s="274" t="s">
        <v>2</v>
      </c>
      <c r="AK341" s="278" t="s">
        <v>2712</v>
      </c>
      <c r="AL341" s="279" t="s">
        <v>2713</v>
      </c>
      <c r="AM341" s="274" t="s">
        <v>2</v>
      </c>
      <c r="AN341" s="274" t="s">
        <v>2</v>
      </c>
      <c r="AO341" s="281" t="s">
        <v>2</v>
      </c>
      <c r="AP341" s="152" t="s">
        <v>2</v>
      </c>
      <c r="AQ341" s="302" t="s">
        <v>2</v>
      </c>
    </row>
    <row r="342" spans="1:43" ht="15" customHeight="1">
      <c r="B342" s="84"/>
      <c r="C342" s="64"/>
      <c r="D342" s="301">
        <v>23012</v>
      </c>
      <c r="E342" s="283">
        <v>779208</v>
      </c>
      <c r="F342" s="273">
        <v>12762</v>
      </c>
      <c r="G342" s="274" t="s">
        <v>124</v>
      </c>
      <c r="H342" s="274" t="s">
        <v>410</v>
      </c>
      <c r="I342" s="274" t="s">
        <v>9</v>
      </c>
      <c r="J342" s="274" t="s">
        <v>393</v>
      </c>
      <c r="K342" s="275">
        <v>0.61111111111111105</v>
      </c>
      <c r="L342" s="275">
        <v>0.875</v>
      </c>
      <c r="M342" s="275">
        <v>0.2638888888888889</v>
      </c>
      <c r="N342" s="275">
        <v>0.65277777777777779</v>
      </c>
      <c r="O342" s="275">
        <v>0.70833333333333337</v>
      </c>
      <c r="P342" s="275">
        <v>0.82638888888888884</v>
      </c>
      <c r="Q342" s="276">
        <v>41155</v>
      </c>
      <c r="R342" s="284" t="s">
        <v>72</v>
      </c>
      <c r="S342" s="276">
        <v>41178</v>
      </c>
      <c r="T342" s="284">
        <v>1301</v>
      </c>
      <c r="U342" s="274" t="s">
        <v>2216</v>
      </c>
      <c r="V342" s="276">
        <v>42471</v>
      </c>
      <c r="W342" s="276">
        <v>42464</v>
      </c>
      <c r="X342" s="276" t="s">
        <v>2</v>
      </c>
      <c r="Y342" s="274" t="s">
        <v>2246</v>
      </c>
      <c r="Z342" s="274" t="s">
        <v>2</v>
      </c>
      <c r="AA342" s="274" t="s">
        <v>2</v>
      </c>
      <c r="AB342" s="276" t="s">
        <v>2</v>
      </c>
      <c r="AC342" s="274" t="s">
        <v>2</v>
      </c>
      <c r="AD342" s="274">
        <v>8450060</v>
      </c>
      <c r="AE342" s="277">
        <v>32626</v>
      </c>
      <c r="AF342" s="274" t="s">
        <v>2194</v>
      </c>
      <c r="AG342" s="274" t="s">
        <v>775</v>
      </c>
      <c r="AH342" s="276" t="s">
        <v>2197</v>
      </c>
      <c r="AI342" s="274" t="s">
        <v>89</v>
      </c>
      <c r="AJ342" s="278" t="s">
        <v>2</v>
      </c>
      <c r="AK342" s="279" t="s">
        <v>811</v>
      </c>
      <c r="AL342" s="274" t="s">
        <v>459</v>
      </c>
      <c r="AM342" s="274" t="s">
        <v>2</v>
      </c>
      <c r="AN342" s="274" t="s">
        <v>2</v>
      </c>
      <c r="AO342" s="281" t="s">
        <v>1101</v>
      </c>
      <c r="AP342" s="152" t="s">
        <v>1249</v>
      </c>
      <c r="AQ342" s="302" t="s">
        <v>2</v>
      </c>
    </row>
    <row r="343" spans="1:43" ht="15" customHeight="1">
      <c r="B343" s="84"/>
      <c r="C343" s="64"/>
      <c r="D343" s="301">
        <v>19485</v>
      </c>
      <c r="E343" s="283">
        <v>750235</v>
      </c>
      <c r="F343" s="273">
        <v>12305</v>
      </c>
      <c r="G343" s="274" t="s">
        <v>159</v>
      </c>
      <c r="H343" s="274" t="s">
        <v>412</v>
      </c>
      <c r="I343" s="274" t="s">
        <v>9</v>
      </c>
      <c r="J343" s="274" t="s">
        <v>395</v>
      </c>
      <c r="K343" s="275">
        <v>0.4916666666666667</v>
      </c>
      <c r="L343" s="275">
        <v>0.83333333333333337</v>
      </c>
      <c r="M343" s="275">
        <v>0.34166666666666662</v>
      </c>
      <c r="N343" s="275" t="s">
        <v>2</v>
      </c>
      <c r="O343" s="275" t="s">
        <v>2</v>
      </c>
      <c r="P343" s="275" t="s">
        <v>2</v>
      </c>
      <c r="Q343" s="276">
        <v>40848</v>
      </c>
      <c r="R343" s="284" t="s">
        <v>72</v>
      </c>
      <c r="S343" s="276">
        <v>40871</v>
      </c>
      <c r="T343" s="284">
        <v>1608</v>
      </c>
      <c r="U343" s="274" t="s">
        <v>2218</v>
      </c>
      <c r="V343" s="276">
        <v>42479</v>
      </c>
      <c r="W343" s="276">
        <v>42479</v>
      </c>
      <c r="X343" s="276" t="s">
        <v>2</v>
      </c>
      <c r="Y343" s="274" t="s">
        <v>2246</v>
      </c>
      <c r="Z343" s="274" t="s">
        <v>2</v>
      </c>
      <c r="AA343" s="274" t="s">
        <v>2</v>
      </c>
      <c r="AB343" s="276" t="s">
        <v>2</v>
      </c>
      <c r="AC343" s="274">
        <v>171</v>
      </c>
      <c r="AD343" s="274">
        <v>8594250</v>
      </c>
      <c r="AE343" s="277">
        <v>31444</v>
      </c>
      <c r="AF343" s="274" t="s">
        <v>2194</v>
      </c>
      <c r="AG343" s="274" t="s">
        <v>775</v>
      </c>
      <c r="AH343" s="276" t="s">
        <v>2197</v>
      </c>
      <c r="AI343" s="274" t="s">
        <v>89</v>
      </c>
      <c r="AJ343" s="278" t="s">
        <v>2</v>
      </c>
      <c r="AK343" s="279" t="s">
        <v>845</v>
      </c>
      <c r="AL343" s="274" t="s">
        <v>493</v>
      </c>
      <c r="AM343" s="274" t="s">
        <v>2</v>
      </c>
      <c r="AN343" s="274" t="s">
        <v>2</v>
      </c>
      <c r="AO343" s="281" t="s">
        <v>1133</v>
      </c>
      <c r="AP343" s="152" t="s">
        <v>1249</v>
      </c>
      <c r="AQ343" s="302" t="s">
        <v>2</v>
      </c>
    </row>
    <row r="344" spans="1:43" ht="15" customHeight="1">
      <c r="B344" s="84"/>
      <c r="C344" s="64"/>
      <c r="D344" s="301">
        <v>31516</v>
      </c>
      <c r="E344" s="283">
        <v>915116</v>
      </c>
      <c r="F344" s="273">
        <v>17041</v>
      </c>
      <c r="G344" s="274" t="s">
        <v>2682</v>
      </c>
      <c r="H344" s="274" t="s">
        <v>417</v>
      </c>
      <c r="I344" s="274" t="s">
        <v>9</v>
      </c>
      <c r="J344" s="274" t="s">
        <v>398</v>
      </c>
      <c r="K344" s="275">
        <v>0.59722222222222221</v>
      </c>
      <c r="L344" s="275">
        <v>0.86111111111111116</v>
      </c>
      <c r="M344" s="275">
        <v>0.2638888888888889</v>
      </c>
      <c r="N344" s="275">
        <v>0.68055555555555547</v>
      </c>
      <c r="O344" s="275">
        <v>0.75</v>
      </c>
      <c r="P344" s="275">
        <v>0.8125</v>
      </c>
      <c r="Q344" s="276">
        <v>42404</v>
      </c>
      <c r="R344" s="284" t="s">
        <v>72</v>
      </c>
      <c r="S344" s="276">
        <v>42429</v>
      </c>
      <c r="T344" s="284">
        <v>50</v>
      </c>
      <c r="U344" s="274" t="s">
        <v>2219</v>
      </c>
      <c r="V344" s="276">
        <v>42461</v>
      </c>
      <c r="W344" s="276">
        <v>42461</v>
      </c>
      <c r="X344" s="276" t="s">
        <v>2</v>
      </c>
      <c r="Y344" s="274" t="s">
        <v>2246</v>
      </c>
      <c r="Z344" s="274" t="s">
        <v>2</v>
      </c>
      <c r="AA344" s="274" t="s">
        <v>2</v>
      </c>
      <c r="AB344" s="276" t="s">
        <v>2</v>
      </c>
      <c r="AC344" s="274" t="s">
        <v>1257</v>
      </c>
      <c r="AD344" s="274" t="s">
        <v>2</v>
      </c>
      <c r="AE344" s="277" t="s">
        <v>2</v>
      </c>
      <c r="AF344" s="274" t="s">
        <v>2</v>
      </c>
      <c r="AG344" s="274" t="s">
        <v>775</v>
      </c>
      <c r="AH344" s="276" t="s">
        <v>2197</v>
      </c>
      <c r="AI344" s="274" t="s">
        <v>89</v>
      </c>
      <c r="AJ344" s="278">
        <v>810380</v>
      </c>
      <c r="AK344" s="279" t="s">
        <v>2699</v>
      </c>
      <c r="AL344" s="274" t="s">
        <v>2731</v>
      </c>
      <c r="AM344" s="274" t="s">
        <v>2</v>
      </c>
      <c r="AN344" s="274" t="s">
        <v>2</v>
      </c>
      <c r="AO344" s="281" t="s">
        <v>2732</v>
      </c>
      <c r="AP344" s="152" t="s">
        <v>2</v>
      </c>
      <c r="AQ344" s="302" t="s">
        <v>2</v>
      </c>
    </row>
    <row r="345" spans="1:43" ht="15" customHeight="1">
      <c r="B345" s="84"/>
      <c r="C345" s="64"/>
      <c r="D345" s="301">
        <v>30167</v>
      </c>
      <c r="E345" s="283">
        <v>873172</v>
      </c>
      <c r="F345" s="273">
        <v>17017</v>
      </c>
      <c r="G345" s="274" t="s">
        <v>192</v>
      </c>
      <c r="H345" s="274" t="s">
        <v>415</v>
      </c>
      <c r="I345" s="274" t="s">
        <v>9</v>
      </c>
      <c r="J345" s="274" t="s">
        <v>398</v>
      </c>
      <c r="K345" s="275">
        <v>0.375</v>
      </c>
      <c r="L345" s="275">
        <v>0.63888888888888895</v>
      </c>
      <c r="M345" s="275">
        <v>0.2638888888888889</v>
      </c>
      <c r="N345" s="275">
        <v>0.4236111111111111</v>
      </c>
      <c r="O345" s="275">
        <v>0.4861111111111111</v>
      </c>
      <c r="P345" s="275">
        <v>0.56944444444444442</v>
      </c>
      <c r="Q345" s="276">
        <v>42044</v>
      </c>
      <c r="R345" s="284" t="s">
        <v>72</v>
      </c>
      <c r="S345" s="276">
        <v>42068</v>
      </c>
      <c r="T345" s="284">
        <v>411</v>
      </c>
      <c r="U345" s="274" t="s">
        <v>2218</v>
      </c>
      <c r="V345" s="276">
        <v>42464</v>
      </c>
      <c r="W345" s="276">
        <v>42461</v>
      </c>
      <c r="X345" s="276" t="s">
        <v>2</v>
      </c>
      <c r="Y345" s="274" t="s">
        <v>2245</v>
      </c>
      <c r="Z345" s="274" t="s">
        <v>2</v>
      </c>
      <c r="AA345" s="274" t="s">
        <v>2</v>
      </c>
      <c r="AB345" s="276" t="s">
        <v>2</v>
      </c>
      <c r="AC345" s="274" t="s">
        <v>1257</v>
      </c>
      <c r="AD345" s="274" t="s">
        <v>722</v>
      </c>
      <c r="AE345" s="277">
        <v>28822</v>
      </c>
      <c r="AF345" s="274" t="s">
        <v>2190</v>
      </c>
      <c r="AG345" s="274" t="s">
        <v>775</v>
      </c>
      <c r="AH345" s="276" t="s">
        <v>2197</v>
      </c>
      <c r="AI345" s="274" t="s">
        <v>89</v>
      </c>
      <c r="AJ345" s="278">
        <v>810319</v>
      </c>
      <c r="AK345" s="279" t="s">
        <v>877</v>
      </c>
      <c r="AL345" s="274" t="s">
        <v>525</v>
      </c>
      <c r="AM345" s="274" t="s">
        <v>2</v>
      </c>
      <c r="AN345" s="274" t="s">
        <v>2</v>
      </c>
      <c r="AO345" s="281" t="s">
        <v>2517</v>
      </c>
      <c r="AP345" s="152" t="s">
        <v>2</v>
      </c>
      <c r="AQ345" s="302" t="s">
        <v>2</v>
      </c>
    </row>
    <row r="346" spans="1:43" ht="15" customHeight="1">
      <c r="B346" s="84"/>
      <c r="C346" s="64"/>
      <c r="D346" s="301">
        <v>30444</v>
      </c>
      <c r="E346" s="283">
        <v>876649</v>
      </c>
      <c r="F346" s="273">
        <v>12003</v>
      </c>
      <c r="G346" s="274" t="s">
        <v>303</v>
      </c>
      <c r="H346" s="274" t="s">
        <v>414</v>
      </c>
      <c r="I346" s="274" t="s">
        <v>9</v>
      </c>
      <c r="J346" s="274" t="s">
        <v>403</v>
      </c>
      <c r="K346" s="275">
        <v>0.35416666666666669</v>
      </c>
      <c r="L346" s="275">
        <v>0.61805555555555558</v>
      </c>
      <c r="M346" s="275">
        <v>0.2638888888888889</v>
      </c>
      <c r="N346" s="275">
        <v>0.39583333333333331</v>
      </c>
      <c r="O346" s="275">
        <v>0.46527777777777773</v>
      </c>
      <c r="P346" s="275">
        <v>0.55555555555555558</v>
      </c>
      <c r="Q346" s="276">
        <v>42079</v>
      </c>
      <c r="R346" s="284" t="s">
        <v>72</v>
      </c>
      <c r="S346" s="276">
        <v>42103</v>
      </c>
      <c r="T346" s="284">
        <v>376</v>
      </c>
      <c r="U346" s="274" t="s">
        <v>2218</v>
      </c>
      <c r="V346" s="276">
        <v>42478</v>
      </c>
      <c r="W346" s="276">
        <v>42478</v>
      </c>
      <c r="X346" s="276" t="s">
        <v>2</v>
      </c>
      <c r="Y346" s="274" t="s">
        <v>2245</v>
      </c>
      <c r="Z346" s="274" t="s">
        <v>2</v>
      </c>
      <c r="AA346" s="274" t="s">
        <v>2</v>
      </c>
      <c r="AB346" s="276" t="s">
        <v>2</v>
      </c>
      <c r="AC346" s="274" t="s">
        <v>2248</v>
      </c>
      <c r="AD346" s="274" t="s">
        <v>761</v>
      </c>
      <c r="AE346" s="277">
        <v>35346</v>
      </c>
      <c r="AF346" s="274" t="s">
        <v>2195</v>
      </c>
      <c r="AG346" s="274" t="s">
        <v>775</v>
      </c>
      <c r="AH346" s="276" t="s">
        <v>2197</v>
      </c>
      <c r="AI346" s="274" t="s">
        <v>89</v>
      </c>
      <c r="AJ346" s="278">
        <v>810276</v>
      </c>
      <c r="AK346" s="279" t="s">
        <v>983</v>
      </c>
      <c r="AL346" s="274" t="s">
        <v>631</v>
      </c>
      <c r="AM346" s="274" t="s">
        <v>2</v>
      </c>
      <c r="AN346" s="274" t="s">
        <v>2</v>
      </c>
      <c r="AO346" s="281" t="s">
        <v>2606</v>
      </c>
      <c r="AP346" s="152" t="s">
        <v>1249</v>
      </c>
      <c r="AQ346" s="302" t="s">
        <v>2</v>
      </c>
    </row>
    <row r="347" spans="1:43" ht="15" customHeight="1">
      <c r="B347" s="84"/>
      <c r="C347" s="64"/>
      <c r="D347" s="301">
        <v>15824</v>
      </c>
      <c r="E347" s="283">
        <v>721564</v>
      </c>
      <c r="F347" s="273">
        <v>12141</v>
      </c>
      <c r="G347" s="274" t="s">
        <v>172</v>
      </c>
      <c r="H347" s="274" t="s">
        <v>417</v>
      </c>
      <c r="I347" s="274" t="s">
        <v>16</v>
      </c>
      <c r="J347" s="274" t="s">
        <v>403</v>
      </c>
      <c r="K347" s="275">
        <v>0.57500000000000007</v>
      </c>
      <c r="L347" s="275">
        <v>0.91666666666666663</v>
      </c>
      <c r="M347" s="275">
        <v>0.34166666666666662</v>
      </c>
      <c r="N347" s="275">
        <v>0.65277777777777779</v>
      </c>
      <c r="O347" s="275">
        <v>0.77083333333333337</v>
      </c>
      <c r="P347" s="275">
        <v>0.86805555555555547</v>
      </c>
      <c r="Q347" s="276">
        <v>40611</v>
      </c>
      <c r="R347" s="284" t="s">
        <v>72</v>
      </c>
      <c r="S347" s="276">
        <v>40634</v>
      </c>
      <c r="T347" s="284">
        <v>1845</v>
      </c>
      <c r="U347" s="274" t="s">
        <v>2218</v>
      </c>
      <c r="V347" s="276">
        <v>42468</v>
      </c>
      <c r="W347" s="276">
        <v>42468</v>
      </c>
      <c r="X347" s="276" t="s">
        <v>2</v>
      </c>
      <c r="Y347" s="274" t="s">
        <v>2</v>
      </c>
      <c r="Z347" s="274" t="s">
        <v>403</v>
      </c>
      <c r="AA347" s="274" t="s">
        <v>2714</v>
      </c>
      <c r="AB347" s="276">
        <v>42468</v>
      </c>
      <c r="AC347" s="274" t="s">
        <v>2248</v>
      </c>
      <c r="AD347" s="274">
        <v>3982100</v>
      </c>
      <c r="AE347" s="277">
        <v>29588</v>
      </c>
      <c r="AF347" s="274" t="s">
        <v>2195</v>
      </c>
      <c r="AG347" s="274" t="s">
        <v>775</v>
      </c>
      <c r="AH347" s="276" t="s">
        <v>2197</v>
      </c>
      <c r="AI347" s="274" t="s">
        <v>89</v>
      </c>
      <c r="AJ347" s="278">
        <v>24209</v>
      </c>
      <c r="AK347" s="279" t="s">
        <v>857</v>
      </c>
      <c r="AL347" s="274" t="s">
        <v>505</v>
      </c>
      <c r="AM347" s="274" t="s">
        <v>2</v>
      </c>
      <c r="AN347" s="274" t="s">
        <v>2</v>
      </c>
      <c r="AO347" s="281" t="s">
        <v>2628</v>
      </c>
      <c r="AP347" s="152" t="s">
        <v>2</v>
      </c>
      <c r="AQ347" s="302" t="s">
        <v>2</v>
      </c>
    </row>
    <row r="348" spans="1:43" ht="15" customHeight="1">
      <c r="B348" s="280" t="s">
        <v>26</v>
      </c>
      <c r="C348" s="64"/>
      <c r="D348" s="301">
        <v>29914</v>
      </c>
      <c r="E348" s="283">
        <v>869818</v>
      </c>
      <c r="F348" s="273">
        <v>12583</v>
      </c>
      <c r="G348" s="274" t="s">
        <v>155</v>
      </c>
      <c r="H348" s="274" t="s">
        <v>412</v>
      </c>
      <c r="I348" s="274" t="s">
        <v>16</v>
      </c>
      <c r="J348" s="274" t="s">
        <v>395</v>
      </c>
      <c r="K348" s="275">
        <v>0.3611111111111111</v>
      </c>
      <c r="L348" s="275">
        <v>0.625</v>
      </c>
      <c r="M348" s="275">
        <v>0.2638888888888889</v>
      </c>
      <c r="N348" s="275" t="s">
        <v>2</v>
      </c>
      <c r="O348" s="275" t="s">
        <v>2</v>
      </c>
      <c r="P348" s="275" t="s">
        <v>2</v>
      </c>
      <c r="Q348" s="276">
        <v>42010</v>
      </c>
      <c r="R348" s="284" t="s">
        <v>72</v>
      </c>
      <c r="S348" s="276">
        <v>42036</v>
      </c>
      <c r="T348" s="284">
        <v>472</v>
      </c>
      <c r="U348" s="274" t="s">
        <v>2218</v>
      </c>
      <c r="V348" s="276">
        <v>42507</v>
      </c>
      <c r="W348" s="276">
        <v>42508</v>
      </c>
      <c r="X348" s="276" t="s">
        <v>2</v>
      </c>
      <c r="Y348" s="274" t="s">
        <v>2</v>
      </c>
      <c r="Z348" s="274" t="s">
        <v>395</v>
      </c>
      <c r="AA348" s="274" t="s">
        <v>2714</v>
      </c>
      <c r="AB348" s="276">
        <v>42507</v>
      </c>
      <c r="AC348" s="274">
        <v>171</v>
      </c>
      <c r="AD348" s="274" t="s">
        <v>2</v>
      </c>
      <c r="AE348" s="277">
        <v>3734090</v>
      </c>
      <c r="AF348" s="274" t="s">
        <v>2</v>
      </c>
      <c r="AG348" s="274" t="s">
        <v>2</v>
      </c>
      <c r="AH348" s="276" t="s">
        <v>2</v>
      </c>
      <c r="AI348" s="274" t="s">
        <v>2195</v>
      </c>
      <c r="AJ348" s="278" t="s">
        <v>2</v>
      </c>
      <c r="AK348" s="279" t="s">
        <v>2</v>
      </c>
      <c r="AL348" s="274" t="s">
        <v>775</v>
      </c>
      <c r="AM348" s="274" t="s">
        <v>68</v>
      </c>
      <c r="AN348" s="274" t="s">
        <v>89</v>
      </c>
      <c r="AO348" s="281" t="s">
        <v>2</v>
      </c>
      <c r="AP348" s="152" t="s">
        <v>842</v>
      </c>
      <c r="AQ348" s="302" t="s">
        <v>489</v>
      </c>
    </row>
    <row r="349" spans="1:43" ht="15" customHeight="1">
      <c r="A349" s="92" t="s">
        <v>2449</v>
      </c>
      <c r="B349" s="280" t="s">
        <v>26</v>
      </c>
      <c r="C349" s="64"/>
      <c r="D349" s="301">
        <v>24159</v>
      </c>
      <c r="E349" s="283">
        <v>795193</v>
      </c>
      <c r="F349" s="273">
        <v>12019</v>
      </c>
      <c r="G349" s="274" t="s">
        <v>167</v>
      </c>
      <c r="H349" s="274" t="s">
        <v>412</v>
      </c>
      <c r="I349" s="274" t="s">
        <v>9</v>
      </c>
      <c r="J349" s="274" t="s">
        <v>395</v>
      </c>
      <c r="K349" s="275">
        <v>0.4916666666666667</v>
      </c>
      <c r="L349" s="275">
        <v>0.83333333333333337</v>
      </c>
      <c r="M349" s="275">
        <v>0.34166666666666662</v>
      </c>
      <c r="N349" s="275">
        <v>0.53472222222222221</v>
      </c>
      <c r="O349" s="275">
        <v>0.625</v>
      </c>
      <c r="P349" s="275">
        <v>0.72916666666666663</v>
      </c>
      <c r="Q349" s="276">
        <v>41306</v>
      </c>
      <c r="R349" s="284" t="s">
        <v>72</v>
      </c>
      <c r="S349" s="276">
        <v>41329</v>
      </c>
      <c r="T349" s="284">
        <v>1179</v>
      </c>
      <c r="U349" s="274" t="s">
        <v>2220</v>
      </c>
      <c r="V349" s="276">
        <v>42494</v>
      </c>
      <c r="W349" s="276">
        <v>42494</v>
      </c>
      <c r="X349" s="276" t="s">
        <v>2</v>
      </c>
      <c r="Y349" s="274" t="s">
        <v>2246</v>
      </c>
      <c r="Z349" s="274" t="s">
        <v>2</v>
      </c>
      <c r="AA349" s="274" t="s">
        <v>2</v>
      </c>
      <c r="AB349" s="276" t="s">
        <v>2</v>
      </c>
      <c r="AC349" s="274">
        <v>171</v>
      </c>
      <c r="AD349" s="274" t="s">
        <v>2</v>
      </c>
      <c r="AE349" s="277">
        <v>2125000</v>
      </c>
      <c r="AF349" s="274" t="s">
        <v>2</v>
      </c>
      <c r="AG349" s="274" t="s">
        <v>2</v>
      </c>
      <c r="AH349" s="276">
        <v>34559</v>
      </c>
      <c r="AI349" s="274" t="s">
        <v>2189</v>
      </c>
      <c r="AJ349" s="278" t="s">
        <v>2</v>
      </c>
      <c r="AK349" s="279" t="s">
        <v>2</v>
      </c>
      <c r="AL349" s="274" t="s">
        <v>775</v>
      </c>
      <c r="AM349" s="274" t="s">
        <v>68</v>
      </c>
      <c r="AN349" s="274" t="s">
        <v>89</v>
      </c>
      <c r="AO349" s="281">
        <v>810105</v>
      </c>
      <c r="AP349" s="152" t="s">
        <v>853</v>
      </c>
      <c r="AQ349" s="302" t="s">
        <v>501</v>
      </c>
    </row>
    <row r="350" spans="1:43" ht="15" customHeight="1">
      <c r="B350" s="280" t="s">
        <v>26</v>
      </c>
      <c r="C350" s="64"/>
      <c r="D350" s="301">
        <v>31204</v>
      </c>
      <c r="E350" s="283">
        <v>897654</v>
      </c>
      <c r="F350" s="273">
        <v>12903</v>
      </c>
      <c r="G350" s="274" t="s">
        <v>2325</v>
      </c>
      <c r="H350" s="274" t="s">
        <v>415</v>
      </c>
      <c r="I350" s="274" t="s">
        <v>16</v>
      </c>
      <c r="J350" s="274" t="s">
        <v>398</v>
      </c>
      <c r="K350" s="275">
        <v>0.35416666666666669</v>
      </c>
      <c r="L350" s="275">
        <v>0.6958333333333333</v>
      </c>
      <c r="M350" s="275">
        <v>0.34166666666666662</v>
      </c>
      <c r="N350" s="275">
        <v>0.40972222222222227</v>
      </c>
      <c r="O350" s="275">
        <v>0.52083333333333337</v>
      </c>
      <c r="P350" s="275">
        <v>0.63194444444444442</v>
      </c>
      <c r="Q350" s="276">
        <v>42256</v>
      </c>
      <c r="R350" s="284" t="s">
        <v>72</v>
      </c>
      <c r="S350" s="276">
        <v>42282</v>
      </c>
      <c r="T350" s="284">
        <v>226</v>
      </c>
      <c r="U350" s="274" t="s">
        <v>2218</v>
      </c>
      <c r="V350" s="276">
        <v>42507</v>
      </c>
      <c r="W350" s="276">
        <v>42508</v>
      </c>
      <c r="X350" s="276" t="s">
        <v>2</v>
      </c>
      <c r="Y350" s="274" t="s">
        <v>2</v>
      </c>
      <c r="Z350" s="274" t="s">
        <v>398</v>
      </c>
      <c r="AA350" s="274" t="s">
        <v>2714</v>
      </c>
      <c r="AB350" s="276">
        <v>42507</v>
      </c>
      <c r="AC350" s="274" t="s">
        <v>2</v>
      </c>
      <c r="AD350" s="274"/>
      <c r="AE350" s="277" t="s">
        <v>2</v>
      </c>
      <c r="AF350" s="274"/>
      <c r="AG350" s="274"/>
      <c r="AH350" s="276">
        <v>35100</v>
      </c>
      <c r="AI350" s="274" t="s">
        <v>2</v>
      </c>
      <c r="AJ350" s="278"/>
      <c r="AK350" s="279"/>
      <c r="AL350" s="274" t="s">
        <v>775</v>
      </c>
      <c r="AM350" s="274" t="s">
        <v>68</v>
      </c>
      <c r="AN350" s="274" t="s">
        <v>89</v>
      </c>
      <c r="AO350" s="281">
        <v>23673</v>
      </c>
      <c r="AP350" s="152" t="s">
        <v>2361</v>
      </c>
      <c r="AQ350" s="302" t="s">
        <v>2345</v>
      </c>
    </row>
    <row r="351" spans="1:43" ht="15" customHeight="1">
      <c r="B351" s="280" t="s">
        <v>26</v>
      </c>
      <c r="C351" s="64"/>
      <c r="D351" s="301">
        <v>30685</v>
      </c>
      <c r="E351" s="283">
        <v>882106</v>
      </c>
      <c r="F351" s="273">
        <v>17167</v>
      </c>
      <c r="G351" s="274" t="s">
        <v>205</v>
      </c>
      <c r="H351" s="274" t="s">
        <v>416</v>
      </c>
      <c r="I351" s="274" t="s">
        <v>16</v>
      </c>
      <c r="J351" s="274" t="s">
        <v>398</v>
      </c>
      <c r="K351" s="275">
        <v>0.35416666666666669</v>
      </c>
      <c r="L351" s="275">
        <v>0.6958333333333333</v>
      </c>
      <c r="M351" s="275">
        <v>0.34166666666666662</v>
      </c>
      <c r="N351" s="275">
        <v>0.4236111111111111</v>
      </c>
      <c r="O351" s="275">
        <v>0.52083333333333337</v>
      </c>
      <c r="P351" s="275">
        <v>0.625</v>
      </c>
      <c r="Q351" s="276">
        <v>42131</v>
      </c>
      <c r="R351" s="284" t="s">
        <v>72</v>
      </c>
      <c r="S351" s="276">
        <v>42156</v>
      </c>
      <c r="T351" s="284">
        <v>352</v>
      </c>
      <c r="U351" s="274" t="s">
        <v>2218</v>
      </c>
      <c r="V351" s="276">
        <v>42507</v>
      </c>
      <c r="W351" s="276">
        <v>42508</v>
      </c>
      <c r="X351" s="276" t="s">
        <v>2</v>
      </c>
      <c r="Y351" s="274" t="s">
        <v>2</v>
      </c>
      <c r="Z351" s="274" t="s">
        <v>398</v>
      </c>
      <c r="AA351" s="274" t="s">
        <v>2714</v>
      </c>
      <c r="AB351" s="276">
        <v>42507</v>
      </c>
      <c r="AC351" s="274" t="s">
        <v>1257</v>
      </c>
      <c r="AD351" s="274" t="s">
        <v>2</v>
      </c>
      <c r="AE351" s="277" t="s">
        <v>2</v>
      </c>
      <c r="AF351" s="274" t="s">
        <v>2</v>
      </c>
      <c r="AG351" s="274" t="s">
        <v>2</v>
      </c>
      <c r="AH351" s="276">
        <v>31510</v>
      </c>
      <c r="AI351" s="274" t="s">
        <v>2</v>
      </c>
      <c r="AJ351" s="278" t="s">
        <v>2</v>
      </c>
      <c r="AK351" s="279" t="s">
        <v>2</v>
      </c>
      <c r="AL351" s="274" t="s">
        <v>775</v>
      </c>
      <c r="AM351" s="274" t="s">
        <v>68</v>
      </c>
      <c r="AN351" s="274" t="s">
        <v>89</v>
      </c>
      <c r="AO351" s="281">
        <v>810335</v>
      </c>
      <c r="AP351" s="152" t="s">
        <v>889</v>
      </c>
      <c r="AQ351" s="302" t="s">
        <v>538</v>
      </c>
    </row>
    <row r="352" spans="1:43" ht="15" customHeight="1">
      <c r="B352" s="280" t="s">
        <v>8</v>
      </c>
      <c r="C352" s="64"/>
      <c r="D352" s="301">
        <v>31506</v>
      </c>
      <c r="E352" s="283">
        <v>915106</v>
      </c>
      <c r="F352" s="273">
        <v>17012</v>
      </c>
      <c r="G352" s="274" t="s">
        <v>2674</v>
      </c>
      <c r="H352" s="274" t="s">
        <v>416</v>
      </c>
      <c r="I352" s="274" t="s">
        <v>9</v>
      </c>
      <c r="J352" s="274" t="s">
        <v>398</v>
      </c>
      <c r="K352" s="275">
        <v>0.375</v>
      </c>
      <c r="L352" s="275">
        <v>0.63888888888888895</v>
      </c>
      <c r="M352" s="275">
        <v>0.2638888888888889</v>
      </c>
      <c r="N352" s="275">
        <v>0.4236111111111111</v>
      </c>
      <c r="O352" s="275">
        <v>0.5</v>
      </c>
      <c r="P352" s="275">
        <v>0.56944444444444442</v>
      </c>
      <c r="Q352" s="276">
        <v>42404</v>
      </c>
      <c r="R352" s="284" t="s">
        <v>72</v>
      </c>
      <c r="S352" s="276">
        <v>42429</v>
      </c>
      <c r="T352" s="284">
        <v>79</v>
      </c>
      <c r="U352" s="274" t="s">
        <v>2219</v>
      </c>
      <c r="V352" s="276">
        <v>42493</v>
      </c>
      <c r="W352" s="276">
        <v>42493</v>
      </c>
      <c r="X352" s="276" t="s">
        <v>2</v>
      </c>
      <c r="Y352" s="274" t="s">
        <v>2245</v>
      </c>
      <c r="Z352" s="274" t="s">
        <v>2</v>
      </c>
      <c r="AA352" s="274" t="s">
        <v>2</v>
      </c>
      <c r="AB352" s="276" t="s">
        <v>2</v>
      </c>
      <c r="AC352" s="274" t="s">
        <v>1257</v>
      </c>
      <c r="AD352" s="274"/>
      <c r="AE352" s="274" t="s">
        <v>2</v>
      </c>
      <c r="AF352" s="274" t="s">
        <v>2</v>
      </c>
      <c r="AG352" s="274" t="s">
        <v>2</v>
      </c>
      <c r="AH352" s="276" t="s">
        <v>2</v>
      </c>
      <c r="AI352" s="274" t="s">
        <v>2</v>
      </c>
      <c r="AJ352" s="274" t="s">
        <v>2</v>
      </c>
      <c r="AK352" s="274" t="s">
        <v>2</v>
      </c>
      <c r="AL352" s="274" t="s">
        <v>775</v>
      </c>
      <c r="AM352" s="274" t="s">
        <v>68</v>
      </c>
      <c r="AN352" s="274" t="s">
        <v>89</v>
      </c>
      <c r="AO352" s="281">
        <v>810398</v>
      </c>
      <c r="AP352" s="274" t="s">
        <v>2693</v>
      </c>
      <c r="AQ352" s="303" t="s">
        <v>2724</v>
      </c>
    </row>
    <row r="353" spans="1:43" ht="15" customHeight="1">
      <c r="B353" s="280" t="s">
        <v>26</v>
      </c>
      <c r="C353" s="64"/>
      <c r="D353" s="301">
        <v>31519</v>
      </c>
      <c r="E353" s="283">
        <v>915119</v>
      </c>
      <c r="F353" s="273">
        <v>17060</v>
      </c>
      <c r="G353" s="274" t="s">
        <v>2685</v>
      </c>
      <c r="H353" s="274" t="s">
        <v>420</v>
      </c>
      <c r="I353" s="274" t="s">
        <v>9</v>
      </c>
      <c r="J353" s="274" t="s">
        <v>398</v>
      </c>
      <c r="K353" s="275">
        <v>0.65277777777777779</v>
      </c>
      <c r="L353" s="275">
        <v>0.91666666666666663</v>
      </c>
      <c r="M353" s="275">
        <v>0.2638888888888889</v>
      </c>
      <c r="N353" s="275">
        <v>0.69444444444444453</v>
      </c>
      <c r="O353" s="275">
        <v>0.77777777777777779</v>
      </c>
      <c r="P353" s="275">
        <v>0.83333333333333337</v>
      </c>
      <c r="Q353" s="276">
        <v>42404</v>
      </c>
      <c r="R353" s="284" t="s">
        <v>72</v>
      </c>
      <c r="S353" s="276">
        <v>42429</v>
      </c>
      <c r="T353" s="284">
        <v>79</v>
      </c>
      <c r="U353" s="274" t="s">
        <v>2219</v>
      </c>
      <c r="V353" s="276">
        <v>42493</v>
      </c>
      <c r="W353" s="276">
        <v>42493</v>
      </c>
      <c r="X353" s="276" t="s">
        <v>2</v>
      </c>
      <c r="Y353" s="274" t="s">
        <v>2245</v>
      </c>
      <c r="Z353" s="274" t="s">
        <v>2</v>
      </c>
      <c r="AA353" s="274" t="s">
        <v>2</v>
      </c>
      <c r="AB353" s="276" t="s">
        <v>2</v>
      </c>
      <c r="AC353" s="274" t="s">
        <v>1257</v>
      </c>
      <c r="AD353" s="274"/>
      <c r="AE353" s="274" t="s">
        <v>2</v>
      </c>
      <c r="AF353" s="274" t="s">
        <v>2</v>
      </c>
      <c r="AG353" s="274" t="s">
        <v>2</v>
      </c>
      <c r="AH353" s="276" t="s">
        <v>2</v>
      </c>
      <c r="AI353" s="274" t="s">
        <v>2</v>
      </c>
      <c r="AJ353" s="274" t="s">
        <v>2</v>
      </c>
      <c r="AK353" s="274" t="s">
        <v>2</v>
      </c>
      <c r="AL353" s="274" t="s">
        <v>775</v>
      </c>
      <c r="AM353" s="274" t="s">
        <v>68</v>
      </c>
      <c r="AN353" s="274" t="s">
        <v>89</v>
      </c>
      <c r="AO353" s="246">
        <v>810371</v>
      </c>
      <c r="AP353" s="274" t="s">
        <v>2701</v>
      </c>
      <c r="AQ353" s="303" t="s">
        <v>2734</v>
      </c>
    </row>
    <row r="354" spans="1:43" ht="15" customHeight="1">
      <c r="B354" s="280" t="s">
        <v>8</v>
      </c>
      <c r="C354" s="64"/>
      <c r="D354" s="305">
        <v>31581</v>
      </c>
      <c r="E354" s="283">
        <v>923136</v>
      </c>
      <c r="F354" s="273">
        <v>17178</v>
      </c>
      <c r="G354" s="274" t="s">
        <v>2760</v>
      </c>
      <c r="H354" s="274" t="s">
        <v>415</v>
      </c>
      <c r="I354" s="274" t="s">
        <v>9</v>
      </c>
      <c r="J354" s="274" t="s">
        <v>398</v>
      </c>
      <c r="K354" s="275">
        <v>0.375</v>
      </c>
      <c r="L354" s="275">
        <v>0.63888888888888895</v>
      </c>
      <c r="M354" s="275">
        <v>0.2638888888888889</v>
      </c>
      <c r="N354" s="275">
        <v>0.43055555555555558</v>
      </c>
      <c r="O354" s="275">
        <v>0.50694444444444442</v>
      </c>
      <c r="P354" s="275">
        <v>0.57638888888888895</v>
      </c>
      <c r="Q354" s="276">
        <v>42466</v>
      </c>
      <c r="R354" s="284" t="s">
        <v>85</v>
      </c>
      <c r="S354" s="276">
        <v>42492</v>
      </c>
      <c r="T354" s="284">
        <v>16</v>
      </c>
      <c r="U354" s="274" t="s">
        <v>2218</v>
      </c>
      <c r="V354" s="276">
        <v>42506</v>
      </c>
      <c r="W354" s="276">
        <v>42503</v>
      </c>
      <c r="X354" s="276" t="s">
        <v>2</v>
      </c>
      <c r="Y354" s="274" t="s">
        <v>2246</v>
      </c>
      <c r="Z354" s="274" t="s">
        <v>2</v>
      </c>
      <c r="AA354" s="274" t="s">
        <v>2</v>
      </c>
      <c r="AB354" s="276" t="s">
        <v>2</v>
      </c>
      <c r="AC354" s="274" t="s">
        <v>1257</v>
      </c>
      <c r="AD354" s="274" t="s">
        <v>2</v>
      </c>
      <c r="AE354" s="277" t="s">
        <v>2</v>
      </c>
      <c r="AF354" s="274" t="s">
        <v>2</v>
      </c>
      <c r="AG354" s="274" t="s">
        <v>2</v>
      </c>
      <c r="AH354" s="276">
        <v>28668</v>
      </c>
      <c r="AI354" s="274" t="s">
        <v>2</v>
      </c>
      <c r="AJ354" s="278" t="s">
        <v>2</v>
      </c>
      <c r="AK354" s="279" t="s">
        <v>2</v>
      </c>
      <c r="AL354" s="274" t="s">
        <v>775</v>
      </c>
      <c r="AM354" s="274" t="s">
        <v>68</v>
      </c>
      <c r="AN354" s="274" t="s">
        <v>89</v>
      </c>
      <c r="AO354" s="281">
        <v>24473</v>
      </c>
      <c r="AP354" s="152" t="s">
        <v>2768</v>
      </c>
      <c r="AQ354" s="302" t="s">
        <v>2775</v>
      </c>
    </row>
    <row r="355" spans="1:43" ht="15" customHeight="1">
      <c r="B355" s="280" t="s">
        <v>26</v>
      </c>
      <c r="C355" s="64"/>
      <c r="D355" s="305">
        <v>31582</v>
      </c>
      <c r="E355" s="283">
        <v>923137</v>
      </c>
      <c r="F355" s="273">
        <v>17187</v>
      </c>
      <c r="G355" s="274" t="s">
        <v>2762</v>
      </c>
      <c r="H355" s="274" t="s">
        <v>415</v>
      </c>
      <c r="I355" s="274" t="s">
        <v>9</v>
      </c>
      <c r="J355" s="274" t="s">
        <v>398</v>
      </c>
      <c r="K355" s="275">
        <v>0.375</v>
      </c>
      <c r="L355" s="275">
        <v>0.63888888888888895</v>
      </c>
      <c r="M355" s="275">
        <v>0.2638888888888889</v>
      </c>
      <c r="N355" s="275">
        <v>0.4375</v>
      </c>
      <c r="O355" s="275">
        <v>0.51388888888888895</v>
      </c>
      <c r="P355" s="275">
        <v>0.57638888888888895</v>
      </c>
      <c r="Q355" s="276">
        <v>42466</v>
      </c>
      <c r="R355" s="284" t="s">
        <v>85</v>
      </c>
      <c r="S355" s="276">
        <v>42492</v>
      </c>
      <c r="T355" s="284">
        <v>16</v>
      </c>
      <c r="U355" s="274" t="s">
        <v>2218</v>
      </c>
      <c r="V355" s="276">
        <v>42493</v>
      </c>
      <c r="W355" s="276">
        <v>42493</v>
      </c>
      <c r="X355" s="276" t="s">
        <v>2</v>
      </c>
      <c r="Y355" s="274" t="s">
        <v>2246</v>
      </c>
      <c r="Z355" s="274" t="s">
        <v>2</v>
      </c>
      <c r="AA355" s="274" t="s">
        <v>2</v>
      </c>
      <c r="AB355" s="276" t="s">
        <v>2</v>
      </c>
      <c r="AC355" s="274" t="s">
        <v>1257</v>
      </c>
      <c r="AD355" s="274" t="s">
        <v>2</v>
      </c>
      <c r="AE355" s="277" t="s">
        <v>2</v>
      </c>
      <c r="AF355" s="274" t="s">
        <v>2</v>
      </c>
      <c r="AG355" s="274" t="s">
        <v>2</v>
      </c>
      <c r="AH355" s="276">
        <v>31216</v>
      </c>
      <c r="AI355" s="274" t="s">
        <v>2</v>
      </c>
      <c r="AJ355" s="278" t="s">
        <v>2</v>
      </c>
      <c r="AK355" s="279" t="s">
        <v>2</v>
      </c>
      <c r="AL355" s="274" t="s">
        <v>775</v>
      </c>
      <c r="AM355" s="274" t="s">
        <v>68</v>
      </c>
      <c r="AN355" s="274" t="s">
        <v>414</v>
      </c>
      <c r="AO355" s="281" t="s">
        <v>2784</v>
      </c>
      <c r="AP355" s="152" t="s">
        <v>2</v>
      </c>
      <c r="AQ355" s="302" t="s">
        <v>2</v>
      </c>
    </row>
    <row r="356" spans="1:43" ht="15" customHeight="1">
      <c r="B356" s="280" t="s">
        <v>26</v>
      </c>
      <c r="C356" s="64"/>
      <c r="D356" s="301">
        <v>14390</v>
      </c>
      <c r="E356" s="283">
        <v>714233</v>
      </c>
      <c r="F356" s="273">
        <v>12279</v>
      </c>
      <c r="G356" s="274" t="s">
        <v>269</v>
      </c>
      <c r="H356" s="274" t="s">
        <v>411</v>
      </c>
      <c r="I356" s="274" t="s">
        <v>9</v>
      </c>
      <c r="J356" s="274" t="s">
        <v>399</v>
      </c>
      <c r="K356" s="275">
        <v>0.42708333333333331</v>
      </c>
      <c r="L356" s="275">
        <v>0.71875</v>
      </c>
      <c r="M356" s="275">
        <v>0.29166666666666669</v>
      </c>
      <c r="N356" s="275" t="s">
        <v>2</v>
      </c>
      <c r="O356" s="275" t="s">
        <v>2</v>
      </c>
      <c r="P356" s="275" t="s">
        <v>2</v>
      </c>
      <c r="Q356" s="276">
        <v>40519</v>
      </c>
      <c r="R356" s="284" t="s">
        <v>72</v>
      </c>
      <c r="S356" s="276">
        <v>40542</v>
      </c>
      <c r="T356" s="284">
        <v>1966</v>
      </c>
      <c r="U356" s="274" t="s">
        <v>2221</v>
      </c>
      <c r="V356" s="276">
        <v>42499</v>
      </c>
      <c r="W356" s="276">
        <v>42496</v>
      </c>
      <c r="X356" s="227" t="s">
        <v>2</v>
      </c>
      <c r="Y356" s="274" t="s">
        <v>2245</v>
      </c>
      <c r="Z356" s="274" t="s">
        <v>2</v>
      </c>
      <c r="AA356" s="274" t="s">
        <v>2</v>
      </c>
      <c r="AB356" s="276" t="s">
        <v>2</v>
      </c>
      <c r="AC356" s="274">
        <v>372</v>
      </c>
      <c r="AD356" s="274" t="s">
        <v>2</v>
      </c>
      <c r="AE356" s="277">
        <v>2995000</v>
      </c>
      <c r="AF356" s="274" t="s">
        <v>2</v>
      </c>
      <c r="AG356" s="274" t="s">
        <v>2</v>
      </c>
      <c r="AH356" s="276">
        <v>33278</v>
      </c>
      <c r="AI356" s="274" t="s">
        <v>2189</v>
      </c>
      <c r="AJ356" s="278" t="s">
        <v>2</v>
      </c>
      <c r="AK356" s="279" t="s">
        <v>2</v>
      </c>
      <c r="AL356" s="274" t="s">
        <v>775</v>
      </c>
      <c r="AM356" s="274" t="s">
        <v>68</v>
      </c>
      <c r="AN356" s="274" t="s">
        <v>413</v>
      </c>
      <c r="AO356" s="281" t="s">
        <v>2569</v>
      </c>
      <c r="AP356" s="152" t="s">
        <v>1249</v>
      </c>
      <c r="AQ356" s="302" t="s">
        <v>2</v>
      </c>
    </row>
    <row r="357" spans="1:43" ht="15" customHeight="1">
      <c r="B357" s="280" t="s">
        <v>8</v>
      </c>
      <c r="C357" s="64"/>
      <c r="D357" s="301">
        <v>31515</v>
      </c>
      <c r="E357" s="283">
        <v>915115</v>
      </c>
      <c r="F357" s="273">
        <v>17035</v>
      </c>
      <c r="G357" s="274" t="s">
        <v>2688</v>
      </c>
      <c r="H357" s="274" t="s">
        <v>418</v>
      </c>
      <c r="I357" s="274" t="s">
        <v>9</v>
      </c>
      <c r="J357" s="274" t="s">
        <v>403</v>
      </c>
      <c r="K357" s="275">
        <v>0.375</v>
      </c>
      <c r="L357" s="275">
        <v>0.63888888888888895</v>
      </c>
      <c r="M357" s="275">
        <v>0.2638888888888889</v>
      </c>
      <c r="N357" s="275">
        <v>0.43055555555555558</v>
      </c>
      <c r="O357" s="275">
        <v>0.4861111111111111</v>
      </c>
      <c r="P357" s="275">
        <v>0.5625</v>
      </c>
      <c r="Q357" s="276">
        <v>42404</v>
      </c>
      <c r="R357" s="284" t="s">
        <v>72</v>
      </c>
      <c r="S357" s="276">
        <v>42429</v>
      </c>
      <c r="T357" s="284">
        <v>79</v>
      </c>
      <c r="U357" s="274" t="s">
        <v>2219</v>
      </c>
      <c r="V357" s="276">
        <v>42493</v>
      </c>
      <c r="W357" s="276">
        <v>42493</v>
      </c>
      <c r="X357" s="276" t="s">
        <v>2</v>
      </c>
      <c r="Y357" s="274" t="s">
        <v>2245</v>
      </c>
      <c r="Z357" s="274" t="s">
        <v>2</v>
      </c>
      <c r="AA357" s="274" t="s">
        <v>2</v>
      </c>
      <c r="AB357" s="276" t="s">
        <v>2</v>
      </c>
      <c r="AC357" s="274" t="s">
        <v>2248</v>
      </c>
      <c r="AD357" s="274"/>
      <c r="AE357" s="274" t="s">
        <v>2</v>
      </c>
      <c r="AF357" s="274" t="s">
        <v>2</v>
      </c>
      <c r="AG357" s="274" t="s">
        <v>2</v>
      </c>
      <c r="AH357" s="274" t="s">
        <v>2</v>
      </c>
      <c r="AI357" s="274" t="s">
        <v>2</v>
      </c>
      <c r="AJ357" s="274" t="s">
        <v>2</v>
      </c>
      <c r="AK357" s="274" t="s">
        <v>2</v>
      </c>
      <c r="AL357" s="274" t="s">
        <v>775</v>
      </c>
      <c r="AM357" s="274" t="s">
        <v>68</v>
      </c>
      <c r="AN357" s="274" t="s">
        <v>414</v>
      </c>
      <c r="AO357" s="246" t="s">
        <v>2746</v>
      </c>
      <c r="AP357" s="274" t="s">
        <v>2</v>
      </c>
      <c r="AQ357" s="303" t="s">
        <v>2</v>
      </c>
    </row>
    <row r="358" spans="1:43" ht="15" customHeight="1">
      <c r="B358" s="280" t="s">
        <v>26</v>
      </c>
      <c r="C358" s="64"/>
      <c r="D358" s="301">
        <v>31432</v>
      </c>
      <c r="E358" s="283">
        <v>911879</v>
      </c>
      <c r="F358" s="273">
        <v>12315</v>
      </c>
      <c r="G358" s="274" t="s">
        <v>2638</v>
      </c>
      <c r="H358" s="274" t="s">
        <v>418</v>
      </c>
      <c r="I358" s="274" t="s">
        <v>9</v>
      </c>
      <c r="J358" s="274" t="s">
        <v>403</v>
      </c>
      <c r="K358" s="275">
        <v>0.375</v>
      </c>
      <c r="L358" s="275">
        <v>0.63888888888888895</v>
      </c>
      <c r="M358" s="275">
        <v>0.2638888888888889</v>
      </c>
      <c r="N358" s="275">
        <v>0.4375</v>
      </c>
      <c r="O358" s="275">
        <v>0.52083333333333337</v>
      </c>
      <c r="P358" s="275">
        <v>0.57638888888888895</v>
      </c>
      <c r="Q358" s="276">
        <v>42373</v>
      </c>
      <c r="R358" s="284" t="s">
        <v>72</v>
      </c>
      <c r="S358" s="276">
        <v>42401</v>
      </c>
      <c r="T358" s="284">
        <v>107</v>
      </c>
      <c r="U358" s="274" t="s">
        <v>2218</v>
      </c>
      <c r="V358" s="276">
        <v>42502</v>
      </c>
      <c r="W358" s="276">
        <v>42502</v>
      </c>
      <c r="X358" s="276" t="s">
        <v>2</v>
      </c>
      <c r="Y358" s="274" t="s">
        <v>2246</v>
      </c>
      <c r="Z358" s="274" t="s">
        <v>2</v>
      </c>
      <c r="AA358" s="274" t="s">
        <v>2</v>
      </c>
      <c r="AB358" s="276" t="s">
        <v>2</v>
      </c>
      <c r="AC358" s="274" t="s">
        <v>2248</v>
      </c>
      <c r="AD358" s="274"/>
      <c r="AE358" s="277" t="s">
        <v>2</v>
      </c>
      <c r="AF358" s="274" t="s">
        <v>2</v>
      </c>
      <c r="AG358" s="274" t="s">
        <v>2</v>
      </c>
      <c r="AH358" s="276" t="s">
        <v>2</v>
      </c>
      <c r="AI358" s="274" t="s">
        <v>2</v>
      </c>
      <c r="AJ358" s="278"/>
      <c r="AK358" s="279"/>
      <c r="AL358" s="274" t="s">
        <v>775</v>
      </c>
      <c r="AM358" s="274" t="s">
        <v>68</v>
      </c>
      <c r="AN358" s="274" t="s">
        <v>414</v>
      </c>
      <c r="AO358" s="246" t="s">
        <v>2662</v>
      </c>
      <c r="AP358" s="152" t="s">
        <v>1249</v>
      </c>
      <c r="AQ358" s="302" t="s">
        <v>2</v>
      </c>
    </row>
    <row r="359" spans="1:43" ht="15" customHeight="1">
      <c r="B359" s="280" t="s">
        <v>8</v>
      </c>
      <c r="C359" s="64"/>
      <c r="D359" s="304">
        <v>31507</v>
      </c>
      <c r="E359" s="213">
        <v>915107</v>
      </c>
      <c r="F359" s="273">
        <v>17014</v>
      </c>
      <c r="G359" s="215" t="s">
        <v>2676</v>
      </c>
      <c r="H359" s="274" t="s">
        <v>417</v>
      </c>
      <c r="I359" s="215" t="s">
        <v>9</v>
      </c>
      <c r="J359" s="215" t="s">
        <v>403</v>
      </c>
      <c r="K359" s="275">
        <v>0.65277777777777779</v>
      </c>
      <c r="L359" s="275">
        <v>0.91666666666666663</v>
      </c>
      <c r="M359" s="275">
        <v>0.2638888888888889</v>
      </c>
      <c r="N359" s="275">
        <v>0.70138888888888884</v>
      </c>
      <c r="O359" s="275">
        <v>0.79861111111111116</v>
      </c>
      <c r="P359" s="275">
        <v>0.85416666666666663</v>
      </c>
      <c r="Q359" s="216">
        <v>42404</v>
      </c>
      <c r="R359" s="284" t="s">
        <v>72</v>
      </c>
      <c r="S359" s="216">
        <v>42429</v>
      </c>
      <c r="T359" s="284">
        <v>79</v>
      </c>
      <c r="U359" s="215" t="s">
        <v>2219</v>
      </c>
      <c r="V359" s="216">
        <v>42493</v>
      </c>
      <c r="W359" s="216">
        <v>42493</v>
      </c>
      <c r="X359" s="216" t="s">
        <v>2</v>
      </c>
      <c r="Y359" s="215" t="s">
        <v>2245</v>
      </c>
      <c r="Z359" s="215" t="s">
        <v>2</v>
      </c>
      <c r="AA359" s="215" t="s">
        <v>2</v>
      </c>
      <c r="AB359" s="216" t="s">
        <v>2</v>
      </c>
      <c r="AC359" s="215" t="s">
        <v>2248</v>
      </c>
      <c r="AD359" s="215"/>
      <c r="AE359" s="215" t="s">
        <v>2</v>
      </c>
      <c r="AF359" s="215" t="s">
        <v>2</v>
      </c>
      <c r="AG359" s="215" t="s">
        <v>2</v>
      </c>
      <c r="AH359" s="215" t="s">
        <v>2</v>
      </c>
      <c r="AI359" s="215" t="s">
        <v>2</v>
      </c>
      <c r="AJ359" s="215" t="s">
        <v>2</v>
      </c>
      <c r="AK359" s="215" t="s">
        <v>2</v>
      </c>
      <c r="AL359" s="215" t="s">
        <v>775</v>
      </c>
      <c r="AM359" s="215" t="s">
        <v>68</v>
      </c>
      <c r="AN359" s="215" t="s">
        <v>414</v>
      </c>
      <c r="AO359" s="281" t="s">
        <v>2750</v>
      </c>
      <c r="AP359" s="215" t="s">
        <v>2</v>
      </c>
      <c r="AQ359" s="306" t="s">
        <v>2</v>
      </c>
    </row>
    <row r="360" spans="1:43" ht="15" customHeight="1">
      <c r="B360" s="280" t="s">
        <v>8</v>
      </c>
      <c r="C360" s="64"/>
      <c r="D360" s="304">
        <v>28883</v>
      </c>
      <c r="E360" s="213">
        <v>847836</v>
      </c>
      <c r="F360" s="214">
        <v>12654</v>
      </c>
      <c r="G360" s="215" t="s">
        <v>305</v>
      </c>
      <c r="H360" s="215" t="s">
        <v>414</v>
      </c>
      <c r="I360" s="215" t="s">
        <v>16</v>
      </c>
      <c r="J360" s="215" t="s">
        <v>403</v>
      </c>
      <c r="K360" s="275">
        <v>0.35416666666666669</v>
      </c>
      <c r="L360" s="275">
        <v>0.6958333333333333</v>
      </c>
      <c r="M360" s="275">
        <v>0.34166666666666662</v>
      </c>
      <c r="N360" s="275">
        <v>0.40277777777777773</v>
      </c>
      <c r="O360" s="275">
        <v>0.5</v>
      </c>
      <c r="P360" s="275">
        <v>0.61111111111111105</v>
      </c>
      <c r="Q360" s="216">
        <v>41830</v>
      </c>
      <c r="R360" s="284" t="s">
        <v>72</v>
      </c>
      <c r="S360" s="216">
        <v>41858</v>
      </c>
      <c r="T360" s="284">
        <v>650</v>
      </c>
      <c r="U360" s="215" t="s">
        <v>2220</v>
      </c>
      <c r="V360" s="216">
        <v>42499</v>
      </c>
      <c r="W360" s="216">
        <v>42499</v>
      </c>
      <c r="X360" s="228" t="s">
        <v>2</v>
      </c>
      <c r="Y360" s="215" t="s">
        <v>2</v>
      </c>
      <c r="Z360" s="215" t="s">
        <v>89</v>
      </c>
      <c r="AA360" s="215" t="s">
        <v>2714</v>
      </c>
      <c r="AB360" s="216">
        <v>42499</v>
      </c>
      <c r="AC360" s="215" t="s">
        <v>2248</v>
      </c>
      <c r="AD360" s="215" t="s">
        <v>2</v>
      </c>
      <c r="AE360" s="218" t="s">
        <v>2</v>
      </c>
      <c r="AF360" s="215" t="s">
        <v>2</v>
      </c>
      <c r="AG360" s="215" t="s">
        <v>2</v>
      </c>
      <c r="AH360" s="216">
        <v>34998</v>
      </c>
      <c r="AI360" s="215" t="s">
        <v>2</v>
      </c>
      <c r="AJ360" s="219" t="s">
        <v>2</v>
      </c>
      <c r="AK360" s="220" t="s">
        <v>2</v>
      </c>
      <c r="AL360" s="215" t="s">
        <v>775</v>
      </c>
      <c r="AM360" s="215" t="s">
        <v>68</v>
      </c>
      <c r="AN360" s="215" t="s">
        <v>414</v>
      </c>
      <c r="AO360" s="221" t="s">
        <v>2610</v>
      </c>
      <c r="AP360" s="221" t="s">
        <v>1249</v>
      </c>
      <c r="AQ360" s="307" t="s">
        <v>1249</v>
      </c>
    </row>
    <row r="361" spans="1:43" ht="15" customHeight="1">
      <c r="B361" s="280" t="str">
        <f>IF(Termed!B495="x","","x")</f>
        <v>x</v>
      </c>
      <c r="C361" s="64"/>
      <c r="D361" s="301">
        <v>25593</v>
      </c>
      <c r="E361" s="283">
        <v>807806</v>
      </c>
      <c r="F361" s="273">
        <v>12531</v>
      </c>
      <c r="G361" s="274" t="s">
        <v>170</v>
      </c>
      <c r="H361" s="274" t="s">
        <v>415</v>
      </c>
      <c r="I361" s="274" t="s">
        <v>9</v>
      </c>
      <c r="J361" s="274" t="s">
        <v>396</v>
      </c>
      <c r="K361" s="275">
        <v>0.35416666666666669</v>
      </c>
      <c r="L361" s="275">
        <v>0.6958333333333333</v>
      </c>
      <c r="M361" s="275">
        <v>0.34166666666666662</v>
      </c>
      <c r="N361" s="275" t="s">
        <v>2</v>
      </c>
      <c r="O361" s="275" t="s">
        <v>2</v>
      </c>
      <c r="P361" s="275" t="s">
        <v>2</v>
      </c>
      <c r="Q361" s="276">
        <v>41429</v>
      </c>
      <c r="R361" s="284" t="str">
        <f ca="1">IF(T361&lt;0,"TRN",IF(AND(T361&gt;=0,T361&lt;7),"OCP W1",IF(AND(T361&gt;=7,T361&lt;14),"OCP W2",IF(AND(T361&gt;=14,T361&lt;21),"OCP W3",IF(T361&gt;=21,"W4+")))))</f>
        <v>W4+</v>
      </c>
      <c r="S361" s="276">
        <v>41452</v>
      </c>
      <c r="T361" s="284">
        <f ca="1">TODAY()-S361</f>
        <v>1268</v>
      </c>
      <c r="U361" s="274" t="s">
        <v>2218</v>
      </c>
      <c r="V361" s="276">
        <v>42510</v>
      </c>
      <c r="W361" s="276">
        <v>42510</v>
      </c>
      <c r="X361" s="276" t="s">
        <v>2</v>
      </c>
      <c r="Y361" s="274" t="s">
        <v>2246</v>
      </c>
      <c r="Z361" s="274" t="s">
        <v>2</v>
      </c>
      <c r="AA361" s="274" t="s">
        <v>2</v>
      </c>
      <c r="AB361" s="276" t="s">
        <v>2</v>
      </c>
      <c r="AC361" s="274">
        <f>IFERROR(VLOOKUP(J361,Skills!$D$9:$E$18,2,0),"-")</f>
        <v>264</v>
      </c>
      <c r="AD361" s="274" t="s">
        <v>2</v>
      </c>
      <c r="AE361" s="277">
        <v>6326120</v>
      </c>
      <c r="AF361" s="274" t="s">
        <v>2</v>
      </c>
      <c r="AG361" s="274" t="s">
        <v>2</v>
      </c>
      <c r="AH361" s="276">
        <v>34253</v>
      </c>
      <c r="AI361" s="274" t="str">
        <f>IFERROR(IF($AE361="-","-",IF(LEFT(RIGHT($AE361,7),1)*1=1,"Região Central",IF(LEFT(RIGHT($AE361,7),1)*1=2,"Região Norte",IF(LEFT(RIGHT($AE361,7),1)*1=3,"Região Leste",IF(LEFT(RIGHT($AE361,7),1)*1=4,"Região Sul",IF(LEFT(RIGHT($AE361,7),1)*1=5,"Região Oeste",IF(LEFT(RIGHT($AE361,7),1)*1=6,"Osasco e Região",IF(LEFT(RIGHT($AE361,7),1)*1=7,"Guarulhos e Região",IF(LEFT(RIGHT($AE361,7),1)*1=8,"Mogi das Cruzes e Região","Santo André e Região"))))))))),"")</f>
        <v>Osasco e Região</v>
      </c>
      <c r="AJ361" s="278" t="s">
        <v>2</v>
      </c>
      <c r="AK361" s="279" t="s">
        <v>2</v>
      </c>
      <c r="AL361" s="274" t="s">
        <v>775</v>
      </c>
      <c r="AM361" s="274" t="s">
        <v>68</v>
      </c>
      <c r="AN361" s="274" t="s">
        <v>414</v>
      </c>
      <c r="AO361" s="281" t="s">
        <v>1142</v>
      </c>
      <c r="AP361" s="152" t="s">
        <v>1249</v>
      </c>
      <c r="AQ361" s="302" t="s">
        <v>2</v>
      </c>
    </row>
    <row r="362" spans="1:43" ht="15" customHeight="1">
      <c r="B362" s="280" t="e">
        <f>IF(#REF!="x","","x")</f>
        <v>#REF!</v>
      </c>
      <c r="C362" s="64"/>
      <c r="D362" s="305">
        <v>31584</v>
      </c>
      <c r="E362" s="283">
        <v>923139</v>
      </c>
      <c r="F362" s="273">
        <v>17183</v>
      </c>
      <c r="G362" s="274" t="s">
        <v>2763</v>
      </c>
      <c r="H362" s="274" t="s">
        <v>420</v>
      </c>
      <c r="I362" s="274" t="s">
        <v>9</v>
      </c>
      <c r="J362" s="274" t="s">
        <v>398</v>
      </c>
      <c r="K362" s="275">
        <v>0.65277777777777779</v>
      </c>
      <c r="L362" s="275">
        <v>0.91666666666666663</v>
      </c>
      <c r="M362" s="275">
        <v>0.2638888888888889</v>
      </c>
      <c r="N362" s="275">
        <v>0.70138888888888884</v>
      </c>
      <c r="O362" s="275">
        <v>0.77083333333333337</v>
      </c>
      <c r="P362" s="275">
        <v>0.85416666666666663</v>
      </c>
      <c r="Q362" s="276">
        <v>42466</v>
      </c>
      <c r="R362" s="284" t="str">
        <f ca="1">IF(T362&lt;0,"TRN",IF(AND(T362&gt;=0,T362&lt;7),"OCP W1",IF(AND(T362&gt;=7,T362&lt;14),"OCP W2",IF(AND(T362&gt;=14,T362&lt;21),"OCP W3",IF(T362&gt;=21,"W4+")))))</f>
        <v>W4+</v>
      </c>
      <c r="S362" s="276">
        <v>42492</v>
      </c>
      <c r="T362" s="284">
        <f ca="1">TODAY()-S362</f>
        <v>228</v>
      </c>
      <c r="U362" s="274" t="s">
        <v>2218</v>
      </c>
      <c r="V362" s="276">
        <v>42510</v>
      </c>
      <c r="W362" s="276">
        <v>42510</v>
      </c>
      <c r="X362" s="276" t="s">
        <v>2</v>
      </c>
      <c r="Y362" s="274" t="s">
        <v>2245</v>
      </c>
      <c r="Z362" s="274" t="s">
        <v>2</v>
      </c>
      <c r="AA362" s="274" t="s">
        <v>2</v>
      </c>
      <c r="AB362" s="276" t="s">
        <v>2</v>
      </c>
      <c r="AC362" s="274" t="str">
        <f>IFERROR(VLOOKUP(J362,Skills!$D$9:$E$18,2,0),"-")</f>
        <v>260;101;39;375;377</v>
      </c>
      <c r="AD362" s="274" t="s">
        <v>2</v>
      </c>
      <c r="AE362" s="277" t="s">
        <v>2</v>
      </c>
      <c r="AF362" s="274" t="s">
        <v>2</v>
      </c>
      <c r="AG362" s="274" t="s">
        <v>2</v>
      </c>
      <c r="AH362" s="276">
        <v>33491</v>
      </c>
      <c r="AI362" s="274" t="s">
        <v>2</v>
      </c>
      <c r="AJ362" s="278" t="s">
        <v>2</v>
      </c>
      <c r="AK362" s="279" t="s">
        <v>2</v>
      </c>
      <c r="AL362" s="274" t="s">
        <v>775</v>
      </c>
      <c r="AM362" s="274" t="s">
        <v>68</v>
      </c>
      <c r="AN362" s="274" t="s">
        <v>414</v>
      </c>
      <c r="AO362" s="281" t="s">
        <v>2785</v>
      </c>
      <c r="AP362" s="152" t="s">
        <v>2</v>
      </c>
      <c r="AQ362" s="302" t="s">
        <v>2</v>
      </c>
    </row>
    <row r="363" spans="1:43" ht="15" customHeight="1">
      <c r="A363" s="72"/>
      <c r="B363" s="280"/>
      <c r="C363" s="91"/>
      <c r="D363" s="304">
        <v>26704</v>
      </c>
      <c r="E363" s="213">
        <v>821064</v>
      </c>
      <c r="F363" s="273">
        <v>10117</v>
      </c>
      <c r="G363" s="215" t="s">
        <v>2646</v>
      </c>
      <c r="H363" s="274" t="s">
        <v>1357</v>
      </c>
      <c r="I363" s="274" t="s">
        <v>16</v>
      </c>
      <c r="J363" s="274" t="s">
        <v>1361</v>
      </c>
      <c r="K363" s="275">
        <v>0.54166666666666663</v>
      </c>
      <c r="L363" s="275">
        <v>0.91666666666666663</v>
      </c>
      <c r="M363" s="275">
        <f t="shared" ref="M363" si="0">IFERROR(IF(L363&gt;K363,TIMEVALUE(TEXT(L363-K363,"hh:mm")),TIMEVALUE(TEXT("24:00"-K363+L363,"hh:mm"))),"-")</f>
        <v>0.375</v>
      </c>
      <c r="N363" s="275" t="s">
        <v>2</v>
      </c>
      <c r="O363" s="275" t="s">
        <v>2</v>
      </c>
      <c r="P363" s="275" t="s">
        <v>2</v>
      </c>
      <c r="Q363" s="216">
        <v>41561</v>
      </c>
      <c r="R363" s="216" t="str">
        <f t="shared" ref="R363" si="1">IF(Q363&lt;12,"TRN",IF(AND(Q363&gt;=12,Q363&lt;=19),"OCP W1",IF(AND(Q363&gt;19,Q363&lt;=26),"OCP W2",IF(AND(Q363&gt;26,Q363&lt;=32),"OCP W3",IF(Q363&gt;32,"W4+")))))</f>
        <v>W4+</v>
      </c>
      <c r="S363" s="216"/>
      <c r="T363" s="217">
        <f t="shared" ref="T363" si="2">$T$6-Q363</f>
        <v>900</v>
      </c>
      <c r="U363" s="274" t="s">
        <v>2244</v>
      </c>
      <c r="V363" s="276" t="s">
        <v>2</v>
      </c>
      <c r="W363" s="276">
        <v>42514</v>
      </c>
      <c r="X363" s="276" t="s">
        <v>2</v>
      </c>
      <c r="Y363" s="276" t="s">
        <v>2</v>
      </c>
      <c r="Z363" s="274" t="s">
        <v>2803</v>
      </c>
      <c r="AA363" s="274" t="s">
        <v>2804</v>
      </c>
      <c r="AB363" s="276">
        <v>42514</v>
      </c>
      <c r="AC363" s="274" t="s">
        <v>2</v>
      </c>
      <c r="AD363" s="215"/>
      <c r="AE363" s="218" t="s">
        <v>2645</v>
      </c>
      <c r="AF363" s="215"/>
      <c r="AG363" s="215"/>
      <c r="AH363" s="224">
        <v>33585</v>
      </c>
      <c r="AI363" s="215" t="str">
        <f t="shared" ref="AI363:AI367" si="3">IFERROR(IF($AE363="-","-",IF(LEFT(RIGHT($AE363,7),1)*1=1,"Região Central",IF(LEFT(RIGHT($AE363,7),1)*1=2,"Região Norte",IF(LEFT(RIGHT($AE363,7),1)*1=3,"Região Leste",IF(LEFT(RIGHT($AE363,7),1)*1=4,"Região Sul",IF(LEFT(RIGHT($AE363,7),1)*1=5,"Região Oeste",IF(LEFT(RIGHT($AE363,7),1)*1=6,"Osasco e Região",IF(LEFT(RIGHT($AE363,7),1)*1=7,"Guarulhos e Região",IF(LEFT(RIGHT($AE363,7),1)*1=8,"Mogi das Cruzes e Região","Santo André e Região"))))))))),"")</f>
        <v>Região Sul</v>
      </c>
      <c r="AJ363" s="219"/>
      <c r="AK363" s="225"/>
      <c r="AL363" s="274" t="s">
        <v>1365</v>
      </c>
      <c r="AM363" s="274" t="s">
        <v>69</v>
      </c>
      <c r="AN363" s="274" t="s">
        <v>2</v>
      </c>
      <c r="AO363" s="281"/>
      <c r="AP363" s="226"/>
      <c r="AQ363" s="302"/>
    </row>
    <row r="364" spans="1:43" ht="15" customHeight="1">
      <c r="B364" s="280" t="str">
        <f t="shared" ref="B364:B365" si="4">IF(B363="x","","x")</f>
        <v>x</v>
      </c>
      <c r="C364" s="64"/>
      <c r="D364" s="301">
        <v>30182</v>
      </c>
      <c r="E364" s="283">
        <v>873188</v>
      </c>
      <c r="F364" s="273">
        <v>12350</v>
      </c>
      <c r="G364" s="274" t="s">
        <v>233</v>
      </c>
      <c r="H364" s="274" t="s">
        <v>420</v>
      </c>
      <c r="I364" s="274" t="s">
        <v>9</v>
      </c>
      <c r="J364" s="274" t="s">
        <v>398</v>
      </c>
      <c r="K364" s="275">
        <v>0.65277777777777779</v>
      </c>
      <c r="L364" s="275">
        <v>0.91666666666666663</v>
      </c>
      <c r="M364" s="275">
        <v>0.2638888888888889</v>
      </c>
      <c r="N364" s="275">
        <v>0.71527777777777779</v>
      </c>
      <c r="O364" s="275">
        <v>0.80555555555555547</v>
      </c>
      <c r="P364" s="275">
        <v>0.86111111111111116</v>
      </c>
      <c r="Q364" s="276">
        <v>42044</v>
      </c>
      <c r="R364" s="284" t="str">
        <f t="shared" ref="R364:R368" ca="1" si="5">IF(T364&lt;0,"TRN",IF(AND(T364&gt;=0,T364&lt;7),"OCP W1",IF(AND(T364&gt;=7,T364&lt;14),"OCP W2",IF(AND(T364&gt;=14,T364&lt;21),"OCP W3",IF(T364&gt;=21,"W4+")))))</f>
        <v>W4+</v>
      </c>
      <c r="S364" s="276">
        <v>42068</v>
      </c>
      <c r="T364" s="284">
        <f t="shared" ref="T364:T368" ca="1" si="6">TODAY()-S364</f>
        <v>652</v>
      </c>
      <c r="U364" s="274" t="s">
        <v>2218</v>
      </c>
      <c r="V364" s="276" t="s">
        <v>2</v>
      </c>
      <c r="W364" s="276">
        <v>42515</v>
      </c>
      <c r="X364" s="276">
        <v>42515</v>
      </c>
      <c r="Y364" s="274" t="s">
        <v>2</v>
      </c>
      <c r="Z364" s="274" t="s">
        <v>2</v>
      </c>
      <c r="AA364" s="274" t="s">
        <v>2</v>
      </c>
      <c r="AB364" s="276" t="s">
        <v>2</v>
      </c>
      <c r="AC364" s="274" t="str">
        <f>IFERROR(VLOOKUP(J364,Skills!$D$9:$E$18,2,0),"-")</f>
        <v>260;101;39;375;377</v>
      </c>
      <c r="AD364" s="274" t="s">
        <v>2</v>
      </c>
      <c r="AE364" s="277" t="s">
        <v>735</v>
      </c>
      <c r="AF364" s="274" t="s">
        <v>2</v>
      </c>
      <c r="AG364" s="274" t="s">
        <v>2</v>
      </c>
      <c r="AH364" s="276">
        <v>34089</v>
      </c>
      <c r="AI364" s="274" t="str">
        <f t="shared" si="3"/>
        <v>Região Oeste</v>
      </c>
      <c r="AJ364" s="278" t="s">
        <v>2</v>
      </c>
      <c r="AK364" s="279" t="s">
        <v>2</v>
      </c>
      <c r="AL364" s="274" t="s">
        <v>775</v>
      </c>
      <c r="AM364" s="274" t="s">
        <v>68</v>
      </c>
      <c r="AN364" s="274" t="s">
        <v>414</v>
      </c>
      <c r="AO364" s="281" t="s">
        <v>2551</v>
      </c>
      <c r="AP364" s="152" t="s">
        <v>2</v>
      </c>
      <c r="AQ364" s="302" t="s">
        <v>2</v>
      </c>
    </row>
    <row r="365" spans="1:43" ht="15" customHeight="1">
      <c r="B365" s="280" t="str">
        <f t="shared" si="4"/>
        <v/>
      </c>
      <c r="C365" s="64"/>
      <c r="D365" s="304">
        <v>17139</v>
      </c>
      <c r="E365" s="213">
        <v>728445</v>
      </c>
      <c r="F365" s="214">
        <v>12349</v>
      </c>
      <c r="G365" s="215" t="s">
        <v>382</v>
      </c>
      <c r="H365" s="215" t="s">
        <v>424</v>
      </c>
      <c r="I365" s="215" t="s">
        <v>9</v>
      </c>
      <c r="J365" s="215" t="s">
        <v>405</v>
      </c>
      <c r="K365" s="275">
        <v>0.54166666666666663</v>
      </c>
      <c r="L365" s="275">
        <v>0.91666666666666674</v>
      </c>
      <c r="M365" s="275">
        <v>0.375</v>
      </c>
      <c r="N365" s="275" t="s">
        <v>2</v>
      </c>
      <c r="O365" s="275" t="s">
        <v>2</v>
      </c>
      <c r="P365" s="275" t="s">
        <v>2</v>
      </c>
      <c r="Q365" s="216">
        <v>40679</v>
      </c>
      <c r="R365" s="284" t="str">
        <f t="shared" ca="1" si="5"/>
        <v>W4+</v>
      </c>
      <c r="S365" s="216">
        <v>40702</v>
      </c>
      <c r="T365" s="284">
        <f t="shared" ca="1" si="6"/>
        <v>2018</v>
      </c>
      <c r="U365" s="215" t="s">
        <v>2217</v>
      </c>
      <c r="V365" s="216">
        <v>42408</v>
      </c>
      <c r="W365" s="216">
        <v>42515</v>
      </c>
      <c r="X365" s="228">
        <v>42515</v>
      </c>
      <c r="Y365" s="215" t="s">
        <v>2</v>
      </c>
      <c r="Z365" s="215" t="s">
        <v>2</v>
      </c>
      <c r="AA365" s="215" t="s">
        <v>2</v>
      </c>
      <c r="AB365" s="216" t="s">
        <v>2</v>
      </c>
      <c r="AC365" s="215" t="str">
        <f>IFERROR(VLOOKUP(J365,Skills!$D$9:$E$18,2,0),"-")</f>
        <v>262;371</v>
      </c>
      <c r="AD365" s="215" t="s">
        <v>2</v>
      </c>
      <c r="AE365" s="218">
        <v>2878080</v>
      </c>
      <c r="AF365" s="215" t="s">
        <v>2</v>
      </c>
      <c r="AG365" s="215" t="s">
        <v>2</v>
      </c>
      <c r="AH365" s="216">
        <v>29832</v>
      </c>
      <c r="AI365" s="215" t="str">
        <f t="shared" si="3"/>
        <v>Região Norte</v>
      </c>
      <c r="AJ365" s="219" t="s">
        <v>2</v>
      </c>
      <c r="AK365" s="220" t="s">
        <v>2</v>
      </c>
      <c r="AL365" s="215" t="s">
        <v>775</v>
      </c>
      <c r="AM365" s="215" t="s">
        <v>68</v>
      </c>
      <c r="AN365" s="215" t="s">
        <v>413</v>
      </c>
      <c r="AO365" s="221" t="s">
        <v>1239</v>
      </c>
      <c r="AP365" s="221" t="s">
        <v>1249</v>
      </c>
      <c r="AQ365" s="307" t="s">
        <v>2</v>
      </c>
    </row>
    <row r="366" spans="1:43" ht="15" customHeight="1">
      <c r="B366" s="280" t="e">
        <f>IF(#REF!="x","","x")</f>
        <v>#REF!</v>
      </c>
      <c r="C366" s="64"/>
      <c r="D366" s="304">
        <v>19321</v>
      </c>
      <c r="E366" s="213">
        <v>743847</v>
      </c>
      <c r="F366" s="214">
        <v>12530</v>
      </c>
      <c r="G366" s="215" t="s">
        <v>381</v>
      </c>
      <c r="H366" s="215" t="s">
        <v>424</v>
      </c>
      <c r="I366" s="215" t="s">
        <v>9</v>
      </c>
      <c r="J366" s="215" t="s">
        <v>405</v>
      </c>
      <c r="K366" s="275">
        <v>0.5625</v>
      </c>
      <c r="L366" s="275">
        <v>0.90416666666666667</v>
      </c>
      <c r="M366" s="275">
        <v>0.34166666666666662</v>
      </c>
      <c r="N366" s="275" t="s">
        <v>2</v>
      </c>
      <c r="O366" s="275" t="s">
        <v>2</v>
      </c>
      <c r="P366" s="275" t="s">
        <v>2</v>
      </c>
      <c r="Q366" s="216">
        <v>40833</v>
      </c>
      <c r="R366" s="284" t="str">
        <f t="shared" ca="1" si="5"/>
        <v>W4+</v>
      </c>
      <c r="S366" s="216">
        <v>40856</v>
      </c>
      <c r="T366" s="284">
        <f t="shared" ca="1" si="6"/>
        <v>1864</v>
      </c>
      <c r="U366" s="215" t="s">
        <v>2217</v>
      </c>
      <c r="V366" s="216">
        <v>42416</v>
      </c>
      <c r="W366" s="216">
        <v>42515</v>
      </c>
      <c r="X366" s="216">
        <v>42515</v>
      </c>
      <c r="Y366" s="215" t="s">
        <v>2</v>
      </c>
      <c r="Z366" s="215" t="s">
        <v>2</v>
      </c>
      <c r="AA366" s="215" t="s">
        <v>2</v>
      </c>
      <c r="AB366" s="216" t="s">
        <v>2</v>
      </c>
      <c r="AC366" s="215" t="str">
        <f>IFERROR(VLOOKUP(J366,Skills!$D$9:$E$18,2,0),"-")</f>
        <v>262;371</v>
      </c>
      <c r="AD366" s="215" t="s">
        <v>2</v>
      </c>
      <c r="AE366" s="218">
        <v>2990080</v>
      </c>
      <c r="AF366" s="215" t="s">
        <v>2</v>
      </c>
      <c r="AG366" s="215" t="s">
        <v>2</v>
      </c>
      <c r="AH366" s="216">
        <v>33287</v>
      </c>
      <c r="AI366" s="215" t="str">
        <f t="shared" si="3"/>
        <v>Região Norte</v>
      </c>
      <c r="AJ366" s="219" t="s">
        <v>2</v>
      </c>
      <c r="AK366" s="220" t="s">
        <v>2</v>
      </c>
      <c r="AL366" s="215" t="s">
        <v>775</v>
      </c>
      <c r="AM366" s="215" t="s">
        <v>68</v>
      </c>
      <c r="AN366" s="215" t="s">
        <v>413</v>
      </c>
      <c r="AO366" s="221" t="s">
        <v>1238</v>
      </c>
      <c r="AP366" s="221" t="s">
        <v>1249</v>
      </c>
      <c r="AQ366" s="307" t="s">
        <v>2</v>
      </c>
    </row>
    <row r="367" spans="1:43" ht="15" customHeight="1">
      <c r="B367" s="280" t="e">
        <f t="shared" ref="B367:B368" si="7">IF(B366="x","","x")</f>
        <v>#REF!</v>
      </c>
      <c r="C367" s="64"/>
      <c r="D367" s="304">
        <v>19319</v>
      </c>
      <c r="E367" s="213">
        <v>743845</v>
      </c>
      <c r="F367" s="214">
        <v>12384</v>
      </c>
      <c r="G367" s="215" t="s">
        <v>367</v>
      </c>
      <c r="H367" s="215" t="s">
        <v>424</v>
      </c>
      <c r="I367" s="215" t="s">
        <v>9</v>
      </c>
      <c r="J367" s="215" t="s">
        <v>405</v>
      </c>
      <c r="K367" s="275">
        <v>0.33333333333333331</v>
      </c>
      <c r="L367" s="275">
        <v>0.67499999999999993</v>
      </c>
      <c r="M367" s="275">
        <v>0.34166666666666662</v>
      </c>
      <c r="N367" s="275" t="s">
        <v>2</v>
      </c>
      <c r="O367" s="275" t="s">
        <v>2</v>
      </c>
      <c r="P367" s="275" t="s">
        <v>2</v>
      </c>
      <c r="Q367" s="216">
        <v>40833</v>
      </c>
      <c r="R367" s="284" t="str">
        <f t="shared" ca="1" si="5"/>
        <v>W4+</v>
      </c>
      <c r="S367" s="216">
        <v>40856</v>
      </c>
      <c r="T367" s="284">
        <f t="shared" ca="1" si="6"/>
        <v>1864</v>
      </c>
      <c r="U367" s="215" t="s">
        <v>2219</v>
      </c>
      <c r="V367" s="216">
        <v>42488</v>
      </c>
      <c r="W367" s="228">
        <v>42515</v>
      </c>
      <c r="X367" s="228">
        <v>42517</v>
      </c>
      <c r="Y367" s="215" t="s">
        <v>2</v>
      </c>
      <c r="Z367" s="215" t="s">
        <v>2</v>
      </c>
      <c r="AA367" s="215" t="s">
        <v>2</v>
      </c>
      <c r="AB367" s="216" t="s">
        <v>2</v>
      </c>
      <c r="AC367" s="215" t="str">
        <f>IFERROR(VLOOKUP(J367,Skills!$D$9:$E$18,2,0),"-")</f>
        <v>262;371</v>
      </c>
      <c r="AD367" s="215" t="s">
        <v>2</v>
      </c>
      <c r="AE367" s="218">
        <v>2851130</v>
      </c>
      <c r="AF367" s="215" t="s">
        <v>2</v>
      </c>
      <c r="AG367" s="215" t="s">
        <v>2</v>
      </c>
      <c r="AH367" s="216">
        <v>34140</v>
      </c>
      <c r="AI367" s="215" t="str">
        <f t="shared" si="3"/>
        <v>Região Norte</v>
      </c>
      <c r="AJ367" s="219" t="s">
        <v>2</v>
      </c>
      <c r="AK367" s="220" t="s">
        <v>2</v>
      </c>
      <c r="AL367" s="215" t="s">
        <v>775</v>
      </c>
      <c r="AM367" s="215" t="s">
        <v>68</v>
      </c>
      <c r="AN367" s="215" t="s">
        <v>413</v>
      </c>
      <c r="AO367" s="221" t="s">
        <v>1224</v>
      </c>
      <c r="AP367" s="221" t="s">
        <v>1249</v>
      </c>
      <c r="AQ367" s="307" t="s">
        <v>2</v>
      </c>
    </row>
    <row r="368" spans="1:43" ht="15" customHeight="1">
      <c r="B368" s="280" t="e">
        <f t="shared" si="7"/>
        <v>#REF!</v>
      </c>
      <c r="C368" s="64"/>
      <c r="D368" s="304">
        <v>31517</v>
      </c>
      <c r="E368" s="213">
        <v>915117</v>
      </c>
      <c r="F368" s="273">
        <v>17042</v>
      </c>
      <c r="G368" s="215" t="s">
        <v>2683</v>
      </c>
      <c r="H368" s="274" t="s">
        <v>418</v>
      </c>
      <c r="I368" s="215" t="s">
        <v>9</v>
      </c>
      <c r="J368" s="215" t="s">
        <v>403</v>
      </c>
      <c r="K368" s="275">
        <v>0.59722222222222221</v>
      </c>
      <c r="L368" s="275">
        <v>0.86111111111111116</v>
      </c>
      <c r="M368" s="275">
        <v>0.2638888888888889</v>
      </c>
      <c r="N368" s="275">
        <v>0.65277777777777779</v>
      </c>
      <c r="O368" s="275">
        <v>0.72222222222222221</v>
      </c>
      <c r="P368" s="275">
        <v>0.79861111111111116</v>
      </c>
      <c r="Q368" s="216">
        <v>42404</v>
      </c>
      <c r="R368" s="284" t="str">
        <f t="shared" ca="1" si="5"/>
        <v>W4+</v>
      </c>
      <c r="S368" s="216">
        <v>42429</v>
      </c>
      <c r="T368" s="284">
        <f t="shared" ca="1" si="6"/>
        <v>291</v>
      </c>
      <c r="U368" s="215" t="s">
        <v>2219</v>
      </c>
      <c r="V368" s="216">
        <v>42521</v>
      </c>
      <c r="W368" s="216">
        <v>42521</v>
      </c>
      <c r="X368" s="216">
        <v>42521</v>
      </c>
      <c r="Y368" s="215" t="s">
        <v>2</v>
      </c>
      <c r="Z368" s="215" t="s">
        <v>2</v>
      </c>
      <c r="AA368" s="215" t="s">
        <v>2</v>
      </c>
      <c r="AB368" s="216" t="s">
        <v>2</v>
      </c>
      <c r="AC368" s="215" t="s">
        <v>2248</v>
      </c>
      <c r="AD368" s="215"/>
      <c r="AE368" s="215" t="s">
        <v>2</v>
      </c>
      <c r="AF368" s="215" t="s">
        <v>2</v>
      </c>
      <c r="AG368" s="215" t="s">
        <v>2</v>
      </c>
      <c r="AH368" s="215" t="s">
        <v>2</v>
      </c>
      <c r="AI368" s="215" t="s">
        <v>2</v>
      </c>
      <c r="AJ368" s="215" t="s">
        <v>2</v>
      </c>
      <c r="AK368" s="215" t="s">
        <v>2</v>
      </c>
      <c r="AL368" s="215" t="s">
        <v>775</v>
      </c>
      <c r="AM368" s="215" t="s">
        <v>68</v>
      </c>
      <c r="AN368" s="215" t="s">
        <v>414</v>
      </c>
      <c r="AO368" s="246" t="s">
        <v>2747</v>
      </c>
      <c r="AP368" s="215" t="s">
        <v>2</v>
      </c>
      <c r="AQ368" s="306" t="s">
        <v>2</v>
      </c>
    </row>
    <row r="369" spans="2:49" ht="15" customHeight="1">
      <c r="B369" s="280" t="e">
        <f>IF(Production!B86="x","","x")</f>
        <v>#REF!</v>
      </c>
      <c r="C369" s="64"/>
      <c r="D369" s="301">
        <v>31520</v>
      </c>
      <c r="E369" s="283">
        <v>915120</v>
      </c>
      <c r="F369" s="273">
        <v>17063</v>
      </c>
      <c r="G369" s="274" t="s">
        <v>2686</v>
      </c>
      <c r="H369" s="274" t="s">
        <v>420</v>
      </c>
      <c r="I369" s="274" t="s">
        <v>9</v>
      </c>
      <c r="J369" s="274" t="s">
        <v>398</v>
      </c>
      <c r="K369" s="275">
        <v>0.59722222222222221</v>
      </c>
      <c r="L369" s="275">
        <v>0.86111111111111116</v>
      </c>
      <c r="M369" s="275">
        <v>0.2638888888888889</v>
      </c>
      <c r="N369" s="275">
        <v>0.65277777777777779</v>
      </c>
      <c r="O369" s="275">
        <v>0.72222222222222221</v>
      </c>
      <c r="P369" s="275">
        <v>0.79861111111111116</v>
      </c>
      <c r="Q369" s="276">
        <v>42404</v>
      </c>
      <c r="R369" s="284" t="str">
        <f ca="1">IF(T369&lt;0,"TRN",IF(AND(T369&gt;=0,T369&lt;7),"OCP W1",IF(AND(T369&gt;=7,T369&lt;14),"OCP W2",IF(AND(T369&gt;=14,T369&lt;21),"OCP W3",IF(T369&gt;=21,"W4+")))))</f>
        <v>W4+</v>
      </c>
      <c r="S369" s="276">
        <v>42429</v>
      </c>
      <c r="T369" s="284">
        <f ca="1">TODAY()-S369</f>
        <v>291</v>
      </c>
      <c r="U369" s="274" t="s">
        <v>2219</v>
      </c>
      <c r="V369" s="276" t="s">
        <v>2</v>
      </c>
      <c r="W369" s="276">
        <v>42521</v>
      </c>
      <c r="X369" s="276">
        <v>42521</v>
      </c>
      <c r="Y369" s="274" t="s">
        <v>2246</v>
      </c>
      <c r="Z369" s="274" t="s">
        <v>2</v>
      </c>
      <c r="AA369" s="274" t="s">
        <v>2</v>
      </c>
      <c r="AB369" s="276" t="s">
        <v>2</v>
      </c>
      <c r="AC369" s="274" t="s">
        <v>1257</v>
      </c>
      <c r="AD369" s="274"/>
      <c r="AE369" s="274" t="s">
        <v>2</v>
      </c>
      <c r="AF369" s="274" t="s">
        <v>2</v>
      </c>
      <c r="AG369" s="274" t="s">
        <v>2</v>
      </c>
      <c r="AH369" s="276">
        <v>28036</v>
      </c>
      <c r="AI369" s="274" t="s">
        <v>2</v>
      </c>
      <c r="AJ369" s="274" t="s">
        <v>2</v>
      </c>
      <c r="AK369" s="274" t="s">
        <v>2</v>
      </c>
      <c r="AL369" s="274" t="s">
        <v>775</v>
      </c>
      <c r="AM369" s="274" t="s">
        <v>68</v>
      </c>
      <c r="AN369" s="274" t="s">
        <v>414</v>
      </c>
      <c r="AO369" s="246" t="s">
        <v>2737</v>
      </c>
      <c r="AP369" s="274" t="s">
        <v>2</v>
      </c>
      <c r="AQ369" s="303" t="s">
        <v>2</v>
      </c>
    </row>
    <row r="370" spans="2:49" ht="15" customHeight="1">
      <c r="B370" s="280"/>
      <c r="C370" s="64"/>
      <c r="D370" s="301">
        <v>31203</v>
      </c>
      <c r="E370" s="283">
        <v>897653</v>
      </c>
      <c r="F370" s="273">
        <v>17159</v>
      </c>
      <c r="G370" s="274" t="s">
        <v>2338</v>
      </c>
      <c r="H370" s="274" t="s">
        <v>415</v>
      </c>
      <c r="I370" s="274" t="s">
        <v>9</v>
      </c>
      <c r="J370" s="274" t="s">
        <v>398</v>
      </c>
      <c r="K370" s="275">
        <v>0.39583333333333331</v>
      </c>
      <c r="L370" s="275">
        <v>0.73749999999999993</v>
      </c>
      <c r="M370" s="275">
        <v>0.34166666666666662</v>
      </c>
      <c r="N370" s="275">
        <v>0.44444444444444442</v>
      </c>
      <c r="O370" s="275">
        <v>0.52083333333333337</v>
      </c>
      <c r="P370" s="275">
        <v>0.63194444444444442</v>
      </c>
      <c r="Q370" s="276">
        <v>42256</v>
      </c>
      <c r="R370" s="284" t="s">
        <v>72</v>
      </c>
      <c r="S370" s="276">
        <v>42282</v>
      </c>
      <c r="T370" s="284">
        <v>240</v>
      </c>
      <c r="U370" s="274" t="s">
        <v>2218</v>
      </c>
      <c r="V370" s="276">
        <v>42521</v>
      </c>
      <c r="W370" s="276">
        <v>42521</v>
      </c>
      <c r="X370" s="276" t="s">
        <v>2</v>
      </c>
      <c r="Y370" s="274" t="s">
        <v>2246</v>
      </c>
      <c r="Z370" s="274" t="s">
        <v>2</v>
      </c>
      <c r="AA370" s="274" t="s">
        <v>2</v>
      </c>
      <c r="AB370" s="276" t="s">
        <v>2</v>
      </c>
      <c r="AC370" s="274" t="s">
        <v>2</v>
      </c>
      <c r="AD370" s="274"/>
      <c r="AE370" s="274"/>
      <c r="AF370" s="274"/>
      <c r="AG370" s="274"/>
      <c r="AH370" s="276"/>
      <c r="AI370" s="274"/>
      <c r="AJ370" s="274"/>
      <c r="AK370" s="274"/>
      <c r="AL370" s="274"/>
      <c r="AM370" s="274"/>
      <c r="AN370" s="274"/>
      <c r="AO370" s="246"/>
      <c r="AP370" s="274"/>
      <c r="AQ370" s="303"/>
    </row>
    <row r="371" spans="2:49" ht="15" customHeight="1">
      <c r="B371" s="280" t="str">
        <f>IF(B370="x","","x")</f>
        <v>x</v>
      </c>
      <c r="C371" s="64"/>
      <c r="D371" s="272">
        <v>24025</v>
      </c>
      <c r="E371" s="283">
        <v>793231</v>
      </c>
      <c r="F371" s="273">
        <v>12589</v>
      </c>
      <c r="G371" s="274" t="s">
        <v>158</v>
      </c>
      <c r="H371" s="274" t="s">
        <v>412</v>
      </c>
      <c r="I371" s="274" t="s">
        <v>9</v>
      </c>
      <c r="J371" s="274" t="s">
        <v>395</v>
      </c>
      <c r="K371" s="275">
        <v>0.375</v>
      </c>
      <c r="L371" s="275">
        <v>0.71666666666666667</v>
      </c>
      <c r="M371" s="275">
        <v>0.34166666666666662</v>
      </c>
      <c r="N371" s="275" t="s">
        <v>2</v>
      </c>
      <c r="O371" s="275" t="s">
        <v>2</v>
      </c>
      <c r="P371" s="275" t="s">
        <v>2</v>
      </c>
      <c r="Q371" s="276">
        <v>41289</v>
      </c>
      <c r="R371" s="284" t="s">
        <v>72</v>
      </c>
      <c r="S371" s="276">
        <v>41312</v>
      </c>
      <c r="T371" s="284">
        <v>1229</v>
      </c>
      <c r="U371" s="274" t="s">
        <v>2218</v>
      </c>
      <c r="V371" s="276">
        <v>42531</v>
      </c>
      <c r="W371" s="276">
        <v>42531</v>
      </c>
      <c r="X371" s="276" t="s">
        <v>2</v>
      </c>
      <c r="Y371" s="274" t="s">
        <v>2246</v>
      </c>
      <c r="Z371" s="274" t="s">
        <v>2</v>
      </c>
      <c r="AA371" s="274" t="s">
        <v>2</v>
      </c>
      <c r="AB371" s="276" t="s">
        <v>2</v>
      </c>
      <c r="AC371" s="274">
        <v>171</v>
      </c>
      <c r="AD371" s="277">
        <v>8505050</v>
      </c>
      <c r="AE371" s="276">
        <v>29347</v>
      </c>
      <c r="AF371" s="274" t="s">
        <v>2194</v>
      </c>
      <c r="AG371" s="215" t="s">
        <v>775</v>
      </c>
      <c r="AH371" s="274" t="s">
        <v>68</v>
      </c>
      <c r="AI371" s="274" t="s">
        <v>89</v>
      </c>
      <c r="AJ371" s="281" t="s">
        <v>2</v>
      </c>
      <c r="AK371" s="152" t="s">
        <v>844</v>
      </c>
      <c r="AL371" s="152" t="s">
        <v>492</v>
      </c>
      <c r="AM371" s="274" t="s">
        <v>2</v>
      </c>
      <c r="AN371" s="152" t="s">
        <v>413</v>
      </c>
      <c r="AO371" s="152" t="s">
        <v>1132</v>
      </c>
      <c r="AP371" s="152" t="s">
        <v>1249</v>
      </c>
      <c r="AQ371" s="282" t="s">
        <v>2</v>
      </c>
      <c r="AR371" s="64"/>
      <c r="AS371" s="64"/>
      <c r="AT371" s="64"/>
      <c r="AU371" s="64"/>
      <c r="AV371" s="64"/>
      <c r="AW371" s="64"/>
    </row>
    <row r="372" spans="2:49" ht="15" customHeight="1">
      <c r="B372" s="280" t="str">
        <f t="shared" ref="B372:B380" si="8">IF(B371="x","","x")</f>
        <v/>
      </c>
      <c r="C372" s="64"/>
      <c r="D372" s="285">
        <v>31583</v>
      </c>
      <c r="E372" s="283">
        <v>923138</v>
      </c>
      <c r="F372" s="273">
        <v>17179</v>
      </c>
      <c r="G372" s="274" t="s">
        <v>2794</v>
      </c>
      <c r="H372" s="274" t="s">
        <v>415</v>
      </c>
      <c r="I372" s="274" t="s">
        <v>9</v>
      </c>
      <c r="J372" s="274" t="s">
        <v>398</v>
      </c>
      <c r="K372" s="275">
        <v>0.375</v>
      </c>
      <c r="L372" s="275">
        <v>0.63888888888888895</v>
      </c>
      <c r="M372" s="275">
        <v>0.2638888888888889</v>
      </c>
      <c r="N372" s="275">
        <v>0.41666666666666669</v>
      </c>
      <c r="O372" s="275">
        <v>0.5</v>
      </c>
      <c r="P372" s="275">
        <v>0.56944444444444442</v>
      </c>
      <c r="Q372" s="276">
        <v>42466</v>
      </c>
      <c r="R372" s="284" t="s">
        <v>72</v>
      </c>
      <c r="S372" s="276">
        <v>42492</v>
      </c>
      <c r="T372" s="284">
        <v>49</v>
      </c>
      <c r="U372" s="274" t="s">
        <v>2218</v>
      </c>
      <c r="V372" s="276">
        <v>42531</v>
      </c>
      <c r="W372" s="276">
        <v>42531</v>
      </c>
      <c r="X372" s="276" t="s">
        <v>2</v>
      </c>
      <c r="Y372" s="274" t="s">
        <v>2246</v>
      </c>
      <c r="Z372" s="274" t="s">
        <v>2</v>
      </c>
      <c r="AA372" s="274" t="s">
        <v>2</v>
      </c>
      <c r="AB372" s="276" t="s">
        <v>2</v>
      </c>
      <c r="AC372" s="274" t="s">
        <v>1257</v>
      </c>
      <c r="AD372" s="277" t="s">
        <v>2</v>
      </c>
      <c r="AE372" s="276">
        <v>32945</v>
      </c>
      <c r="AF372" s="274" t="s">
        <v>2</v>
      </c>
      <c r="AG372" s="215" t="s">
        <v>775</v>
      </c>
      <c r="AH372" s="274" t="s">
        <v>68</v>
      </c>
      <c r="AI372" s="274" t="s">
        <v>89</v>
      </c>
      <c r="AJ372" s="281">
        <v>24474</v>
      </c>
      <c r="AK372" s="152" t="s">
        <v>2769</v>
      </c>
      <c r="AL372" s="152" t="s">
        <v>2776</v>
      </c>
      <c r="AM372" s="274" t="s">
        <v>2</v>
      </c>
      <c r="AN372" s="152" t="s">
        <v>414</v>
      </c>
      <c r="AO372" s="152" t="s">
        <v>2782</v>
      </c>
      <c r="AP372" s="152" t="s">
        <v>2</v>
      </c>
      <c r="AQ372" s="282" t="s">
        <v>2</v>
      </c>
      <c r="AR372" s="64"/>
      <c r="AS372" s="64"/>
      <c r="AT372" s="64"/>
      <c r="AU372" s="64"/>
      <c r="AV372" s="64"/>
      <c r="AW372" s="64"/>
    </row>
    <row r="373" spans="2:49" ht="15" customHeight="1">
      <c r="B373" s="280" t="str">
        <f t="shared" si="8"/>
        <v>x</v>
      </c>
      <c r="C373" s="64"/>
      <c r="D373" s="272">
        <v>30450</v>
      </c>
      <c r="E373" s="283">
        <v>876655</v>
      </c>
      <c r="F373" s="273">
        <v>17064</v>
      </c>
      <c r="G373" s="274" t="s">
        <v>211</v>
      </c>
      <c r="H373" s="274" t="s">
        <v>416</v>
      </c>
      <c r="I373" s="274" t="s">
        <v>9</v>
      </c>
      <c r="J373" s="274" t="s">
        <v>398</v>
      </c>
      <c r="K373" s="275">
        <v>0.375</v>
      </c>
      <c r="L373" s="275">
        <v>0.63888888888888895</v>
      </c>
      <c r="M373" s="275">
        <v>0.2638888888888889</v>
      </c>
      <c r="N373" s="275">
        <v>0.41666666666666669</v>
      </c>
      <c r="O373" s="275">
        <v>0.47222222222222227</v>
      </c>
      <c r="P373" s="275">
        <v>0.55555555555555558</v>
      </c>
      <c r="Q373" s="276">
        <v>42079</v>
      </c>
      <c r="R373" s="284" t="s">
        <v>72</v>
      </c>
      <c r="S373" s="276">
        <v>42100</v>
      </c>
      <c r="T373" s="284">
        <v>441</v>
      </c>
      <c r="U373" s="274" t="s">
        <v>2218</v>
      </c>
      <c r="V373" s="276">
        <v>42522</v>
      </c>
      <c r="W373" s="276">
        <v>42522</v>
      </c>
      <c r="X373" s="276" t="s">
        <v>2</v>
      </c>
      <c r="Y373" s="274" t="s">
        <v>2246</v>
      </c>
      <c r="Z373" s="274" t="s">
        <v>2</v>
      </c>
      <c r="AA373" s="274" t="s">
        <v>2</v>
      </c>
      <c r="AB373" s="276" t="s">
        <v>2</v>
      </c>
      <c r="AC373" s="274" t="s">
        <v>1257</v>
      </c>
      <c r="AD373" s="277" t="s">
        <v>728</v>
      </c>
      <c r="AE373" s="276">
        <v>32352</v>
      </c>
      <c r="AF373" s="274" t="s">
        <v>2194</v>
      </c>
      <c r="AG373" s="215" t="s">
        <v>775</v>
      </c>
      <c r="AH373" s="274" t="s">
        <v>68</v>
      </c>
      <c r="AI373" s="274" t="s">
        <v>89</v>
      </c>
      <c r="AJ373" s="281">
        <v>810295</v>
      </c>
      <c r="AK373" s="152" t="s">
        <v>894</v>
      </c>
      <c r="AL373" s="152" t="s">
        <v>544</v>
      </c>
      <c r="AM373" s="274" t="s">
        <v>2</v>
      </c>
      <c r="AN373" s="152" t="s">
        <v>414</v>
      </c>
      <c r="AO373" s="152" t="s">
        <v>1168</v>
      </c>
      <c r="AP373" s="152" t="s">
        <v>2</v>
      </c>
      <c r="AQ373" s="282" t="s">
        <v>2</v>
      </c>
      <c r="AR373" s="64"/>
      <c r="AS373" s="64"/>
      <c r="AT373" s="64"/>
      <c r="AU373" s="64"/>
      <c r="AV373" s="64"/>
      <c r="AW373" s="64"/>
    </row>
    <row r="374" spans="2:49" ht="15" customHeight="1">
      <c r="B374" s="280" t="str">
        <f t="shared" si="8"/>
        <v/>
      </c>
      <c r="C374" s="64"/>
      <c r="D374" s="272">
        <v>31505</v>
      </c>
      <c r="E374" s="283">
        <v>915105</v>
      </c>
      <c r="F374" s="273">
        <v>17011</v>
      </c>
      <c r="G374" s="274" t="s">
        <v>2673</v>
      </c>
      <c r="H374" s="274" t="s">
        <v>416</v>
      </c>
      <c r="I374" s="274" t="s">
        <v>9</v>
      </c>
      <c r="J374" s="274" t="s">
        <v>398</v>
      </c>
      <c r="K374" s="275">
        <v>0.375</v>
      </c>
      <c r="L374" s="275">
        <v>0.63888888888888895</v>
      </c>
      <c r="M374" s="275">
        <v>0.2638888888888889</v>
      </c>
      <c r="N374" s="275">
        <v>0.4236111111111111</v>
      </c>
      <c r="O374" s="275">
        <v>0.5</v>
      </c>
      <c r="P374" s="275">
        <v>0.56944444444444442</v>
      </c>
      <c r="Q374" s="276">
        <v>42404</v>
      </c>
      <c r="R374" s="284" t="s">
        <v>72</v>
      </c>
      <c r="S374" s="276">
        <v>42429</v>
      </c>
      <c r="T374" s="284">
        <v>112</v>
      </c>
      <c r="U374" s="274" t="s">
        <v>2219</v>
      </c>
      <c r="V374" s="276">
        <v>42537</v>
      </c>
      <c r="W374" s="276">
        <v>42537</v>
      </c>
      <c r="X374" s="276" t="s">
        <v>2</v>
      </c>
      <c r="Y374" s="274" t="s">
        <v>2</v>
      </c>
      <c r="Z374" s="274" t="s">
        <v>2</v>
      </c>
      <c r="AA374" s="274" t="s">
        <v>2</v>
      </c>
      <c r="AB374" s="276" t="s">
        <v>2</v>
      </c>
      <c r="AC374" s="274" t="s">
        <v>1257</v>
      </c>
      <c r="AD374" s="274" t="s">
        <v>2</v>
      </c>
      <c r="AE374" s="276" t="s">
        <v>2</v>
      </c>
      <c r="AF374" s="274" t="s">
        <v>2</v>
      </c>
      <c r="AG374" s="215" t="s">
        <v>775</v>
      </c>
      <c r="AH374" s="274" t="s">
        <v>68</v>
      </c>
      <c r="AI374" s="274" t="s">
        <v>89</v>
      </c>
      <c r="AJ374" s="281">
        <v>810397</v>
      </c>
      <c r="AK374" s="274" t="s">
        <v>2692</v>
      </c>
      <c r="AL374" s="274" t="s">
        <v>2725</v>
      </c>
      <c r="AM374" s="274" t="s">
        <v>2</v>
      </c>
      <c r="AN374" s="274" t="s">
        <v>414</v>
      </c>
      <c r="AO374" s="274" t="s">
        <v>2726</v>
      </c>
      <c r="AP374" s="274" t="s">
        <v>2</v>
      </c>
      <c r="AQ374" s="282" t="s">
        <v>2</v>
      </c>
      <c r="AR374" s="64"/>
      <c r="AS374" s="64"/>
      <c r="AT374" s="64"/>
      <c r="AU374" s="64"/>
      <c r="AV374" s="64"/>
      <c r="AW374" s="64"/>
    </row>
    <row r="375" spans="2:49" ht="15" customHeight="1">
      <c r="B375" s="280" t="str">
        <f t="shared" si="8"/>
        <v>x</v>
      </c>
      <c r="C375" s="64"/>
      <c r="D375" s="272">
        <v>30445</v>
      </c>
      <c r="E375" s="283">
        <v>876650</v>
      </c>
      <c r="F375" s="273">
        <v>17010</v>
      </c>
      <c r="G375" s="274" t="s">
        <v>191</v>
      </c>
      <c r="H375" s="274" t="s">
        <v>415</v>
      </c>
      <c r="I375" s="274" t="s">
        <v>9</v>
      </c>
      <c r="J375" s="274" t="s">
        <v>398</v>
      </c>
      <c r="K375" s="275">
        <v>0.39583333333333331</v>
      </c>
      <c r="L375" s="275">
        <v>0.73749999999999993</v>
      </c>
      <c r="M375" s="275">
        <v>0.34166666666666662</v>
      </c>
      <c r="N375" s="275">
        <v>0.4375</v>
      </c>
      <c r="O375" s="275">
        <v>0.54166666666666663</v>
      </c>
      <c r="P375" s="275">
        <v>0.66666666666666663</v>
      </c>
      <c r="Q375" s="276">
        <v>42079</v>
      </c>
      <c r="R375" s="284" t="s">
        <v>72</v>
      </c>
      <c r="S375" s="276">
        <v>42100</v>
      </c>
      <c r="T375" s="284">
        <v>441</v>
      </c>
      <c r="U375" s="274" t="s">
        <v>2218</v>
      </c>
      <c r="V375" s="276">
        <v>42531</v>
      </c>
      <c r="W375" s="276">
        <v>42531</v>
      </c>
      <c r="X375" s="227" t="s">
        <v>2</v>
      </c>
      <c r="Y375" s="274" t="s">
        <v>2246</v>
      </c>
      <c r="Z375" s="274" t="s">
        <v>2</v>
      </c>
      <c r="AA375" s="274" t="s">
        <v>2</v>
      </c>
      <c r="AB375" s="276" t="s">
        <v>2</v>
      </c>
      <c r="AC375" s="274" t="s">
        <v>2</v>
      </c>
      <c r="AD375" s="277" t="s">
        <v>721</v>
      </c>
      <c r="AE375" s="276">
        <v>34573</v>
      </c>
      <c r="AF375" s="274" t="s">
        <v>2188</v>
      </c>
      <c r="AG375" s="215" t="s">
        <v>775</v>
      </c>
      <c r="AH375" s="274" t="s">
        <v>68</v>
      </c>
      <c r="AI375" s="274" t="s">
        <v>89</v>
      </c>
      <c r="AJ375" s="281">
        <v>23464</v>
      </c>
      <c r="AK375" s="152" t="s">
        <v>876</v>
      </c>
      <c r="AL375" s="152" t="s">
        <v>524</v>
      </c>
      <c r="AM375" s="274" t="s">
        <v>2</v>
      </c>
      <c r="AN375" s="152" t="s">
        <v>414</v>
      </c>
      <c r="AO375" s="152" t="s">
        <v>2534</v>
      </c>
      <c r="AP375" s="152" t="s">
        <v>2</v>
      </c>
      <c r="AQ375" s="282" t="s">
        <v>2</v>
      </c>
      <c r="AR375" s="64"/>
      <c r="AS375" s="64"/>
      <c r="AT375" s="64"/>
      <c r="AU375" s="64"/>
      <c r="AV375" s="64"/>
      <c r="AW375" s="64"/>
    </row>
    <row r="376" spans="2:49" ht="15" customHeight="1">
      <c r="B376" s="280" t="str">
        <f t="shared" si="8"/>
        <v/>
      </c>
      <c r="C376" s="64"/>
      <c r="D376" s="272">
        <v>31190</v>
      </c>
      <c r="E376" s="229">
        <v>897565</v>
      </c>
      <c r="F376" s="273">
        <v>17145</v>
      </c>
      <c r="G376" s="274" t="s">
        <v>2331</v>
      </c>
      <c r="H376" s="274" t="s">
        <v>420</v>
      </c>
      <c r="I376" s="274" t="s">
        <v>9</v>
      </c>
      <c r="J376" s="274" t="s">
        <v>398</v>
      </c>
      <c r="K376" s="275">
        <v>0.65277777777777779</v>
      </c>
      <c r="L376" s="275">
        <v>0.91666666666666663</v>
      </c>
      <c r="M376" s="275">
        <v>0.2638888888888889</v>
      </c>
      <c r="N376" s="275">
        <v>0.69444444444444453</v>
      </c>
      <c r="O376" s="275">
        <v>0.75</v>
      </c>
      <c r="P376" s="275">
        <v>0.84027777777777779</v>
      </c>
      <c r="Q376" s="276">
        <v>42256</v>
      </c>
      <c r="R376" s="284" t="s">
        <v>72</v>
      </c>
      <c r="S376" s="276">
        <v>42282</v>
      </c>
      <c r="T376" s="284">
        <v>259</v>
      </c>
      <c r="U376" s="274" t="s">
        <v>2218</v>
      </c>
      <c r="V376" s="276">
        <v>42523</v>
      </c>
      <c r="W376" s="276">
        <v>42523</v>
      </c>
      <c r="X376" s="276" t="s">
        <v>2</v>
      </c>
      <c r="Y376" s="274" t="s">
        <v>2245</v>
      </c>
      <c r="Z376" s="274" t="s">
        <v>2</v>
      </c>
      <c r="AA376" s="274" t="s">
        <v>2</v>
      </c>
      <c r="AB376" s="276" t="s">
        <v>2</v>
      </c>
      <c r="AC376" s="274" t="s">
        <v>2</v>
      </c>
      <c r="AD376" s="277" t="s">
        <v>2</v>
      </c>
      <c r="AE376" s="276">
        <v>30349</v>
      </c>
      <c r="AF376" s="274" t="s">
        <v>2</v>
      </c>
      <c r="AG376" s="215" t="s">
        <v>775</v>
      </c>
      <c r="AH376" s="274" t="s">
        <v>68</v>
      </c>
      <c r="AI376" s="274" t="s">
        <v>89</v>
      </c>
      <c r="AJ376" s="281">
        <v>23675</v>
      </c>
      <c r="AK376" s="221" t="s">
        <v>2370</v>
      </c>
      <c r="AL376" s="152" t="s">
        <v>2354</v>
      </c>
      <c r="AM376" s="274" t="s">
        <v>2</v>
      </c>
      <c r="AN376" s="152" t="s">
        <v>414</v>
      </c>
      <c r="AO376" s="152" t="s">
        <v>2560</v>
      </c>
      <c r="AP376" s="152" t="s">
        <v>2</v>
      </c>
      <c r="AQ376" s="282" t="s">
        <v>2</v>
      </c>
      <c r="AR376" s="64"/>
      <c r="AS376" s="64"/>
      <c r="AT376" s="64"/>
      <c r="AU376" s="64"/>
      <c r="AV376" s="64"/>
      <c r="AW376" s="64"/>
    </row>
    <row r="377" spans="2:49" ht="15" customHeight="1">
      <c r="B377" s="280" t="str">
        <f t="shared" si="8"/>
        <v>x</v>
      </c>
      <c r="C377" s="64"/>
      <c r="D377" s="272">
        <v>31585</v>
      </c>
      <c r="E377" s="229">
        <v>923140</v>
      </c>
      <c r="F377" s="287">
        <v>17170</v>
      </c>
      <c r="G377" s="274" t="s">
        <v>2792</v>
      </c>
      <c r="H377" s="274" t="s">
        <v>420</v>
      </c>
      <c r="I377" s="274" t="s">
        <v>9</v>
      </c>
      <c r="J377" s="274" t="s">
        <v>398</v>
      </c>
      <c r="K377" s="275">
        <v>0.65277777777777779</v>
      </c>
      <c r="L377" s="275">
        <v>0.91666666666666663</v>
      </c>
      <c r="M377" s="275">
        <v>0.2638888888888889</v>
      </c>
      <c r="N377" s="275">
        <v>0.70138888888888884</v>
      </c>
      <c r="O377" s="275">
        <v>0.79861111111111116</v>
      </c>
      <c r="P377" s="275">
        <v>0.85416666666666663</v>
      </c>
      <c r="Q377" s="276">
        <v>42466</v>
      </c>
      <c r="R377" s="284" t="s">
        <v>72</v>
      </c>
      <c r="S377" s="276">
        <v>42492</v>
      </c>
      <c r="T377" s="284">
        <v>49</v>
      </c>
      <c r="U377" s="274" t="s">
        <v>2218</v>
      </c>
      <c r="V377" s="227">
        <v>42522</v>
      </c>
      <c r="W377" s="276">
        <v>42522</v>
      </c>
      <c r="X377" s="276" t="s">
        <v>2</v>
      </c>
      <c r="Y377" s="274" t="s">
        <v>2246</v>
      </c>
      <c r="Z377" s="274" t="s">
        <v>2</v>
      </c>
      <c r="AA377" s="274" t="s">
        <v>2</v>
      </c>
      <c r="AB377" s="276" t="s">
        <v>2</v>
      </c>
      <c r="AC377" s="274" t="s">
        <v>1257</v>
      </c>
      <c r="AD377" s="309" t="s">
        <v>2</v>
      </c>
      <c r="AE377" s="276">
        <v>28883</v>
      </c>
      <c r="AF377" s="248" t="s">
        <v>2</v>
      </c>
      <c r="AG377" s="215" t="s">
        <v>775</v>
      </c>
      <c r="AH377" s="248" t="s">
        <v>68</v>
      </c>
      <c r="AI377" s="274" t="s">
        <v>89</v>
      </c>
      <c r="AJ377" s="281">
        <v>24469</v>
      </c>
      <c r="AK377" s="221" t="s">
        <v>2764</v>
      </c>
      <c r="AL377" s="152" t="s">
        <v>2771</v>
      </c>
      <c r="AM377" s="274" t="s">
        <v>2</v>
      </c>
      <c r="AN377" s="152" t="s">
        <v>414</v>
      </c>
      <c r="AO377" s="152" t="s">
        <v>2778</v>
      </c>
      <c r="AP377" s="152" t="s">
        <v>2</v>
      </c>
      <c r="AQ377" s="282" t="s">
        <v>2</v>
      </c>
      <c r="AR377" s="64"/>
      <c r="AS377" s="64"/>
      <c r="AT377" s="64"/>
      <c r="AU377" s="64"/>
      <c r="AV377" s="64"/>
      <c r="AW377" s="64"/>
    </row>
    <row r="378" spans="2:49" ht="15" customHeight="1">
      <c r="B378" s="280" t="str">
        <f t="shared" si="8"/>
        <v/>
      </c>
      <c r="C378" s="64"/>
      <c r="D378" s="272">
        <v>16695</v>
      </c>
      <c r="E378" s="229">
        <v>725657</v>
      </c>
      <c r="F378" s="273">
        <v>12211</v>
      </c>
      <c r="G378" s="274" t="s">
        <v>265</v>
      </c>
      <c r="H378" s="274" t="s">
        <v>418</v>
      </c>
      <c r="I378" s="274" t="s">
        <v>9</v>
      </c>
      <c r="J378" s="274" t="s">
        <v>399</v>
      </c>
      <c r="K378" s="275">
        <v>0.41666666666666669</v>
      </c>
      <c r="L378" s="275">
        <v>0.79166666666666663</v>
      </c>
      <c r="M378" s="275">
        <v>0.375</v>
      </c>
      <c r="N378" s="275" t="s">
        <v>2</v>
      </c>
      <c r="O378" s="275">
        <v>0.64583333333333337</v>
      </c>
      <c r="P378" s="275" t="s">
        <v>2</v>
      </c>
      <c r="Q378" s="276">
        <v>40649</v>
      </c>
      <c r="R378" s="284" t="s">
        <v>72</v>
      </c>
      <c r="S378" s="276">
        <v>40672</v>
      </c>
      <c r="T378" s="284">
        <v>1869</v>
      </c>
      <c r="U378" s="274" t="s">
        <v>2221</v>
      </c>
      <c r="V378" s="276">
        <v>42523</v>
      </c>
      <c r="W378" s="276">
        <v>42523</v>
      </c>
      <c r="X378" s="227" t="s">
        <v>2</v>
      </c>
      <c r="Y378" s="274" t="s">
        <v>2245</v>
      </c>
      <c r="Z378" s="274" t="s">
        <v>2</v>
      </c>
      <c r="AA378" s="274" t="s">
        <v>2</v>
      </c>
      <c r="AB378" s="276" t="s">
        <v>2</v>
      </c>
      <c r="AC378" s="274">
        <v>372</v>
      </c>
      <c r="AD378" s="277">
        <v>9185550</v>
      </c>
      <c r="AE378" s="274">
        <v>30176</v>
      </c>
      <c r="AF378" s="274" t="s">
        <v>2190</v>
      </c>
      <c r="AG378" s="215" t="s">
        <v>775</v>
      </c>
      <c r="AH378" s="152" t="s">
        <v>68</v>
      </c>
      <c r="AI378" s="152" t="s">
        <v>89</v>
      </c>
      <c r="AJ378" s="281" t="s">
        <v>2</v>
      </c>
      <c r="AK378" s="221" t="s">
        <v>2791</v>
      </c>
      <c r="AL378" s="152" t="s">
        <v>597</v>
      </c>
      <c r="AM378" s="152" t="s">
        <v>2</v>
      </c>
      <c r="AN378" s="152" t="s">
        <v>414</v>
      </c>
      <c r="AO378" s="152" t="s">
        <v>2513</v>
      </c>
      <c r="AP378" s="152" t="s">
        <v>1249</v>
      </c>
      <c r="AQ378" s="282" t="s">
        <v>2</v>
      </c>
      <c r="AR378" s="64"/>
      <c r="AS378" s="64"/>
      <c r="AT378" s="64"/>
      <c r="AU378" s="64"/>
      <c r="AV378" s="64"/>
      <c r="AW378" s="64"/>
    </row>
    <row r="379" spans="2:49" ht="15" customHeight="1">
      <c r="B379" s="280" t="str">
        <f t="shared" si="8"/>
        <v>x</v>
      </c>
      <c r="C379" s="64"/>
      <c r="D379" s="272">
        <v>31510</v>
      </c>
      <c r="E379" s="229">
        <v>915110</v>
      </c>
      <c r="F379" s="273">
        <v>17019</v>
      </c>
      <c r="G379" s="215" t="s">
        <v>2678</v>
      </c>
      <c r="H379" s="274" t="s">
        <v>418</v>
      </c>
      <c r="I379" s="215" t="s">
        <v>9</v>
      </c>
      <c r="J379" s="215" t="s">
        <v>403</v>
      </c>
      <c r="K379" s="275">
        <v>0.375</v>
      </c>
      <c r="L379" s="275">
        <v>0.63888888888888895</v>
      </c>
      <c r="M379" s="275">
        <v>0.2638888888888889</v>
      </c>
      <c r="N379" s="275">
        <v>0.41666666666666669</v>
      </c>
      <c r="O379" s="275">
        <v>0.52083333333333337</v>
      </c>
      <c r="P379" s="275">
        <v>0.58333333333333337</v>
      </c>
      <c r="Q379" s="216">
        <v>42404</v>
      </c>
      <c r="R379" s="284" t="s">
        <v>72</v>
      </c>
      <c r="S379" s="216">
        <v>42429</v>
      </c>
      <c r="T379" s="284">
        <v>112</v>
      </c>
      <c r="U379" s="215" t="s">
        <v>2219</v>
      </c>
      <c r="V379" s="216">
        <v>42522</v>
      </c>
      <c r="W379" s="216">
        <v>42522</v>
      </c>
      <c r="X379" s="216" t="s">
        <v>2</v>
      </c>
      <c r="Y379" s="215" t="s">
        <v>2246</v>
      </c>
      <c r="Z379" s="215" t="s">
        <v>2</v>
      </c>
      <c r="AA379" s="215" t="s">
        <v>2</v>
      </c>
      <c r="AB379" s="216" t="s">
        <v>2</v>
      </c>
      <c r="AC379" s="215" t="s">
        <v>2248</v>
      </c>
      <c r="AD379" s="215" t="s">
        <v>2</v>
      </c>
      <c r="AE379" s="215" t="s">
        <v>2</v>
      </c>
      <c r="AF379" s="215" t="s">
        <v>2</v>
      </c>
      <c r="AG379" s="215" t="s">
        <v>775</v>
      </c>
      <c r="AH379" s="215" t="s">
        <v>68</v>
      </c>
      <c r="AI379" s="215" t="s">
        <v>89</v>
      </c>
      <c r="AJ379" s="281">
        <v>810401</v>
      </c>
      <c r="AK379" s="221" t="s">
        <v>2695</v>
      </c>
      <c r="AL379" s="215" t="s">
        <v>2744</v>
      </c>
      <c r="AM379" s="215" t="s">
        <v>2</v>
      </c>
      <c r="AN379" s="246" t="s">
        <v>414</v>
      </c>
      <c r="AO379" s="246" t="s">
        <v>2745</v>
      </c>
      <c r="AP379" s="215" t="s">
        <v>2</v>
      </c>
      <c r="AQ379" s="222" t="s">
        <v>2</v>
      </c>
      <c r="AR379" s="64"/>
      <c r="AS379" s="64"/>
      <c r="AT379" s="64"/>
      <c r="AU379" s="64"/>
      <c r="AV379" s="64"/>
      <c r="AW379" s="64"/>
    </row>
    <row r="380" spans="2:49" ht="15" customHeight="1">
      <c r="B380" s="280" t="str">
        <f t="shared" si="8"/>
        <v/>
      </c>
      <c r="C380" s="64"/>
      <c r="D380" s="212">
        <v>31196</v>
      </c>
      <c r="E380" s="213">
        <v>897642</v>
      </c>
      <c r="F380" s="214">
        <v>17156</v>
      </c>
      <c r="G380" s="215" t="s">
        <v>2336</v>
      </c>
      <c r="H380" s="215" t="s">
        <v>417</v>
      </c>
      <c r="I380" s="215" t="s">
        <v>9</v>
      </c>
      <c r="J380" s="215" t="s">
        <v>403</v>
      </c>
      <c r="K380" s="275">
        <v>0.65277777777777779</v>
      </c>
      <c r="L380" s="275">
        <v>0.91666666666666663</v>
      </c>
      <c r="M380" s="275">
        <v>0.2638888888888889</v>
      </c>
      <c r="N380" s="275">
        <v>0.71527777777777779</v>
      </c>
      <c r="O380" s="275">
        <v>0.78472222222222221</v>
      </c>
      <c r="P380" s="275">
        <v>0.85416666666666663</v>
      </c>
      <c r="Q380" s="216">
        <v>42256</v>
      </c>
      <c r="R380" s="284" t="s">
        <v>72</v>
      </c>
      <c r="S380" s="216">
        <v>42282</v>
      </c>
      <c r="T380" s="284">
        <v>259</v>
      </c>
      <c r="U380" s="215" t="s">
        <v>2218</v>
      </c>
      <c r="V380" s="216">
        <v>42530</v>
      </c>
      <c r="W380" s="216">
        <v>42530</v>
      </c>
      <c r="X380" s="216" t="s">
        <v>2</v>
      </c>
      <c r="Y380" s="215" t="s">
        <v>2</v>
      </c>
      <c r="Z380" s="215" t="s">
        <v>2</v>
      </c>
      <c r="AA380" s="215" t="s">
        <v>2</v>
      </c>
      <c r="AB380" s="216" t="s">
        <v>2</v>
      </c>
      <c r="AC380" s="215" t="s">
        <v>2248</v>
      </c>
      <c r="AD380" s="218" t="s">
        <v>2</v>
      </c>
      <c r="AE380" s="216">
        <v>28626</v>
      </c>
      <c r="AF380" s="215" t="s">
        <v>2</v>
      </c>
      <c r="AG380" s="215" t="s">
        <v>775</v>
      </c>
      <c r="AH380" s="215" t="s">
        <v>68</v>
      </c>
      <c r="AI380" s="215" t="s">
        <v>89</v>
      </c>
      <c r="AJ380" s="221">
        <v>23680</v>
      </c>
      <c r="AK380" s="221" t="s">
        <v>2375</v>
      </c>
      <c r="AL380" s="221" t="s">
        <v>2359</v>
      </c>
      <c r="AM380" s="215" t="s">
        <v>2</v>
      </c>
      <c r="AN380" s="221" t="s">
        <v>414</v>
      </c>
      <c r="AO380" s="221" t="s">
        <v>2387</v>
      </c>
      <c r="AP380" s="221" t="s">
        <v>2</v>
      </c>
      <c r="AQ380" s="222" t="s">
        <v>2</v>
      </c>
      <c r="AR380" s="64"/>
      <c r="AS380" s="64"/>
      <c r="AT380" s="64"/>
      <c r="AU380" s="64"/>
      <c r="AV380" s="64"/>
      <c r="AW380" s="64"/>
    </row>
    <row r="381" spans="2:49" ht="15" customHeight="1">
      <c r="B381" s="280" t="s">
        <v>8</v>
      </c>
      <c r="C381" s="281"/>
      <c r="D381" s="272">
        <v>26927</v>
      </c>
      <c r="E381" s="283">
        <v>823977</v>
      </c>
      <c r="F381" s="273">
        <v>12569</v>
      </c>
      <c r="G381" s="274" t="s">
        <v>169</v>
      </c>
      <c r="H381" s="274" t="s">
        <v>417</v>
      </c>
      <c r="I381" s="274" t="s">
        <v>9</v>
      </c>
      <c r="J381" s="274" t="s">
        <v>396</v>
      </c>
      <c r="K381" s="275">
        <v>0.375</v>
      </c>
      <c r="L381" s="275">
        <v>0.71666666666666667</v>
      </c>
      <c r="M381" s="275">
        <v>0.34166666666666662</v>
      </c>
      <c r="N381" s="275" t="s">
        <v>2</v>
      </c>
      <c r="O381" s="275" t="s">
        <v>2</v>
      </c>
      <c r="P381" s="275" t="s">
        <v>2</v>
      </c>
      <c r="Q381" s="276">
        <v>41584</v>
      </c>
      <c r="R381" s="284" t="s">
        <v>72</v>
      </c>
      <c r="S381" s="276">
        <v>41619</v>
      </c>
      <c r="T381" s="284">
        <v>930</v>
      </c>
      <c r="U381" s="274" t="s">
        <v>2220</v>
      </c>
      <c r="V381" s="276" t="s">
        <v>2</v>
      </c>
      <c r="W381" s="276" t="s">
        <v>2</v>
      </c>
      <c r="X381" s="227" t="s">
        <v>2</v>
      </c>
      <c r="Y381" s="274" t="s">
        <v>2</v>
      </c>
      <c r="Z381" s="274" t="s">
        <v>2</v>
      </c>
      <c r="AA381" s="274" t="s">
        <v>2</v>
      </c>
      <c r="AB381" s="276" t="s">
        <v>2</v>
      </c>
      <c r="AC381" s="274">
        <v>264</v>
      </c>
      <c r="AD381" s="277" t="s">
        <v>2</v>
      </c>
      <c r="AE381" s="276">
        <v>33529</v>
      </c>
      <c r="AF381" s="274" t="s">
        <v>2</v>
      </c>
      <c r="AG381" s="215" t="s">
        <v>775</v>
      </c>
      <c r="AH381" s="274" t="s">
        <v>68</v>
      </c>
      <c r="AI381" s="274" t="s">
        <v>89</v>
      </c>
      <c r="AJ381" s="281" t="s">
        <v>2</v>
      </c>
      <c r="AK381" s="152" t="s">
        <v>855</v>
      </c>
      <c r="AL381" s="152" t="s">
        <v>503</v>
      </c>
      <c r="AM381" s="274" t="s">
        <v>2</v>
      </c>
      <c r="AN381" s="152" t="s">
        <v>414</v>
      </c>
      <c r="AO381" s="152" t="s">
        <v>1141</v>
      </c>
      <c r="AP381" s="152" t="s">
        <v>1249</v>
      </c>
      <c r="AQ381" s="282" t="s">
        <v>1249</v>
      </c>
      <c r="AR381" s="64"/>
      <c r="AS381" s="64"/>
      <c r="AT381" s="64"/>
      <c r="AU381" s="64"/>
      <c r="AV381" s="64"/>
      <c r="AW381" s="64"/>
    </row>
    <row r="382" spans="2:49" ht="15" customHeight="1">
      <c r="B382" s="280" t="s">
        <v>8</v>
      </c>
      <c r="C382" s="281"/>
      <c r="D382" s="272">
        <v>30690</v>
      </c>
      <c r="E382" s="229">
        <v>882111</v>
      </c>
      <c r="F382" s="273">
        <v>17199</v>
      </c>
      <c r="G382" s="274" t="s">
        <v>342</v>
      </c>
      <c r="H382" s="274" t="s">
        <v>418</v>
      </c>
      <c r="I382" s="274" t="s">
        <v>9</v>
      </c>
      <c r="J382" s="274" t="s">
        <v>403</v>
      </c>
      <c r="K382" s="275">
        <v>0.33333333333333331</v>
      </c>
      <c r="L382" s="275">
        <v>0.59722222222222221</v>
      </c>
      <c r="M382" s="275">
        <v>0.2638888888888889</v>
      </c>
      <c r="N382" s="275">
        <v>0.39583333333333331</v>
      </c>
      <c r="O382" s="275">
        <v>0.44444444444444442</v>
      </c>
      <c r="P382" s="275">
        <v>0.54861111111111105</v>
      </c>
      <c r="Q382" s="276">
        <v>42131</v>
      </c>
      <c r="R382" s="284" t="s">
        <v>72</v>
      </c>
      <c r="S382" s="276">
        <v>42156</v>
      </c>
      <c r="T382" s="284">
        <v>393</v>
      </c>
      <c r="U382" s="274" t="s">
        <v>2218</v>
      </c>
      <c r="V382" s="276">
        <v>42545</v>
      </c>
      <c r="W382" s="276">
        <v>42545</v>
      </c>
      <c r="X382" s="276" t="s">
        <v>2</v>
      </c>
      <c r="Y382" s="274" t="s">
        <v>2246</v>
      </c>
      <c r="Z382" s="274" t="s">
        <v>2</v>
      </c>
      <c r="AA382" s="274" t="s">
        <v>2</v>
      </c>
      <c r="AB382" s="276" t="s">
        <v>2</v>
      </c>
      <c r="AC382" s="274" t="s">
        <v>2248</v>
      </c>
      <c r="AD382" s="277" t="s">
        <v>2</v>
      </c>
      <c r="AE382" s="276">
        <v>35529</v>
      </c>
      <c r="AF382" s="274" t="s">
        <v>2</v>
      </c>
      <c r="AG382" s="215" t="s">
        <v>775</v>
      </c>
      <c r="AH382" s="274" t="s">
        <v>68</v>
      </c>
      <c r="AI382" s="274" t="s">
        <v>89</v>
      </c>
      <c r="AJ382" s="281">
        <v>810352</v>
      </c>
      <c r="AK382" s="221" t="s">
        <v>1020</v>
      </c>
      <c r="AL382" s="152" t="s">
        <v>669</v>
      </c>
      <c r="AM382" s="274" t="s">
        <v>2</v>
      </c>
      <c r="AN382" s="152" t="s">
        <v>414</v>
      </c>
      <c r="AO382" s="152" t="s">
        <v>2619</v>
      </c>
      <c r="AP382" s="152" t="s">
        <v>2</v>
      </c>
      <c r="AQ382" s="282" t="s">
        <v>2</v>
      </c>
      <c r="AR382" s="64"/>
      <c r="AS382" s="64"/>
      <c r="AT382" s="64"/>
      <c r="AU382" s="64"/>
      <c r="AV382" s="64"/>
      <c r="AW382" s="64"/>
    </row>
    <row r="383" spans="2:49" ht="15" customHeight="1">
      <c r="B383" s="280" t="s">
        <v>8</v>
      </c>
      <c r="C383" s="281"/>
      <c r="D383" s="272">
        <v>31052</v>
      </c>
      <c r="E383" s="229">
        <v>893767</v>
      </c>
      <c r="F383" s="273">
        <v>17188</v>
      </c>
      <c r="G383" s="274" t="s">
        <v>2266</v>
      </c>
      <c r="H383" s="274" t="s">
        <v>418</v>
      </c>
      <c r="I383" s="274" t="s">
        <v>9</v>
      </c>
      <c r="J383" s="274" t="s">
        <v>403</v>
      </c>
      <c r="K383" s="275">
        <v>0.33333333333333331</v>
      </c>
      <c r="L383" s="275">
        <v>0.59722222222222221</v>
      </c>
      <c r="M383" s="275">
        <v>0.2638888888888889</v>
      </c>
      <c r="N383" s="275">
        <v>0.3888888888888889</v>
      </c>
      <c r="O383" s="275">
        <v>0.44444444444444442</v>
      </c>
      <c r="P383" s="275">
        <v>0.54861111111111105</v>
      </c>
      <c r="Q383" s="276">
        <v>42227</v>
      </c>
      <c r="R383" s="284" t="s">
        <v>72</v>
      </c>
      <c r="S383" s="276">
        <v>42254</v>
      </c>
      <c r="T383" s="284">
        <v>295</v>
      </c>
      <c r="U383" s="274" t="s">
        <v>2218</v>
      </c>
      <c r="V383" s="276">
        <v>42465</v>
      </c>
      <c r="W383" s="276">
        <v>42466</v>
      </c>
      <c r="X383" s="276" t="s">
        <v>2</v>
      </c>
      <c r="Y383" s="274" t="s">
        <v>2</v>
      </c>
      <c r="Z383" s="274" t="s">
        <v>2</v>
      </c>
      <c r="AA383" s="274" t="s">
        <v>2</v>
      </c>
      <c r="AB383" s="276" t="s">
        <v>2</v>
      </c>
      <c r="AC383" s="274" t="s">
        <v>2248</v>
      </c>
      <c r="AD383" s="277" t="s">
        <v>2</v>
      </c>
      <c r="AE383" s="276">
        <v>29498</v>
      </c>
      <c r="AF383" s="274" t="s">
        <v>2</v>
      </c>
      <c r="AG383" s="215" t="s">
        <v>775</v>
      </c>
      <c r="AH383" s="274" t="s">
        <v>68</v>
      </c>
      <c r="AI383" s="274" t="s">
        <v>89</v>
      </c>
      <c r="AJ383" s="281">
        <v>23483</v>
      </c>
      <c r="AK383" s="221" t="s">
        <v>2272</v>
      </c>
      <c r="AL383" s="152" t="s">
        <v>2301</v>
      </c>
      <c r="AM383" s="274" t="s">
        <v>2</v>
      </c>
      <c r="AN383" s="152" t="s">
        <v>414</v>
      </c>
      <c r="AO383" s="152" t="s">
        <v>2597</v>
      </c>
      <c r="AP383" s="152" t="s">
        <v>2</v>
      </c>
      <c r="AQ383" s="282" t="s">
        <v>2</v>
      </c>
      <c r="AR383" s="64"/>
      <c r="AS383" s="64"/>
      <c r="AT383" s="64"/>
      <c r="AU383" s="64"/>
      <c r="AV383" s="64"/>
      <c r="AW383" s="64"/>
    </row>
    <row r="384" spans="2:49" ht="15" customHeight="1">
      <c r="B384" s="280"/>
      <c r="C384" s="64"/>
      <c r="D384" s="272">
        <v>32624</v>
      </c>
      <c r="E384" s="229">
        <v>930895</v>
      </c>
      <c r="F384" s="273">
        <v>17187</v>
      </c>
      <c r="G384" s="215" t="s">
        <v>2809</v>
      </c>
      <c r="H384" s="274" t="s">
        <v>417</v>
      </c>
      <c r="I384" s="274" t="s">
        <v>9</v>
      </c>
      <c r="J384" s="215" t="s">
        <v>403</v>
      </c>
      <c r="K384" s="275">
        <v>0.41666666666666669</v>
      </c>
      <c r="L384" s="275">
        <v>0.68055555555555558</v>
      </c>
      <c r="M384" s="275">
        <v>0.2638888888888889</v>
      </c>
      <c r="N384" s="275" t="s">
        <v>2</v>
      </c>
      <c r="O384" s="275" t="s">
        <v>2</v>
      </c>
      <c r="P384" s="275" t="s">
        <v>2</v>
      </c>
      <c r="Q384" s="216">
        <v>42529</v>
      </c>
      <c r="R384" s="284" t="str">
        <f t="shared" ref="R384:R390" ca="1" si="9">IF(T384&lt;0,"TRN",IF(AND(T384&gt;=0,T384&lt;7),"OCP W1",IF(AND(T384&gt;=7,T384&lt;14),"OCP W2",IF(AND(T384&gt;=14,T384&lt;21),"OCP W3",IF(T384&gt;=21,"W4+")))))</f>
        <v>W4+</v>
      </c>
      <c r="S384" s="216">
        <v>42555</v>
      </c>
      <c r="T384" s="284">
        <f t="shared" ref="T384:T390" ca="1" si="10">TODAY()-S384</f>
        <v>165</v>
      </c>
      <c r="U384" s="215" t="s">
        <v>2218</v>
      </c>
      <c r="V384" s="216">
        <v>42549</v>
      </c>
      <c r="W384" s="216">
        <v>42549</v>
      </c>
      <c r="X384" s="216" t="s">
        <v>2</v>
      </c>
      <c r="Y384" s="215" t="s">
        <v>2246</v>
      </c>
      <c r="Z384" s="215" t="s">
        <v>2</v>
      </c>
      <c r="AA384" s="215" t="s">
        <v>2</v>
      </c>
      <c r="AB384" s="216" t="s">
        <v>2</v>
      </c>
      <c r="AC384" s="215" t="s">
        <v>2</v>
      </c>
      <c r="AD384" s="218" t="s">
        <v>2</v>
      </c>
      <c r="AE384" s="215" t="s">
        <v>2</v>
      </c>
      <c r="AF384" s="215" t="str">
        <f>IFERROR(IF($AD384="-","-",IF(LEFT(RIGHT($AD384,7),1)*1=1,"Região Central",IF(LEFT(RIGHT($AD384,7),1)*1=2,"Região Norte",IF(LEFT(RIGHT($AD384,7),1)*1=3,"Região Leste",IF(LEFT(RIGHT($AD384,7),1)*1=4,"Região Sul",IF(LEFT(RIGHT($AD384,7),1)*1=5,"Região Oeste",IF(LEFT(RIGHT($AD384,7),1)*1=6,"Osasco e Região",IF(LEFT(RIGHT($AD384,7),1)*1=7,"Guarulhos e Região",IF(LEFT(RIGHT($AD384,7),1)*1=8,"Mogi das Cruzes e Região","Santo André e Região"))))))))),"")</f>
        <v>-</v>
      </c>
      <c r="AG384" s="215" t="s">
        <v>775</v>
      </c>
      <c r="AH384" s="274" t="s">
        <v>68</v>
      </c>
      <c r="AI384" s="215" t="s">
        <v>89</v>
      </c>
      <c r="AJ384" s="281">
        <v>24681</v>
      </c>
      <c r="AK384" s="221" t="s">
        <v>2826</v>
      </c>
      <c r="AL384" s="221" t="s">
        <v>2848</v>
      </c>
      <c r="AM384" s="215" t="s">
        <v>2</v>
      </c>
      <c r="AN384" s="281" t="s">
        <v>414</v>
      </c>
      <c r="AO384" s="152" t="s">
        <v>2837</v>
      </c>
      <c r="AP384" s="221" t="s">
        <v>2</v>
      </c>
      <c r="AQ384" s="222" t="s">
        <v>2</v>
      </c>
      <c r="AR384" s="64"/>
      <c r="AT384" s="64"/>
      <c r="AU384" s="64"/>
      <c r="AV384" s="64"/>
      <c r="AW384" s="64"/>
    </row>
    <row r="385" spans="1:49" ht="15" customHeight="1">
      <c r="B385" s="280"/>
      <c r="C385" s="64"/>
      <c r="D385" s="272">
        <v>30455</v>
      </c>
      <c r="E385" s="283">
        <v>876660</v>
      </c>
      <c r="F385" s="273">
        <v>12796</v>
      </c>
      <c r="G385" s="274" t="s">
        <v>250</v>
      </c>
      <c r="H385" s="274" t="s">
        <v>416</v>
      </c>
      <c r="I385" s="274" t="s">
        <v>9</v>
      </c>
      <c r="J385" s="274" t="s">
        <v>398</v>
      </c>
      <c r="K385" s="275">
        <v>0.35416666666666669</v>
      </c>
      <c r="L385" s="275">
        <v>0.6958333333333333</v>
      </c>
      <c r="M385" s="275">
        <v>0.34166666666666662</v>
      </c>
      <c r="N385" s="275">
        <v>0.39583333333333331</v>
      </c>
      <c r="O385" s="275">
        <v>0.5</v>
      </c>
      <c r="P385" s="275">
        <v>0.61805555555555558</v>
      </c>
      <c r="Q385" s="276">
        <v>42079</v>
      </c>
      <c r="R385" s="284" t="str">
        <f t="shared" ca="1" si="9"/>
        <v>W4+</v>
      </c>
      <c r="S385" s="276">
        <v>42100</v>
      </c>
      <c r="T385" s="284">
        <f t="shared" ca="1" si="10"/>
        <v>620</v>
      </c>
      <c r="U385" s="274" t="s">
        <v>2218</v>
      </c>
      <c r="V385" s="276">
        <v>42550</v>
      </c>
      <c r="W385" s="276">
        <v>42550</v>
      </c>
      <c r="X385" s="227" t="s">
        <v>2</v>
      </c>
      <c r="Y385" s="274" t="s">
        <v>2246</v>
      </c>
      <c r="Z385" s="274" t="s">
        <v>2</v>
      </c>
      <c r="AA385" s="274" t="s">
        <v>2</v>
      </c>
      <c r="AB385" s="276" t="s">
        <v>2</v>
      </c>
      <c r="AC385" s="274" t="str">
        <f>IFERROR(VLOOKUP(J385,Skills!$D$9:$E$18,2,0),"-")</f>
        <v>260;101;39;375;377</v>
      </c>
      <c r="AD385" s="277" t="s">
        <v>749</v>
      </c>
      <c r="AE385" s="276">
        <v>34388</v>
      </c>
      <c r="AF385" s="274" t="str">
        <f t="shared" ref="AF385" si="11">IFERROR(IF($AE385="-","-",IF(LEFT(RIGHT($AE385,7),1)*1=1,"Região Central",IF(LEFT(RIGHT($AE385,7),1)*1=2,"Região Norte",IF(LEFT(RIGHT($AE385,7),1)*1=3,"Região Leste",IF(LEFT(RIGHT($AE385,7),1)*1=4,"Região Sul",IF(LEFT(RIGHT($AE385,7),1)*1=5,"Região Oeste",IF(LEFT(RIGHT($AE385,7),1)*1=6,"Osasco e Região",IF(LEFT(RIGHT($AE385,7),1)*1=7,"Guarulhos e Região",IF(LEFT(RIGHT($AE385,7),1)*1=8,"Mogi das Cruzes e Região","Santo André e Região"))))))))),"")</f>
        <v>Região Leste</v>
      </c>
      <c r="AG385" s="274" t="s">
        <v>775</v>
      </c>
      <c r="AH385" s="274" t="s">
        <v>68</v>
      </c>
      <c r="AI385" s="274" t="s">
        <v>89</v>
      </c>
      <c r="AJ385" s="281">
        <v>810300</v>
      </c>
      <c r="AK385" s="152" t="s">
        <v>933</v>
      </c>
      <c r="AL385" s="152" t="s">
        <v>582</v>
      </c>
      <c r="AM385" s="152" t="s">
        <v>2</v>
      </c>
      <c r="AN385" s="152" t="s">
        <v>414</v>
      </c>
      <c r="AO385" s="152" t="s">
        <v>1184</v>
      </c>
      <c r="AP385" s="152" t="s">
        <v>1249</v>
      </c>
      <c r="AQ385" s="282" t="s">
        <v>2</v>
      </c>
      <c r="AR385" s="64"/>
      <c r="AS385" s="64"/>
      <c r="AT385" s="64"/>
      <c r="AU385" s="64"/>
      <c r="AV385" s="64"/>
    </row>
    <row r="386" spans="1:49" ht="15" customHeight="1">
      <c r="B386" s="280"/>
      <c r="C386" s="64"/>
      <c r="D386" s="272">
        <v>31588</v>
      </c>
      <c r="E386" s="229">
        <v>923143</v>
      </c>
      <c r="F386" s="273">
        <v>17174</v>
      </c>
      <c r="G386" s="274" t="s">
        <v>2793</v>
      </c>
      <c r="H386" s="274" t="s">
        <v>420</v>
      </c>
      <c r="I386" s="274" t="s">
        <v>9</v>
      </c>
      <c r="J386" s="274" t="s">
        <v>398</v>
      </c>
      <c r="K386" s="275">
        <v>0.59722222222222221</v>
      </c>
      <c r="L386" s="275">
        <v>0.86111111111111116</v>
      </c>
      <c r="M386" s="275">
        <v>0.2638888888888889</v>
      </c>
      <c r="N386" s="275">
        <v>0.63888888888888895</v>
      </c>
      <c r="O386" s="275">
        <v>0.69444444444444453</v>
      </c>
      <c r="P386" s="275">
        <v>0.79166666666666663</v>
      </c>
      <c r="Q386" s="276">
        <v>42466</v>
      </c>
      <c r="R386" s="284" t="str">
        <f t="shared" ca="1" si="9"/>
        <v>W4+</v>
      </c>
      <c r="S386" s="276">
        <v>42492</v>
      </c>
      <c r="T386" s="284">
        <f t="shared" ca="1" si="10"/>
        <v>228</v>
      </c>
      <c r="U386" s="274" t="s">
        <v>2218</v>
      </c>
      <c r="V386" s="276">
        <v>42550</v>
      </c>
      <c r="W386" s="276">
        <v>42550</v>
      </c>
      <c r="X386" s="276" t="s">
        <v>2</v>
      </c>
      <c r="Y386" s="274" t="s">
        <v>2246</v>
      </c>
      <c r="Z386" s="274" t="s">
        <v>2</v>
      </c>
      <c r="AA386" s="274" t="s">
        <v>2</v>
      </c>
      <c r="AB386" s="276" t="s">
        <v>2</v>
      </c>
      <c r="AC386" s="274" t="s">
        <v>1257</v>
      </c>
      <c r="AD386" s="274" t="s">
        <v>2</v>
      </c>
      <c r="AE386" s="276">
        <v>29795</v>
      </c>
      <c r="AF386" s="274" t="s">
        <v>2</v>
      </c>
      <c r="AG386" s="274" t="s">
        <v>775</v>
      </c>
      <c r="AH386" s="274" t="s">
        <v>68</v>
      </c>
      <c r="AI386" s="274" t="s">
        <v>89</v>
      </c>
      <c r="AJ386" s="281">
        <v>24472</v>
      </c>
      <c r="AK386" s="221" t="s">
        <v>2767</v>
      </c>
      <c r="AL386" s="152" t="s">
        <v>2774</v>
      </c>
      <c r="AM386" s="152" t="s">
        <v>2</v>
      </c>
      <c r="AN386" s="152" t="s">
        <v>414</v>
      </c>
      <c r="AO386" s="152" t="s">
        <v>2781</v>
      </c>
      <c r="AP386" s="152" t="s">
        <v>2</v>
      </c>
      <c r="AQ386" s="282" t="s">
        <v>2</v>
      </c>
      <c r="AS386" s="64"/>
      <c r="AT386" s="64"/>
      <c r="AU386" s="64"/>
      <c r="AV386" s="64"/>
      <c r="AW386" s="64"/>
    </row>
    <row r="387" spans="1:49" ht="15" customHeight="1">
      <c r="B387" s="280" t="str">
        <f t="shared" ref="B387" si="12">IF(B386="x","","x")</f>
        <v>x</v>
      </c>
      <c r="C387" s="281"/>
      <c r="D387" s="272">
        <v>30455</v>
      </c>
      <c r="E387" s="283">
        <v>876660</v>
      </c>
      <c r="F387" s="273">
        <v>12796</v>
      </c>
      <c r="G387" s="274" t="s">
        <v>250</v>
      </c>
      <c r="H387" s="274" t="s">
        <v>416</v>
      </c>
      <c r="I387" s="274" t="s">
        <v>9</v>
      </c>
      <c r="J387" s="274" t="s">
        <v>398</v>
      </c>
      <c r="K387" s="275">
        <v>0.35416666666666669</v>
      </c>
      <c r="L387" s="275">
        <v>0.6958333333333333</v>
      </c>
      <c r="M387" s="275">
        <v>0.34166666666666662</v>
      </c>
      <c r="N387" s="275">
        <v>0.39583333333333331</v>
      </c>
      <c r="O387" s="275">
        <v>0.5</v>
      </c>
      <c r="P387" s="275">
        <v>0.61805555555555558</v>
      </c>
      <c r="Q387" s="276">
        <v>42079</v>
      </c>
      <c r="R387" s="284" t="str">
        <f t="shared" ca="1" si="9"/>
        <v>W4+</v>
      </c>
      <c r="S387" s="276">
        <v>42100</v>
      </c>
      <c r="T387" s="284">
        <f t="shared" ca="1" si="10"/>
        <v>620</v>
      </c>
      <c r="U387" s="274" t="s">
        <v>2218</v>
      </c>
      <c r="V387" s="276">
        <v>42550</v>
      </c>
      <c r="W387" s="276">
        <v>42550</v>
      </c>
      <c r="X387" s="227" t="s">
        <v>2</v>
      </c>
      <c r="Y387" s="274" t="s">
        <v>2246</v>
      </c>
      <c r="Z387" s="274" t="s">
        <v>2</v>
      </c>
      <c r="AA387" s="274" t="s">
        <v>2</v>
      </c>
      <c r="AB387" s="276" t="s">
        <v>2</v>
      </c>
      <c r="AC387" s="274" t="str">
        <f>IFERROR(VLOOKUP(J387,Skills!$D$9:$E$18,2,0),"-")</f>
        <v>260;101;39;375;377</v>
      </c>
      <c r="AD387" s="277" t="s">
        <v>749</v>
      </c>
      <c r="AE387" s="276">
        <v>34388</v>
      </c>
      <c r="AF387" s="274" t="str">
        <f>IFERROR(IF($AD387="-","-",IF(LEFT(RIGHT($AD387,7),1)*1=1,"Região Central",IF(LEFT(RIGHT($AD387,7),1)*1=2,"Região Norte",IF(LEFT(RIGHT($AD387,7),1)*1=3,"Região Leste",IF(LEFT(RIGHT($AD387,7),1)*1=4,"Região Sul",IF(LEFT(RIGHT($AD387,7),1)*1=5,"Região Oeste",IF(LEFT(RIGHT($AD387,7),1)*1=6,"Osasco e Região",IF(LEFT(RIGHT($AD387,7),1)*1=7,"Guarulhos e Região",IF(LEFT(RIGHT($AD387,7),1)*1=8,"Mogi das Cruzes e Região","Santo André e Região"))))))))),"")</f>
        <v>Região Oeste</v>
      </c>
      <c r="AG387" s="274" t="s">
        <v>775</v>
      </c>
      <c r="AH387" s="274" t="s">
        <v>68</v>
      </c>
      <c r="AI387" s="274" t="s">
        <v>89</v>
      </c>
      <c r="AJ387" s="281">
        <v>810300</v>
      </c>
      <c r="AK387" s="152" t="s">
        <v>933</v>
      </c>
      <c r="AL387" s="152" t="s">
        <v>582</v>
      </c>
      <c r="AM387" s="152" t="s">
        <v>2</v>
      </c>
      <c r="AN387" s="152" t="s">
        <v>414</v>
      </c>
      <c r="AO387" s="152" t="s">
        <v>1184</v>
      </c>
      <c r="AP387" s="152" t="s">
        <v>1249</v>
      </c>
      <c r="AQ387" s="282" t="s">
        <v>2</v>
      </c>
      <c r="AW387" s="64"/>
    </row>
    <row r="388" spans="1:49" ht="15" customHeight="1">
      <c r="B388" s="280"/>
      <c r="C388" s="64"/>
      <c r="D388" s="272">
        <v>12739</v>
      </c>
      <c r="E388" s="229">
        <v>696933</v>
      </c>
      <c r="F388" s="273">
        <v>12534</v>
      </c>
      <c r="G388" s="274" t="s">
        <v>264</v>
      </c>
      <c r="H388" s="274" t="s">
        <v>415</v>
      </c>
      <c r="I388" s="274" t="s">
        <v>9</v>
      </c>
      <c r="J388" s="274" t="s">
        <v>399</v>
      </c>
      <c r="K388" s="275">
        <v>2.3333333333333335</v>
      </c>
      <c r="L388" s="275">
        <v>0.70833333333333337</v>
      </c>
      <c r="M388" s="275">
        <v>0.375</v>
      </c>
      <c r="N388" s="275" t="s">
        <v>2</v>
      </c>
      <c r="O388" s="275">
        <v>0.52083333333333337</v>
      </c>
      <c r="P388" s="275" t="s">
        <v>2</v>
      </c>
      <c r="Q388" s="276">
        <v>40308</v>
      </c>
      <c r="R388" s="284" t="str">
        <f t="shared" ca="1" si="9"/>
        <v>W4+</v>
      </c>
      <c r="S388" s="276">
        <v>40331</v>
      </c>
      <c r="T388" s="284">
        <f t="shared" ca="1" si="10"/>
        <v>2389</v>
      </c>
      <c r="U388" s="274" t="s">
        <v>2221</v>
      </c>
      <c r="V388" s="276">
        <v>42551</v>
      </c>
      <c r="W388" s="276">
        <v>42552</v>
      </c>
      <c r="X388" s="227" t="s">
        <v>2</v>
      </c>
      <c r="Y388" s="274" t="s">
        <v>2245</v>
      </c>
      <c r="Z388" s="274" t="s">
        <v>2</v>
      </c>
      <c r="AA388" s="274" t="s">
        <v>2</v>
      </c>
      <c r="AB388" s="276" t="s">
        <v>2</v>
      </c>
      <c r="AC388" s="274">
        <f>IFERROR(VLOOKUP(J388,Skills!$D$9:$E$18,2,0),"-")</f>
        <v>372</v>
      </c>
      <c r="AD388" s="277">
        <v>7020030</v>
      </c>
      <c r="AE388" s="276">
        <v>29221</v>
      </c>
      <c r="AF388" s="274" t="str">
        <f>IFERROR(IF($AD388="-","-",IF(LEFT(RIGHT($AD388,7),1)*1=1,"Região Central",IF(LEFT(RIGHT($AD388,7),1)*1=2,"Região Norte",IF(LEFT(RIGHT($AD388,7),1)*1=3,"Região Leste",IF(LEFT(RIGHT($AD388,7),1)*1=4,"Região Sul",IF(LEFT(RIGHT($AD388,7),1)*1=5,"Região Oeste",IF(LEFT(RIGHT($AD388,7),1)*1=6,"Osasco e Região",IF(LEFT(RIGHT($AD388,7),1)*1=7,"Guarulhos e Região",IF(LEFT(RIGHT($AD388,7),1)*1=8,"Mogi das Cruzes e Região","Santo André e Região"))))))))),"")</f>
        <v>Guarulhos e Região</v>
      </c>
      <c r="AG388" s="274" t="s">
        <v>775</v>
      </c>
      <c r="AH388" s="274" t="s">
        <v>68</v>
      </c>
      <c r="AI388" s="274" t="s">
        <v>89</v>
      </c>
      <c r="AJ388" s="281" t="s">
        <v>2</v>
      </c>
      <c r="AK388" s="221" t="s">
        <v>947</v>
      </c>
      <c r="AL388" s="152" t="s">
        <v>596</v>
      </c>
      <c r="AM388" s="152" t="s">
        <v>2</v>
      </c>
      <c r="AN388" s="152" t="s">
        <v>414</v>
      </c>
      <c r="AO388" s="152" t="s">
        <v>2564</v>
      </c>
      <c r="AP388" s="152" t="s">
        <v>1249</v>
      </c>
      <c r="AQ388" s="282" t="s">
        <v>2</v>
      </c>
    </row>
    <row r="389" spans="1:49" ht="15" customHeight="1">
      <c r="B389" s="280"/>
      <c r="C389" s="64"/>
      <c r="D389" s="272">
        <v>22673</v>
      </c>
      <c r="E389" s="283">
        <v>776134</v>
      </c>
      <c r="F389" s="273">
        <v>12120</v>
      </c>
      <c r="G389" s="274" t="s">
        <v>107</v>
      </c>
      <c r="H389" s="274" t="s">
        <v>407</v>
      </c>
      <c r="I389" s="274" t="s">
        <v>16</v>
      </c>
      <c r="J389" s="274" t="s">
        <v>392</v>
      </c>
      <c r="K389" s="275">
        <v>0.35416666666666669</v>
      </c>
      <c r="L389" s="275">
        <v>0.61805555555555558</v>
      </c>
      <c r="M389" s="275">
        <v>0.2638888888888889</v>
      </c>
      <c r="N389" s="275">
        <v>0.40277777777777773</v>
      </c>
      <c r="O389" s="275">
        <v>0.47222222222222227</v>
      </c>
      <c r="P389" s="275">
        <v>0.53472222222222221</v>
      </c>
      <c r="Q389" s="276">
        <v>41127</v>
      </c>
      <c r="R389" s="284" t="str">
        <f t="shared" ca="1" si="9"/>
        <v>W4+</v>
      </c>
      <c r="S389" s="276">
        <v>41150</v>
      </c>
      <c r="T389" s="284">
        <f t="shared" ca="1" si="10"/>
        <v>1570</v>
      </c>
      <c r="U389" s="274" t="s">
        <v>2216</v>
      </c>
      <c r="V389" s="276">
        <v>42551</v>
      </c>
      <c r="W389" s="276">
        <v>42551</v>
      </c>
      <c r="X389" s="227" t="s">
        <v>2</v>
      </c>
      <c r="Y389" s="274" t="s">
        <v>2</v>
      </c>
      <c r="Z389" s="131" t="s">
        <v>89</v>
      </c>
      <c r="AA389" s="131" t="s">
        <v>2714</v>
      </c>
      <c r="AB389" s="276">
        <v>42551</v>
      </c>
      <c r="AC389" s="131" t="str">
        <f>IFERROR(VLOOKUP(J389,Skills!$D$9:$E$18,2,0),"-")</f>
        <v>-</v>
      </c>
      <c r="AD389" s="277">
        <v>7178330</v>
      </c>
      <c r="AE389" s="276">
        <v>34219</v>
      </c>
      <c r="AF389" s="131" t="str">
        <f>IFERROR(IF($AD389="-","-",IF(LEFT(RIGHT($AD389,7),1)*1=1,"Região Central",IF(LEFT(RIGHT($AD389,7),1)*1=2,"Região Norte",IF(LEFT(RIGHT($AD389,7),1)*1=3,"Região Leste",IF(LEFT(RIGHT($AD389,7),1)*1=4,"Região Sul",IF(LEFT(RIGHT($AD389,7),1)*1=5,"Região Oeste",IF(LEFT(RIGHT($AD389,7),1)*1=6,"Osasco e Região",IF(LEFT(RIGHT($AD389,7),1)*1=7,"Guarulhos e Região",IF(LEFT(RIGHT($AD389,7),1)*1=8,"Mogi das Cruzes e Região","Santo André e Região"))))))))),"")</f>
        <v>Guarulhos e Região</v>
      </c>
      <c r="AG389" s="274" t="s">
        <v>775</v>
      </c>
      <c r="AH389" s="274" t="s">
        <v>68</v>
      </c>
      <c r="AI389" s="274" t="s">
        <v>89</v>
      </c>
      <c r="AJ389" s="281">
        <v>810012</v>
      </c>
      <c r="AK389" s="281" t="s">
        <v>794</v>
      </c>
      <c r="AL389" s="281" t="s">
        <v>442</v>
      </c>
      <c r="AM389" s="281" t="s">
        <v>2</v>
      </c>
      <c r="AN389" s="281" t="s">
        <v>413</v>
      </c>
      <c r="AO389" s="281" t="s">
        <v>1084</v>
      </c>
      <c r="AP389" s="281" t="s">
        <v>1249</v>
      </c>
      <c r="AQ389" s="282" t="s">
        <v>1249</v>
      </c>
    </row>
    <row r="390" spans="1:49" ht="15" customHeight="1">
      <c r="A390" s="90"/>
      <c r="B390" s="280" t="str">
        <f t="shared" ref="B390" si="13">IF(B389="x","","x")</f>
        <v>x</v>
      </c>
      <c r="C390" s="64"/>
      <c r="D390" s="272">
        <v>22673</v>
      </c>
      <c r="E390" s="283">
        <v>776134</v>
      </c>
      <c r="F390" s="273">
        <v>12120</v>
      </c>
      <c r="G390" s="274" t="s">
        <v>107</v>
      </c>
      <c r="H390" s="274" t="s">
        <v>407</v>
      </c>
      <c r="I390" s="274" t="s">
        <v>16</v>
      </c>
      <c r="J390" s="274" t="s">
        <v>392</v>
      </c>
      <c r="K390" s="275">
        <v>0.35416666666666669</v>
      </c>
      <c r="L390" s="275">
        <v>0.61805555555555558</v>
      </c>
      <c r="M390" s="275">
        <v>0.2638888888888889</v>
      </c>
      <c r="N390" s="275">
        <v>0.40277777777777773</v>
      </c>
      <c r="O390" s="275">
        <v>0.47222222222222227</v>
      </c>
      <c r="P390" s="275">
        <v>0.53472222222222221</v>
      </c>
      <c r="Q390" s="276">
        <v>41127</v>
      </c>
      <c r="R390" s="284" t="str">
        <f t="shared" ca="1" si="9"/>
        <v>W4+</v>
      </c>
      <c r="S390" s="276">
        <v>41150</v>
      </c>
      <c r="T390" s="284">
        <f t="shared" ca="1" si="10"/>
        <v>1570</v>
      </c>
      <c r="U390" s="274" t="s">
        <v>2216</v>
      </c>
      <c r="V390" s="276">
        <v>42551</v>
      </c>
      <c r="W390" s="276">
        <v>42551</v>
      </c>
      <c r="X390" s="227" t="s">
        <v>2</v>
      </c>
      <c r="Y390" s="274" t="s">
        <v>2</v>
      </c>
      <c r="Z390" s="131" t="s">
        <v>89</v>
      </c>
      <c r="AA390" s="131" t="s">
        <v>2714</v>
      </c>
      <c r="AB390" s="276">
        <v>42551</v>
      </c>
      <c r="AC390" s="131" t="s">
        <v>2</v>
      </c>
      <c r="AD390" s="277">
        <v>7178330</v>
      </c>
      <c r="AE390" s="276">
        <v>34219</v>
      </c>
      <c r="AF390" s="131" t="str">
        <f>IFERROR(IF($AD390="-","-",IF(LEFT(RIGHT($AD390,7),1)*1=1,"Região Central",IF(LEFT(RIGHT($AD390,7),1)*1=2,"Região Norte",IF(LEFT(RIGHT($AD390,7),1)*1=3,"Região Leste",IF(LEFT(RIGHT($AD390,7),1)*1=4,"Região Sul",IF(LEFT(RIGHT($AD390,7),1)*1=5,"Região Oeste",IF(LEFT(RIGHT($AD390,7),1)*1=6,"Osasco e Região",IF(LEFT(RIGHT($AD390,7),1)*1=7,"Guarulhos e Região",IF(LEFT(RIGHT($AD390,7),1)*1=8,"Mogi das Cruzes e Região","Santo André e Região"))))))))),"")</f>
        <v>Guarulhos e Região</v>
      </c>
      <c r="AG390" s="274" t="s">
        <v>775</v>
      </c>
      <c r="AH390" s="274" t="s">
        <v>68</v>
      </c>
      <c r="AI390" s="274" t="s">
        <v>89</v>
      </c>
      <c r="AJ390" s="281">
        <v>810012</v>
      </c>
      <c r="AK390" s="281" t="s">
        <v>794</v>
      </c>
      <c r="AL390" s="281" t="s">
        <v>442</v>
      </c>
      <c r="AM390" s="281" t="s">
        <v>2</v>
      </c>
      <c r="AN390" s="281" t="s">
        <v>413</v>
      </c>
      <c r="AO390" s="281" t="s">
        <v>1084</v>
      </c>
      <c r="AP390" s="281" t="s">
        <v>1249</v>
      </c>
      <c r="AQ390" s="282" t="s">
        <v>1249</v>
      </c>
      <c r="AW390" s="64"/>
    </row>
    <row r="391" spans="1:49" ht="15" customHeight="1">
      <c r="A391" s="90"/>
      <c r="B391" s="280" t="s">
        <v>8</v>
      </c>
      <c r="C391" s="281"/>
      <c r="D391" s="272">
        <v>16378</v>
      </c>
      <c r="E391" s="283">
        <v>724444</v>
      </c>
      <c r="F391" s="273">
        <v>12483</v>
      </c>
      <c r="G391" s="274" t="s">
        <v>96</v>
      </c>
      <c r="H391" s="274" t="s">
        <v>407</v>
      </c>
      <c r="I391" s="274" t="s">
        <v>9</v>
      </c>
      <c r="J391" s="274" t="s">
        <v>392</v>
      </c>
      <c r="K391" s="275">
        <v>0.33333333333333331</v>
      </c>
      <c r="L391" s="275">
        <v>0.67499999999999993</v>
      </c>
      <c r="M391" s="275">
        <v>0.34166666666666662</v>
      </c>
      <c r="N391" s="275">
        <v>0.66666666666666663</v>
      </c>
      <c r="O391" s="275">
        <v>0.72916666666666663</v>
      </c>
      <c r="P391" s="275">
        <v>0.84027777777777779</v>
      </c>
      <c r="Q391" s="276">
        <v>40634</v>
      </c>
      <c r="R391" s="284" t="s">
        <v>72</v>
      </c>
      <c r="S391" s="276">
        <v>40657</v>
      </c>
      <c r="T391" s="284">
        <v>1915</v>
      </c>
      <c r="U391" s="274" t="s">
        <v>2216</v>
      </c>
      <c r="V391" s="276">
        <v>42563</v>
      </c>
      <c r="W391" s="276">
        <v>42559</v>
      </c>
      <c r="X391" s="227" t="s">
        <v>2</v>
      </c>
      <c r="Y391" s="274" t="s">
        <v>2245</v>
      </c>
      <c r="Z391" s="274" t="s">
        <v>2</v>
      </c>
      <c r="AA391" s="274" t="s">
        <v>2</v>
      </c>
      <c r="AB391" s="276" t="s">
        <v>2</v>
      </c>
      <c r="AC391" s="274" t="s">
        <v>2</v>
      </c>
      <c r="AD391" s="277">
        <v>6381135</v>
      </c>
      <c r="AE391" s="276">
        <v>31518</v>
      </c>
      <c r="AF391" s="274" t="s">
        <v>2193</v>
      </c>
      <c r="AG391" s="274" t="s">
        <v>775</v>
      </c>
      <c r="AH391" s="274" t="s">
        <v>68</v>
      </c>
      <c r="AI391" s="274" t="s">
        <v>89</v>
      </c>
      <c r="AJ391" s="281">
        <v>810031</v>
      </c>
      <c r="AK391" s="246" t="s">
        <v>783</v>
      </c>
      <c r="AL391" s="153" t="s">
        <v>431</v>
      </c>
      <c r="AM391" s="154" t="s">
        <v>2</v>
      </c>
      <c r="AN391" s="154" t="s">
        <v>413</v>
      </c>
      <c r="AO391" s="154" t="s">
        <v>1073</v>
      </c>
      <c r="AP391" s="154" t="s">
        <v>1249</v>
      </c>
      <c r="AQ391" s="162" t="s">
        <v>1249</v>
      </c>
      <c r="AW391" s="64"/>
    </row>
    <row r="392" spans="1:49" ht="15" customHeight="1">
      <c r="A392" s="90"/>
      <c r="B392" s="280" t="s">
        <v>26</v>
      </c>
      <c r="C392" s="281"/>
      <c r="D392" s="272">
        <v>19501</v>
      </c>
      <c r="E392" s="283">
        <v>750914</v>
      </c>
      <c r="F392" s="273">
        <v>12227</v>
      </c>
      <c r="G392" s="274" t="s">
        <v>100</v>
      </c>
      <c r="H392" s="274" t="s">
        <v>407</v>
      </c>
      <c r="I392" s="274" t="s">
        <v>9</v>
      </c>
      <c r="J392" s="274" t="s">
        <v>392</v>
      </c>
      <c r="K392" s="275">
        <v>0.33333333333333331</v>
      </c>
      <c r="L392" s="275">
        <v>0.67499999999999993</v>
      </c>
      <c r="M392" s="275">
        <v>0.34166666666666662</v>
      </c>
      <c r="N392" s="275">
        <v>0.70833333333333337</v>
      </c>
      <c r="O392" s="275">
        <v>0.75694444444444453</v>
      </c>
      <c r="P392" s="275">
        <v>0.84722222222222221</v>
      </c>
      <c r="Q392" s="276">
        <v>40854</v>
      </c>
      <c r="R392" s="284" t="s">
        <v>72</v>
      </c>
      <c r="S392" s="276">
        <v>40877</v>
      </c>
      <c r="T392" s="284">
        <v>1695</v>
      </c>
      <c r="U392" s="274" t="s">
        <v>2216</v>
      </c>
      <c r="V392" s="276">
        <v>42563</v>
      </c>
      <c r="W392" s="276">
        <v>42559</v>
      </c>
      <c r="X392" s="276" t="s">
        <v>2</v>
      </c>
      <c r="Y392" s="274" t="s">
        <v>2245</v>
      </c>
      <c r="Z392" s="131" t="s">
        <v>2</v>
      </c>
      <c r="AA392" s="131" t="s">
        <v>2</v>
      </c>
      <c r="AB392" s="276" t="s">
        <v>2</v>
      </c>
      <c r="AC392" s="131" t="s">
        <v>2</v>
      </c>
      <c r="AD392" s="277">
        <v>8285020</v>
      </c>
      <c r="AE392" s="276">
        <v>30093</v>
      </c>
      <c r="AF392" s="131" t="s">
        <v>2194</v>
      </c>
      <c r="AG392" s="274" t="s">
        <v>775</v>
      </c>
      <c r="AH392" s="274" t="s">
        <v>68</v>
      </c>
      <c r="AI392" s="274" t="s">
        <v>89</v>
      </c>
      <c r="AJ392" s="281">
        <v>810034</v>
      </c>
      <c r="AK392" s="281" t="s">
        <v>787</v>
      </c>
      <c r="AL392" s="281" t="s">
        <v>435</v>
      </c>
      <c r="AM392" s="281" t="s">
        <v>2</v>
      </c>
      <c r="AN392" s="281" t="s">
        <v>413</v>
      </c>
      <c r="AO392" s="281" t="s">
        <v>1077</v>
      </c>
      <c r="AP392" s="281" t="s">
        <v>1249</v>
      </c>
      <c r="AQ392" s="282" t="s">
        <v>1249</v>
      </c>
      <c r="AW392" s="64"/>
    </row>
    <row r="393" spans="1:49" ht="15" customHeight="1">
      <c r="A393" s="90"/>
      <c r="B393" s="280" t="s">
        <v>26</v>
      </c>
      <c r="C393" s="281"/>
      <c r="D393" s="272">
        <v>13589</v>
      </c>
      <c r="E393" s="283">
        <v>706422</v>
      </c>
      <c r="F393" s="273">
        <v>12103</v>
      </c>
      <c r="G393" s="274" t="s">
        <v>111</v>
      </c>
      <c r="H393" s="274" t="s">
        <v>407</v>
      </c>
      <c r="I393" s="274" t="s">
        <v>9</v>
      </c>
      <c r="J393" s="274" t="s">
        <v>392</v>
      </c>
      <c r="K393" s="275">
        <v>0.375</v>
      </c>
      <c r="L393" s="275">
        <v>0.71666666666666667</v>
      </c>
      <c r="M393" s="275">
        <v>0.34166666666666662</v>
      </c>
      <c r="N393" s="275">
        <v>0.4236111111111111</v>
      </c>
      <c r="O393" s="275">
        <v>0.52083333333333337</v>
      </c>
      <c r="P393" s="275">
        <v>0.66666666666666663</v>
      </c>
      <c r="Q393" s="276">
        <v>40429</v>
      </c>
      <c r="R393" s="284" t="s">
        <v>72</v>
      </c>
      <c r="S393" s="276">
        <v>40452</v>
      </c>
      <c r="T393" s="284">
        <v>2120</v>
      </c>
      <c r="U393" s="274" t="s">
        <v>2216</v>
      </c>
      <c r="V393" s="276">
        <v>42563</v>
      </c>
      <c r="W393" s="276">
        <v>42559</v>
      </c>
      <c r="X393" s="276" t="s">
        <v>2</v>
      </c>
      <c r="Y393" s="274" t="s">
        <v>2245</v>
      </c>
      <c r="Z393" s="274" t="s">
        <v>2</v>
      </c>
      <c r="AA393" s="274" t="s">
        <v>2</v>
      </c>
      <c r="AB393" s="276" t="s">
        <v>2</v>
      </c>
      <c r="AC393" s="274" t="s">
        <v>2</v>
      </c>
      <c r="AD393" s="277">
        <v>3807030</v>
      </c>
      <c r="AE393" s="276">
        <v>29704</v>
      </c>
      <c r="AF393" s="274" t="s">
        <v>2195</v>
      </c>
      <c r="AG393" s="274" t="s">
        <v>775</v>
      </c>
      <c r="AH393" s="274" t="s">
        <v>68</v>
      </c>
      <c r="AI393" s="274" t="s">
        <v>89</v>
      </c>
      <c r="AJ393" s="281">
        <v>810013</v>
      </c>
      <c r="AK393" s="281" t="s">
        <v>798</v>
      </c>
      <c r="AL393" s="281" t="s">
        <v>446</v>
      </c>
      <c r="AM393" s="281" t="s">
        <v>2</v>
      </c>
      <c r="AN393" s="281" t="s">
        <v>413</v>
      </c>
      <c r="AO393" s="281" t="s">
        <v>1088</v>
      </c>
      <c r="AP393" s="281" t="s">
        <v>1249</v>
      </c>
      <c r="AQ393" s="282" t="s">
        <v>1249</v>
      </c>
      <c r="AW393" s="64"/>
    </row>
    <row r="394" spans="1:49" ht="15" customHeight="1">
      <c r="A394" s="90"/>
      <c r="B394" s="280" t="s">
        <v>8</v>
      </c>
      <c r="C394" s="281"/>
      <c r="D394" s="272">
        <v>17327</v>
      </c>
      <c r="E394" s="283">
        <v>730394</v>
      </c>
      <c r="F394" s="273">
        <v>12497</v>
      </c>
      <c r="G394" s="274" t="s">
        <v>97</v>
      </c>
      <c r="H394" s="274" t="s">
        <v>407</v>
      </c>
      <c r="I394" s="274" t="s">
        <v>9</v>
      </c>
      <c r="J394" s="274" t="s">
        <v>392</v>
      </c>
      <c r="K394" s="275">
        <v>0.3888888888888889</v>
      </c>
      <c r="L394" s="275">
        <v>0.65277777777777779</v>
      </c>
      <c r="M394" s="275">
        <v>0.2638888888888889</v>
      </c>
      <c r="N394" s="275">
        <v>0.40972222222222227</v>
      </c>
      <c r="O394" s="275">
        <v>0.47916666666666669</v>
      </c>
      <c r="P394" s="275">
        <v>0.54166666666666663</v>
      </c>
      <c r="Q394" s="276">
        <v>40695</v>
      </c>
      <c r="R394" s="284" t="s">
        <v>72</v>
      </c>
      <c r="S394" s="276">
        <v>40718</v>
      </c>
      <c r="T394" s="284">
        <v>1854</v>
      </c>
      <c r="U394" s="274" t="s">
        <v>2216</v>
      </c>
      <c r="V394" s="276">
        <v>42563</v>
      </c>
      <c r="W394" s="276">
        <v>42559</v>
      </c>
      <c r="X394" s="227" t="s">
        <v>2</v>
      </c>
      <c r="Y394" s="274" t="s">
        <v>2245</v>
      </c>
      <c r="Z394" s="274" t="s">
        <v>2</v>
      </c>
      <c r="AA394" s="274" t="s">
        <v>2</v>
      </c>
      <c r="AB394" s="276" t="s">
        <v>2</v>
      </c>
      <c r="AC394" s="274" t="s">
        <v>2</v>
      </c>
      <c r="AD394" s="277">
        <v>1527060</v>
      </c>
      <c r="AE394" s="276">
        <v>31487</v>
      </c>
      <c r="AF394" s="279" t="s">
        <v>2192</v>
      </c>
      <c r="AG394" s="274" t="s">
        <v>775</v>
      </c>
      <c r="AH394" s="274" t="s">
        <v>68</v>
      </c>
      <c r="AI394" s="274" t="s">
        <v>89</v>
      </c>
      <c r="AJ394" s="281">
        <v>810030</v>
      </c>
      <c r="AK394" s="246" t="s">
        <v>784</v>
      </c>
      <c r="AL394" s="153" t="s">
        <v>432</v>
      </c>
      <c r="AM394" s="154" t="s">
        <v>2</v>
      </c>
      <c r="AN394" s="154" t="s">
        <v>413</v>
      </c>
      <c r="AO394" s="154" t="s">
        <v>1074</v>
      </c>
      <c r="AP394" s="154" t="s">
        <v>1249</v>
      </c>
      <c r="AQ394" s="162" t="s">
        <v>1249</v>
      </c>
      <c r="AW394" s="64"/>
    </row>
    <row r="395" spans="1:49" ht="15" customHeight="1">
      <c r="A395" s="90"/>
      <c r="B395" s="280" t="s">
        <v>26</v>
      </c>
      <c r="C395" s="281"/>
      <c r="D395" s="272">
        <v>17281</v>
      </c>
      <c r="E395" s="283">
        <v>730327</v>
      </c>
      <c r="F395" s="273">
        <v>12199</v>
      </c>
      <c r="G395" s="274" t="s">
        <v>93</v>
      </c>
      <c r="H395" s="274" t="s">
        <v>407</v>
      </c>
      <c r="I395" s="274" t="s">
        <v>9</v>
      </c>
      <c r="J395" s="274" t="s">
        <v>392</v>
      </c>
      <c r="K395" s="275">
        <v>0.57500000000000007</v>
      </c>
      <c r="L395" s="275">
        <v>0.91666666666666663</v>
      </c>
      <c r="M395" s="275">
        <v>0.34166666666666662</v>
      </c>
      <c r="N395" s="275">
        <v>0.61805555555555558</v>
      </c>
      <c r="O395" s="275">
        <v>0.66666666666666663</v>
      </c>
      <c r="P395" s="275">
        <v>0.84722222222222221</v>
      </c>
      <c r="Q395" s="276">
        <v>40695</v>
      </c>
      <c r="R395" s="284" t="s">
        <v>72</v>
      </c>
      <c r="S395" s="276">
        <v>40718</v>
      </c>
      <c r="T395" s="284">
        <v>1854</v>
      </c>
      <c r="U395" s="274" t="s">
        <v>2216</v>
      </c>
      <c r="V395" s="276">
        <v>42563</v>
      </c>
      <c r="W395" s="276">
        <v>42559</v>
      </c>
      <c r="X395" s="276" t="s">
        <v>2</v>
      </c>
      <c r="Y395" s="274" t="s">
        <v>2245</v>
      </c>
      <c r="Z395" s="274" t="s">
        <v>2</v>
      </c>
      <c r="AA395" s="274" t="s">
        <v>2</v>
      </c>
      <c r="AB395" s="276" t="s">
        <v>2</v>
      </c>
      <c r="AC395" s="274" t="s">
        <v>2</v>
      </c>
      <c r="AD395" s="277">
        <v>8380040</v>
      </c>
      <c r="AE395" s="276">
        <v>29636</v>
      </c>
      <c r="AF395" s="274" t="s">
        <v>2194</v>
      </c>
      <c r="AG395" s="274" t="s">
        <v>775</v>
      </c>
      <c r="AH395" s="274" t="s">
        <v>68</v>
      </c>
      <c r="AI395" s="274" t="s">
        <v>89</v>
      </c>
      <c r="AJ395" s="281">
        <v>810024</v>
      </c>
      <c r="AK395" s="281" t="s">
        <v>780</v>
      </c>
      <c r="AL395" s="281" t="s">
        <v>428</v>
      </c>
      <c r="AM395" s="281" t="s">
        <v>2</v>
      </c>
      <c r="AN395" s="281" t="s">
        <v>413</v>
      </c>
      <c r="AO395" s="281" t="s">
        <v>1070</v>
      </c>
      <c r="AP395" s="281" t="s">
        <v>1249</v>
      </c>
      <c r="AQ395" s="282" t="s">
        <v>1249</v>
      </c>
      <c r="AW395" s="64"/>
    </row>
    <row r="396" spans="1:49" ht="15" customHeight="1">
      <c r="A396" s="90"/>
      <c r="B396" s="280" t="s">
        <v>8</v>
      </c>
      <c r="C396" s="281"/>
      <c r="D396" s="272">
        <v>18182</v>
      </c>
      <c r="E396" s="283">
        <v>734483</v>
      </c>
      <c r="F396" s="273">
        <v>17116</v>
      </c>
      <c r="G396" s="274" t="s">
        <v>114</v>
      </c>
      <c r="H396" s="274" t="s">
        <v>407</v>
      </c>
      <c r="I396" s="274" t="s">
        <v>9</v>
      </c>
      <c r="J396" s="274" t="s">
        <v>392</v>
      </c>
      <c r="K396" s="275">
        <v>0.39583333333333331</v>
      </c>
      <c r="L396" s="275">
        <v>0.65972222222222221</v>
      </c>
      <c r="M396" s="275">
        <v>0.2638888888888889</v>
      </c>
      <c r="N396" s="275">
        <v>0.67361111111111116</v>
      </c>
      <c r="O396" s="275">
        <v>0.73611111111111116</v>
      </c>
      <c r="P396" s="275">
        <v>0.79166666666666663</v>
      </c>
      <c r="Q396" s="276">
        <v>40758</v>
      </c>
      <c r="R396" s="284" t="s">
        <v>72</v>
      </c>
      <c r="S396" s="276">
        <v>40789</v>
      </c>
      <c r="T396" s="284">
        <v>1783</v>
      </c>
      <c r="U396" s="274" t="s">
        <v>2216</v>
      </c>
      <c r="V396" s="276">
        <v>42563</v>
      </c>
      <c r="W396" s="276">
        <v>42559</v>
      </c>
      <c r="X396" s="276" t="s">
        <v>2</v>
      </c>
      <c r="Y396" s="274" t="s">
        <v>2245</v>
      </c>
      <c r="Z396" s="274" t="s">
        <v>2</v>
      </c>
      <c r="AA396" s="274" t="s">
        <v>2</v>
      </c>
      <c r="AB396" s="276" t="s">
        <v>2</v>
      </c>
      <c r="AC396" s="274" t="s">
        <v>2</v>
      </c>
      <c r="AD396" s="277">
        <v>800548</v>
      </c>
      <c r="AE396" s="276">
        <v>29063</v>
      </c>
      <c r="AF396" s="274" t="s">
        <v>2194</v>
      </c>
      <c r="AG396" s="274" t="s">
        <v>775</v>
      </c>
      <c r="AH396" s="274" t="s">
        <v>68</v>
      </c>
      <c r="AI396" s="274" t="s">
        <v>89</v>
      </c>
      <c r="AJ396" s="281">
        <v>810007</v>
      </c>
      <c r="AK396" s="281" t="s">
        <v>801</v>
      </c>
      <c r="AL396" s="281" t="s">
        <v>449</v>
      </c>
      <c r="AM396" s="281" t="s">
        <v>2</v>
      </c>
      <c r="AN396" s="281" t="s">
        <v>413</v>
      </c>
      <c r="AO396" s="281" t="s">
        <v>1091</v>
      </c>
      <c r="AP396" s="281" t="s">
        <v>1249</v>
      </c>
      <c r="AQ396" s="282" t="s">
        <v>1249</v>
      </c>
      <c r="AW396" s="64"/>
    </row>
    <row r="397" spans="1:49" ht="15" customHeight="1">
      <c r="A397" s="90"/>
      <c r="B397" s="280" t="s">
        <v>8</v>
      </c>
      <c r="C397" s="281"/>
      <c r="D397" s="272">
        <v>13411</v>
      </c>
      <c r="E397" s="283">
        <v>704159</v>
      </c>
      <c r="F397" s="273">
        <v>12425</v>
      </c>
      <c r="G397" s="274" t="s">
        <v>106</v>
      </c>
      <c r="H397" s="274" t="s">
        <v>407</v>
      </c>
      <c r="I397" s="274" t="s">
        <v>9</v>
      </c>
      <c r="J397" s="274" t="s">
        <v>392</v>
      </c>
      <c r="K397" s="275">
        <v>0.625</v>
      </c>
      <c r="L397" s="275">
        <v>0.88888888888888884</v>
      </c>
      <c r="M397" s="275">
        <v>0.2638888888888889</v>
      </c>
      <c r="N397" s="275">
        <v>0.66666666666666663</v>
      </c>
      <c r="O397" s="275">
        <v>0.75</v>
      </c>
      <c r="P397" s="275">
        <v>0.83333333333333337</v>
      </c>
      <c r="Q397" s="276">
        <v>40399</v>
      </c>
      <c r="R397" s="284" t="s">
        <v>72</v>
      </c>
      <c r="S397" s="276">
        <v>40422</v>
      </c>
      <c r="T397" s="284">
        <v>2150</v>
      </c>
      <c r="U397" s="274" t="s">
        <v>2216</v>
      </c>
      <c r="V397" s="276">
        <v>42563</v>
      </c>
      <c r="W397" s="276">
        <v>42559</v>
      </c>
      <c r="X397" s="276" t="s">
        <v>2</v>
      </c>
      <c r="Y397" s="274" t="s">
        <v>2245</v>
      </c>
      <c r="Z397" s="131" t="s">
        <v>2</v>
      </c>
      <c r="AA397" s="131" t="s">
        <v>2</v>
      </c>
      <c r="AB397" s="276" t="s">
        <v>2</v>
      </c>
      <c r="AC397" s="274" t="s">
        <v>2</v>
      </c>
      <c r="AD397" s="277">
        <v>8553360</v>
      </c>
      <c r="AE397" s="276">
        <v>32728</v>
      </c>
      <c r="AF397" s="274" t="s">
        <v>2194</v>
      </c>
      <c r="AG397" s="274" t="s">
        <v>775</v>
      </c>
      <c r="AH397" s="274" t="s">
        <v>68</v>
      </c>
      <c r="AI397" s="274" t="s">
        <v>89</v>
      </c>
      <c r="AJ397" s="281">
        <v>810006</v>
      </c>
      <c r="AK397" s="281" t="s">
        <v>793</v>
      </c>
      <c r="AL397" s="281" t="s">
        <v>441</v>
      </c>
      <c r="AM397" s="281" t="s">
        <v>2</v>
      </c>
      <c r="AN397" s="281" t="s">
        <v>413</v>
      </c>
      <c r="AO397" s="281" t="s">
        <v>1083</v>
      </c>
      <c r="AP397" s="281" t="s">
        <v>1249</v>
      </c>
      <c r="AQ397" s="282" t="s">
        <v>1249</v>
      </c>
      <c r="AW397" s="64"/>
    </row>
    <row r="398" spans="1:49" ht="15" customHeight="1">
      <c r="B398" s="280" t="s">
        <v>26</v>
      </c>
      <c r="C398" s="281"/>
      <c r="D398" s="272">
        <v>30680</v>
      </c>
      <c r="E398" s="283">
        <v>882101</v>
      </c>
      <c r="F398" s="273">
        <v>12362</v>
      </c>
      <c r="G398" s="274" t="s">
        <v>190</v>
      </c>
      <c r="H398" s="274" t="s">
        <v>415</v>
      </c>
      <c r="I398" s="274" t="s">
        <v>9</v>
      </c>
      <c r="J398" s="274" t="s">
        <v>396</v>
      </c>
      <c r="K398" s="275">
        <v>0.35416666666666669</v>
      </c>
      <c r="L398" s="275">
        <v>0.6958333333333333</v>
      </c>
      <c r="M398" s="275">
        <v>0.34166666666666662</v>
      </c>
      <c r="N398" s="275">
        <v>0.4375</v>
      </c>
      <c r="O398" s="275">
        <v>0.54166666666666663</v>
      </c>
      <c r="P398" s="275">
        <v>0.63888888888888895</v>
      </c>
      <c r="Q398" s="276">
        <v>42131</v>
      </c>
      <c r="R398" s="284" t="s">
        <v>72</v>
      </c>
      <c r="S398" s="276">
        <v>42156</v>
      </c>
      <c r="T398" s="284">
        <v>416</v>
      </c>
      <c r="U398" s="274" t="s">
        <v>2218</v>
      </c>
      <c r="V398" s="276">
        <v>42558</v>
      </c>
      <c r="W398" s="276">
        <v>42558</v>
      </c>
      <c r="X398" s="276" t="s">
        <v>2</v>
      </c>
      <c r="Y398" s="274" t="s">
        <v>2246</v>
      </c>
      <c r="Z398" s="274" t="s">
        <v>2</v>
      </c>
      <c r="AA398" s="274" t="s">
        <v>2</v>
      </c>
      <c r="AB398" s="276" t="s">
        <v>2</v>
      </c>
      <c r="AC398" s="274">
        <v>264</v>
      </c>
      <c r="AD398" s="277" t="s">
        <v>2</v>
      </c>
      <c r="AE398" s="276">
        <v>34640</v>
      </c>
      <c r="AF398" s="274" t="s">
        <v>2</v>
      </c>
      <c r="AG398" s="274" t="s">
        <v>775</v>
      </c>
      <c r="AH398" s="274" t="s">
        <v>68</v>
      </c>
      <c r="AI398" s="274" t="s">
        <v>89</v>
      </c>
      <c r="AJ398" s="281">
        <v>810331</v>
      </c>
      <c r="AK398" s="152" t="s">
        <v>875</v>
      </c>
      <c r="AL398" s="152" t="s">
        <v>523</v>
      </c>
      <c r="AM398" s="152" t="s">
        <v>2</v>
      </c>
      <c r="AN398" s="152" t="s">
        <v>414</v>
      </c>
      <c r="AO398" s="152" t="s">
        <v>2528</v>
      </c>
      <c r="AP398" s="152" t="s">
        <v>1249</v>
      </c>
      <c r="AQ398" s="282" t="s">
        <v>2</v>
      </c>
      <c r="AW398" s="64"/>
    </row>
    <row r="399" spans="1:49" ht="15" customHeight="1">
      <c r="B399" s="280" t="s">
        <v>8</v>
      </c>
      <c r="C399" s="281"/>
      <c r="D399" s="272">
        <v>22500</v>
      </c>
      <c r="E399" s="283">
        <v>773778</v>
      </c>
      <c r="F399" s="273">
        <v>17180</v>
      </c>
      <c r="G399" s="274" t="s">
        <v>201</v>
      </c>
      <c r="H399" s="274" t="s">
        <v>417</v>
      </c>
      <c r="I399" s="274" t="s">
        <v>9</v>
      </c>
      <c r="J399" s="274" t="s">
        <v>398</v>
      </c>
      <c r="K399" s="275">
        <v>0.375</v>
      </c>
      <c r="L399" s="275">
        <v>0.63888888888888895</v>
      </c>
      <c r="M399" s="275">
        <v>0.2638888888888889</v>
      </c>
      <c r="N399" s="275">
        <v>0.4236111111111111</v>
      </c>
      <c r="O399" s="275">
        <v>0.5</v>
      </c>
      <c r="P399" s="275">
        <v>0.56944444444444442</v>
      </c>
      <c r="Q399" s="276">
        <v>41102</v>
      </c>
      <c r="R399" s="284" t="s">
        <v>72</v>
      </c>
      <c r="S399" s="276">
        <v>41125</v>
      </c>
      <c r="T399" s="284">
        <v>1447</v>
      </c>
      <c r="U399" s="274" t="s">
        <v>2220</v>
      </c>
      <c r="V399" s="276">
        <v>42572</v>
      </c>
      <c r="W399" s="276">
        <v>42546</v>
      </c>
      <c r="X399" s="276">
        <v>42572</v>
      </c>
      <c r="Y399" s="274" t="s">
        <v>2</v>
      </c>
      <c r="Z399" s="274" t="s">
        <v>2</v>
      </c>
      <c r="AA399" s="274" t="s">
        <v>2</v>
      </c>
      <c r="AB399" s="276" t="s">
        <v>2</v>
      </c>
      <c r="AC399" s="274" t="s">
        <v>1257</v>
      </c>
      <c r="AD399" s="277">
        <v>2853040</v>
      </c>
      <c r="AE399" s="276">
        <v>27111</v>
      </c>
      <c r="AF399" s="274" t="s">
        <v>2189</v>
      </c>
      <c r="AG399" s="274" t="s">
        <v>775</v>
      </c>
      <c r="AH399" s="274" t="s">
        <v>68</v>
      </c>
      <c r="AI399" s="274" t="s">
        <v>89</v>
      </c>
      <c r="AJ399" s="281">
        <v>810175</v>
      </c>
      <c r="AK399" s="152" t="s">
        <v>885</v>
      </c>
      <c r="AL399" s="152" t="s">
        <v>534</v>
      </c>
      <c r="AM399" s="152" t="s">
        <v>2</v>
      </c>
      <c r="AN399" s="152" t="s">
        <v>414</v>
      </c>
      <c r="AO399" s="152" t="s">
        <v>1161</v>
      </c>
      <c r="AP399" s="152" t="s">
        <v>2</v>
      </c>
      <c r="AQ399" s="282" t="s">
        <v>1249</v>
      </c>
      <c r="AW399" s="64"/>
    </row>
    <row r="400" spans="1:49" ht="15" customHeight="1">
      <c r="B400" s="280" t="s">
        <v>26</v>
      </c>
      <c r="C400" s="281"/>
      <c r="D400" s="272">
        <v>27518</v>
      </c>
      <c r="E400" s="283">
        <v>831248</v>
      </c>
      <c r="F400" s="273">
        <v>17067</v>
      </c>
      <c r="G400" s="274" t="s">
        <v>184</v>
      </c>
      <c r="H400" s="274" t="s">
        <v>417</v>
      </c>
      <c r="I400" s="274" t="s">
        <v>16</v>
      </c>
      <c r="J400" s="274" t="s">
        <v>398</v>
      </c>
      <c r="K400" s="275">
        <v>0.39583333333333331</v>
      </c>
      <c r="L400" s="275">
        <v>0.73749999999999993</v>
      </c>
      <c r="M400" s="275">
        <v>0.34166666666666662</v>
      </c>
      <c r="N400" s="275">
        <v>0.4513888888888889</v>
      </c>
      <c r="O400" s="275">
        <v>0.54166666666666663</v>
      </c>
      <c r="P400" s="275">
        <v>0.68055555555555547</v>
      </c>
      <c r="Q400" s="276">
        <v>41676</v>
      </c>
      <c r="R400" s="284" t="s">
        <v>72</v>
      </c>
      <c r="S400" s="276">
        <v>41705</v>
      </c>
      <c r="T400" s="284">
        <v>867</v>
      </c>
      <c r="U400" s="274" t="s">
        <v>2220</v>
      </c>
      <c r="V400" s="276">
        <v>42552</v>
      </c>
      <c r="W400" s="276">
        <v>42555</v>
      </c>
      <c r="X400" s="276" t="s">
        <v>2</v>
      </c>
      <c r="Y400" s="274" t="s">
        <v>2</v>
      </c>
      <c r="Z400" s="274" t="s">
        <v>89</v>
      </c>
      <c r="AA400" s="274" t="s">
        <v>2804</v>
      </c>
      <c r="AB400" s="276">
        <v>42555</v>
      </c>
      <c r="AC400" s="274" t="s">
        <v>1257</v>
      </c>
      <c r="AD400" s="277" t="s">
        <v>718</v>
      </c>
      <c r="AE400" s="276">
        <v>33964</v>
      </c>
      <c r="AF400" s="274" t="s">
        <v>2191</v>
      </c>
      <c r="AG400" s="274" t="s">
        <v>775</v>
      </c>
      <c r="AH400" s="274" t="s">
        <v>68</v>
      </c>
      <c r="AI400" s="274" t="s">
        <v>89</v>
      </c>
      <c r="AJ400" s="281">
        <v>810133</v>
      </c>
      <c r="AK400" s="152" t="s">
        <v>869</v>
      </c>
      <c r="AL400" s="152" t="s">
        <v>518</v>
      </c>
      <c r="AM400" s="152" t="s">
        <v>2</v>
      </c>
      <c r="AN400" s="152" t="s">
        <v>414</v>
      </c>
      <c r="AO400" s="152" t="s">
        <v>2526</v>
      </c>
      <c r="AP400" s="152" t="s">
        <v>2</v>
      </c>
      <c r="AQ400" s="282" t="s">
        <v>1249</v>
      </c>
      <c r="AW400" s="64"/>
    </row>
    <row r="401" spans="2:49" ht="15" customHeight="1">
      <c r="B401" s="280" t="s">
        <v>8</v>
      </c>
      <c r="C401" s="281"/>
      <c r="D401" s="272">
        <v>32622</v>
      </c>
      <c r="E401" s="229">
        <v>930893</v>
      </c>
      <c r="F401" s="273">
        <v>17185</v>
      </c>
      <c r="G401" s="274" t="s">
        <v>2807</v>
      </c>
      <c r="H401" s="274" t="s">
        <v>416</v>
      </c>
      <c r="I401" s="274" t="s">
        <v>9</v>
      </c>
      <c r="J401" s="274" t="s">
        <v>398</v>
      </c>
      <c r="K401" s="275">
        <v>0.41666666666666669</v>
      </c>
      <c r="L401" s="275">
        <v>0.68055555555555547</v>
      </c>
      <c r="M401" s="275">
        <v>0.2638888888888889</v>
      </c>
      <c r="N401" s="275">
        <v>0.45833333333333331</v>
      </c>
      <c r="O401" s="275">
        <v>0.52777777777777779</v>
      </c>
      <c r="P401" s="275">
        <v>0.625</v>
      </c>
      <c r="Q401" s="276">
        <v>42529</v>
      </c>
      <c r="R401" s="284" t="s">
        <v>85</v>
      </c>
      <c r="S401" s="276">
        <v>42555</v>
      </c>
      <c r="T401" s="284">
        <v>17</v>
      </c>
      <c r="U401" s="274" t="s">
        <v>2218</v>
      </c>
      <c r="V401" s="276">
        <v>42529</v>
      </c>
      <c r="W401" s="276">
        <v>42555</v>
      </c>
      <c r="X401" s="276">
        <v>42555</v>
      </c>
      <c r="Y401" s="274" t="s">
        <v>2867</v>
      </c>
      <c r="Z401" s="274" t="s">
        <v>2</v>
      </c>
      <c r="AA401" s="274" t="s">
        <v>2</v>
      </c>
      <c r="AB401" s="276" t="s">
        <v>2</v>
      </c>
      <c r="AC401" s="274" t="s">
        <v>2</v>
      </c>
      <c r="AD401" s="277" t="s">
        <v>2</v>
      </c>
      <c r="AE401" s="276" t="s">
        <v>2</v>
      </c>
      <c r="AF401" s="274" t="s">
        <v>2</v>
      </c>
      <c r="AG401" s="274" t="s">
        <v>775</v>
      </c>
      <c r="AH401" s="274" t="s">
        <v>68</v>
      </c>
      <c r="AI401" s="274" t="s">
        <v>89</v>
      </c>
      <c r="AJ401" s="281">
        <v>24678</v>
      </c>
      <c r="AK401" s="221" t="s">
        <v>2820</v>
      </c>
      <c r="AL401" s="152" t="s">
        <v>2842</v>
      </c>
      <c r="AM401" s="152" t="s">
        <v>2</v>
      </c>
      <c r="AN401" s="152" t="s">
        <v>414</v>
      </c>
      <c r="AO401" s="152" t="s">
        <v>2831</v>
      </c>
      <c r="AP401" s="152" t="s">
        <v>2</v>
      </c>
      <c r="AQ401" s="282" t="s">
        <v>2</v>
      </c>
      <c r="AW401" s="64"/>
    </row>
    <row r="402" spans="2:49" ht="15" customHeight="1">
      <c r="B402" s="280" t="s">
        <v>8</v>
      </c>
      <c r="C402" s="281"/>
      <c r="D402" s="272">
        <v>31586</v>
      </c>
      <c r="E402" s="229">
        <v>923141</v>
      </c>
      <c r="F402" s="273">
        <v>17171</v>
      </c>
      <c r="G402" s="274" t="s">
        <v>2758</v>
      </c>
      <c r="H402" s="274" t="s">
        <v>420</v>
      </c>
      <c r="I402" s="274" t="s">
        <v>9</v>
      </c>
      <c r="J402" s="274" t="s">
        <v>398</v>
      </c>
      <c r="K402" s="275">
        <v>0.65277777777777779</v>
      </c>
      <c r="L402" s="275">
        <v>0.91666666666666663</v>
      </c>
      <c r="M402" s="275">
        <v>0.2638888888888889</v>
      </c>
      <c r="N402" s="275">
        <v>0.71527777777777779</v>
      </c>
      <c r="O402" s="275">
        <v>0.79861111111111116</v>
      </c>
      <c r="P402" s="275">
        <v>0.85416666666666663</v>
      </c>
      <c r="Q402" s="276">
        <v>42466</v>
      </c>
      <c r="R402" s="284" t="s">
        <v>72</v>
      </c>
      <c r="S402" s="276">
        <v>42492</v>
      </c>
      <c r="T402" s="284">
        <v>80</v>
      </c>
      <c r="U402" s="274" t="s">
        <v>2218</v>
      </c>
      <c r="V402" s="276">
        <v>42556</v>
      </c>
      <c r="W402" s="276">
        <v>42556</v>
      </c>
      <c r="X402" s="276" t="s">
        <v>2</v>
      </c>
      <c r="Y402" s="274" t="s">
        <v>2245</v>
      </c>
      <c r="Z402" s="274" t="s">
        <v>2</v>
      </c>
      <c r="AA402" s="274" t="s">
        <v>2</v>
      </c>
      <c r="AB402" s="276" t="s">
        <v>2</v>
      </c>
      <c r="AC402" s="274" t="s">
        <v>1257</v>
      </c>
      <c r="AD402" s="277" t="s">
        <v>2</v>
      </c>
      <c r="AE402" s="276">
        <v>26620</v>
      </c>
      <c r="AF402" s="274" t="s">
        <v>2</v>
      </c>
      <c r="AG402" s="274" t="s">
        <v>775</v>
      </c>
      <c r="AH402" s="274" t="s">
        <v>68</v>
      </c>
      <c r="AI402" s="274" t="s">
        <v>89</v>
      </c>
      <c r="AJ402" s="281">
        <v>24470</v>
      </c>
      <c r="AK402" s="221" t="s">
        <v>2765</v>
      </c>
      <c r="AL402" s="152" t="s">
        <v>2772</v>
      </c>
      <c r="AM402" s="152" t="s">
        <v>2</v>
      </c>
      <c r="AN402" s="152" t="s">
        <v>414</v>
      </c>
      <c r="AO402" s="152" t="s">
        <v>2779</v>
      </c>
      <c r="AP402" s="152" t="s">
        <v>2</v>
      </c>
      <c r="AQ402" s="282" t="s">
        <v>2</v>
      </c>
      <c r="AW402" s="64"/>
    </row>
    <row r="403" spans="2:49" ht="15" customHeight="1">
      <c r="B403" s="280" t="s">
        <v>26</v>
      </c>
      <c r="C403" s="281"/>
      <c r="D403" s="272">
        <v>27534</v>
      </c>
      <c r="E403" s="229">
        <v>831272</v>
      </c>
      <c r="F403" s="273">
        <v>12882</v>
      </c>
      <c r="G403" s="274" t="s">
        <v>1445</v>
      </c>
      <c r="H403" s="274" t="s">
        <v>415</v>
      </c>
      <c r="I403" s="274" t="s">
        <v>9</v>
      </c>
      <c r="J403" s="274" t="s">
        <v>398</v>
      </c>
      <c r="K403" s="275">
        <v>0.41666666666666669</v>
      </c>
      <c r="L403" s="275">
        <v>0.7583333333333333</v>
      </c>
      <c r="M403" s="275">
        <v>0.34166666666666662</v>
      </c>
      <c r="N403" s="275">
        <v>0.53472222222222221</v>
      </c>
      <c r="O403" s="275">
        <v>0.58333333333333337</v>
      </c>
      <c r="P403" s="275">
        <v>0.66666666666666663</v>
      </c>
      <c r="Q403" s="276">
        <v>41676</v>
      </c>
      <c r="R403" s="284" t="s">
        <v>72</v>
      </c>
      <c r="S403" s="276">
        <v>41705</v>
      </c>
      <c r="T403" s="284">
        <v>867</v>
      </c>
      <c r="U403" s="274" t="s">
        <v>2218</v>
      </c>
      <c r="V403" s="276">
        <v>42552</v>
      </c>
      <c r="W403" s="276">
        <v>42552</v>
      </c>
      <c r="X403" s="276"/>
      <c r="Y403" s="274" t="s">
        <v>2245</v>
      </c>
      <c r="Z403" s="274" t="s">
        <v>2</v>
      </c>
      <c r="AA403" s="274" t="s">
        <v>2</v>
      </c>
      <c r="AB403" s="276" t="s">
        <v>2</v>
      </c>
      <c r="AC403" s="274" t="s">
        <v>1257</v>
      </c>
      <c r="AD403" s="274" t="s">
        <v>2130</v>
      </c>
      <c r="AE403" s="274" t="s">
        <v>2</v>
      </c>
      <c r="AF403" s="274" t="s">
        <v>2189</v>
      </c>
      <c r="AG403" s="274" t="s">
        <v>775</v>
      </c>
      <c r="AH403" s="274" t="s">
        <v>68</v>
      </c>
      <c r="AI403" s="274" t="s">
        <v>89</v>
      </c>
      <c r="AJ403" s="281">
        <v>810395</v>
      </c>
      <c r="AK403" s="221" t="s">
        <v>1795</v>
      </c>
      <c r="AL403" s="274" t="s">
        <v>1623</v>
      </c>
      <c r="AM403" s="274" t="s">
        <v>2</v>
      </c>
      <c r="AN403" s="274" t="s">
        <v>414</v>
      </c>
      <c r="AO403" s="152" t="s">
        <v>1965</v>
      </c>
      <c r="AP403" s="274" t="s">
        <v>1249</v>
      </c>
      <c r="AQ403" s="282" t="s">
        <v>2</v>
      </c>
    </row>
    <row r="404" spans="2:49" ht="15" customHeight="1">
      <c r="B404" s="280" t="s">
        <v>8</v>
      </c>
      <c r="C404" s="281"/>
      <c r="D404" s="212">
        <v>17768</v>
      </c>
      <c r="E404" s="213">
        <v>732086</v>
      </c>
      <c r="F404" s="214">
        <v>12107</v>
      </c>
      <c r="G404" s="215" t="s">
        <v>366</v>
      </c>
      <c r="H404" s="215" t="s">
        <v>424</v>
      </c>
      <c r="I404" s="215" t="s">
        <v>9</v>
      </c>
      <c r="J404" s="215" t="s">
        <v>405</v>
      </c>
      <c r="K404" s="275">
        <v>0.33333333333333331</v>
      </c>
      <c r="L404" s="275">
        <v>0.67499999999999993</v>
      </c>
      <c r="M404" s="275">
        <v>0.34166666666666662</v>
      </c>
      <c r="N404" s="275" t="s">
        <v>2</v>
      </c>
      <c r="O404" s="275" t="s">
        <v>2</v>
      </c>
      <c r="P404" s="275" t="s">
        <v>2</v>
      </c>
      <c r="Q404" s="216">
        <v>40711</v>
      </c>
      <c r="R404" s="284" t="s">
        <v>72</v>
      </c>
      <c r="S404" s="216">
        <v>40734</v>
      </c>
      <c r="T404" s="284">
        <v>1838</v>
      </c>
      <c r="U404" s="215" t="s">
        <v>2217</v>
      </c>
      <c r="V404" s="216">
        <v>42552</v>
      </c>
      <c r="W404" s="216">
        <v>42552</v>
      </c>
      <c r="X404" s="216" t="s">
        <v>2</v>
      </c>
      <c r="Y404" s="215" t="s">
        <v>2245</v>
      </c>
      <c r="Z404" s="215" t="s">
        <v>2</v>
      </c>
      <c r="AA404" s="215" t="s">
        <v>2</v>
      </c>
      <c r="AB404" s="216" t="s">
        <v>2</v>
      </c>
      <c r="AC404" s="215" t="s">
        <v>1251</v>
      </c>
      <c r="AD404" s="218">
        <v>8121230</v>
      </c>
      <c r="AE404" s="216">
        <v>30295</v>
      </c>
      <c r="AF404" s="215" t="s">
        <v>2194</v>
      </c>
      <c r="AG404" s="215" t="s">
        <v>775</v>
      </c>
      <c r="AH404" s="215" t="s">
        <v>68</v>
      </c>
      <c r="AI404" s="215" t="s">
        <v>89</v>
      </c>
      <c r="AJ404" s="221" t="s">
        <v>2</v>
      </c>
      <c r="AK404" s="221" t="s">
        <v>1043</v>
      </c>
      <c r="AL404" s="221" t="s">
        <v>693</v>
      </c>
      <c r="AM404" s="221" t="s">
        <v>2</v>
      </c>
      <c r="AN404" s="221" t="s">
        <v>413</v>
      </c>
      <c r="AO404" s="221" t="s">
        <v>1223</v>
      </c>
      <c r="AP404" s="221" t="s">
        <v>1249</v>
      </c>
      <c r="AQ404" s="222" t="s">
        <v>2</v>
      </c>
    </row>
    <row r="405" spans="2:49" ht="15" customHeight="1">
      <c r="B405" s="280" t="s">
        <v>26</v>
      </c>
      <c r="C405" s="281"/>
      <c r="D405" s="272">
        <v>17064</v>
      </c>
      <c r="E405" s="283">
        <v>727805</v>
      </c>
      <c r="F405" s="273">
        <v>12296</v>
      </c>
      <c r="G405" s="274" t="s">
        <v>141</v>
      </c>
      <c r="H405" s="274" t="s">
        <v>411</v>
      </c>
      <c r="I405" s="274" t="s">
        <v>9</v>
      </c>
      <c r="J405" s="274" t="s">
        <v>394</v>
      </c>
      <c r="K405" s="275">
        <v>0.3125</v>
      </c>
      <c r="L405" s="275">
        <v>0.6875</v>
      </c>
      <c r="M405" s="275">
        <v>0.375</v>
      </c>
      <c r="N405" s="275" t="s">
        <v>2</v>
      </c>
      <c r="O405" s="275" t="s">
        <v>2</v>
      </c>
      <c r="P405" s="275" t="s">
        <v>2</v>
      </c>
      <c r="Q405" s="276">
        <v>40668</v>
      </c>
      <c r="R405" s="284" t="s">
        <v>72</v>
      </c>
      <c r="S405" s="276">
        <v>40691</v>
      </c>
      <c r="T405" s="284">
        <v>1881</v>
      </c>
      <c r="U405" s="274" t="s">
        <v>2217</v>
      </c>
      <c r="V405" s="276">
        <v>42552</v>
      </c>
      <c r="W405" s="276">
        <v>42552</v>
      </c>
      <c r="X405" s="276" t="s">
        <v>2</v>
      </c>
      <c r="Y405" s="274" t="s">
        <v>2245</v>
      </c>
      <c r="Z405" s="274" t="s">
        <v>2</v>
      </c>
      <c r="AA405" s="274" t="s">
        <v>2</v>
      </c>
      <c r="AB405" s="276" t="s">
        <v>2</v>
      </c>
      <c r="AC405" s="274" t="s">
        <v>1250</v>
      </c>
      <c r="AD405" s="277">
        <v>8051370</v>
      </c>
      <c r="AE405" s="276">
        <v>32504</v>
      </c>
      <c r="AF405" s="274" t="s">
        <v>2194</v>
      </c>
      <c r="AG405" s="274" t="s">
        <v>775</v>
      </c>
      <c r="AH405" s="274" t="s">
        <v>68</v>
      </c>
      <c r="AI405" s="274" t="s">
        <v>89</v>
      </c>
      <c r="AJ405" s="281" t="s">
        <v>2</v>
      </c>
      <c r="AK405" s="281" t="s">
        <v>828</v>
      </c>
      <c r="AL405" s="281" t="s">
        <v>476</v>
      </c>
      <c r="AM405" s="281" t="s">
        <v>2</v>
      </c>
      <c r="AN405" s="281" t="s">
        <v>413</v>
      </c>
      <c r="AO405" s="281" t="s">
        <v>1117</v>
      </c>
      <c r="AP405" s="281" t="s">
        <v>2</v>
      </c>
      <c r="AQ405" s="282" t="s">
        <v>2</v>
      </c>
    </row>
    <row r="406" spans="2:49" ht="15" customHeight="1">
      <c r="B406" s="280" t="s">
        <v>8</v>
      </c>
      <c r="C406" s="281"/>
      <c r="D406" s="272">
        <v>24977</v>
      </c>
      <c r="E406" s="229">
        <v>800235</v>
      </c>
      <c r="F406" s="273">
        <v>17192</v>
      </c>
      <c r="G406" s="274" t="s">
        <v>302</v>
      </c>
      <c r="H406" s="274" t="s">
        <v>417</v>
      </c>
      <c r="I406" s="274" t="s">
        <v>16</v>
      </c>
      <c r="J406" s="274" t="s">
        <v>403</v>
      </c>
      <c r="K406" s="275">
        <v>2.3541666666666665</v>
      </c>
      <c r="L406" s="275">
        <v>2.6958333333333333</v>
      </c>
      <c r="M406" s="275">
        <v>2.3416666666666668</v>
      </c>
      <c r="N406" s="275">
        <v>0.40972222222222227</v>
      </c>
      <c r="O406" s="275">
        <v>0.52083333333333337</v>
      </c>
      <c r="P406" s="275">
        <v>0.63194444444444442</v>
      </c>
      <c r="Q406" s="276">
        <v>41366</v>
      </c>
      <c r="R406" s="284" t="s">
        <v>72</v>
      </c>
      <c r="S406" s="276">
        <v>41389</v>
      </c>
      <c r="T406" s="284">
        <v>1183</v>
      </c>
      <c r="U406" s="274" t="s">
        <v>2220</v>
      </c>
      <c r="V406" s="276">
        <v>42552</v>
      </c>
      <c r="W406" s="276">
        <v>42555</v>
      </c>
      <c r="X406" s="276" t="s">
        <v>2</v>
      </c>
      <c r="Y406" s="274" t="s">
        <v>2</v>
      </c>
      <c r="Z406" s="274" t="s">
        <v>89</v>
      </c>
      <c r="AA406" s="274" t="s">
        <v>2804</v>
      </c>
      <c r="AB406" s="276">
        <v>42555</v>
      </c>
      <c r="AC406" s="274" t="s">
        <v>2</v>
      </c>
      <c r="AD406" s="277">
        <v>2846170</v>
      </c>
      <c r="AE406" s="276">
        <v>34379</v>
      </c>
      <c r="AF406" s="274" t="s">
        <v>2189</v>
      </c>
      <c r="AG406" s="274" t="s">
        <v>775</v>
      </c>
      <c r="AH406" s="274" t="s">
        <v>68</v>
      </c>
      <c r="AI406" s="274" t="s">
        <v>89</v>
      </c>
      <c r="AJ406" s="281">
        <v>23480</v>
      </c>
      <c r="AK406" s="221" t="s">
        <v>982</v>
      </c>
      <c r="AL406" s="152" t="s">
        <v>630</v>
      </c>
      <c r="AM406" s="152" t="s">
        <v>2</v>
      </c>
      <c r="AN406" s="152" t="s">
        <v>414</v>
      </c>
      <c r="AO406" s="152" t="s">
        <v>2605</v>
      </c>
      <c r="AP406" s="152" t="s">
        <v>2</v>
      </c>
      <c r="AQ406" s="282" t="s">
        <v>1249</v>
      </c>
      <c r="AW406" s="64"/>
    </row>
    <row r="407" spans="2:49" ht="15" customHeight="1">
      <c r="B407" s="280" t="s">
        <v>8</v>
      </c>
      <c r="C407" s="281"/>
      <c r="D407" s="272">
        <v>27862</v>
      </c>
      <c r="E407" s="229">
        <v>833816</v>
      </c>
      <c r="F407" s="273">
        <v>17191</v>
      </c>
      <c r="G407" s="215" t="s">
        <v>178</v>
      </c>
      <c r="H407" s="274" t="s">
        <v>417</v>
      </c>
      <c r="I407" s="274" t="s">
        <v>16</v>
      </c>
      <c r="J407" s="215" t="s">
        <v>403</v>
      </c>
      <c r="K407" s="275">
        <v>0.41666666666666669</v>
      </c>
      <c r="L407" s="275">
        <v>0.7583333333333333</v>
      </c>
      <c r="M407" s="275">
        <v>0.34166666666666662</v>
      </c>
      <c r="N407" s="275">
        <v>0.52777777777777779</v>
      </c>
      <c r="O407" s="275">
        <v>0.58333333333333337</v>
      </c>
      <c r="P407" s="275">
        <v>0.67361111111111116</v>
      </c>
      <c r="Q407" s="216">
        <v>41704</v>
      </c>
      <c r="R407" s="284" t="s">
        <v>72</v>
      </c>
      <c r="S407" s="216">
        <v>41727</v>
      </c>
      <c r="T407" s="284">
        <v>845</v>
      </c>
      <c r="U407" s="215" t="s">
        <v>2220</v>
      </c>
      <c r="V407" s="216">
        <v>42552</v>
      </c>
      <c r="W407" s="216">
        <v>42555</v>
      </c>
      <c r="X407" s="228" t="s">
        <v>2</v>
      </c>
      <c r="Y407" s="215" t="s">
        <v>2</v>
      </c>
      <c r="Z407" s="215" t="s">
        <v>89</v>
      </c>
      <c r="AA407" s="215" t="s">
        <v>2804</v>
      </c>
      <c r="AB407" s="216">
        <v>42555</v>
      </c>
      <c r="AC407" s="215" t="s">
        <v>2248</v>
      </c>
      <c r="AD407" s="218" t="s">
        <v>717</v>
      </c>
      <c r="AE407" s="216">
        <v>31165</v>
      </c>
      <c r="AF407" s="215" t="s">
        <v>2189</v>
      </c>
      <c r="AG407" s="215" t="s">
        <v>775</v>
      </c>
      <c r="AH407" s="215" t="s">
        <v>68</v>
      </c>
      <c r="AI407" s="215" t="s">
        <v>89</v>
      </c>
      <c r="AJ407" s="281">
        <v>810190</v>
      </c>
      <c r="AK407" s="221" t="s">
        <v>864</v>
      </c>
      <c r="AL407" s="221" t="s">
        <v>512</v>
      </c>
      <c r="AM407" s="221" t="s">
        <v>2</v>
      </c>
      <c r="AN407" s="221" t="s">
        <v>414</v>
      </c>
      <c r="AO407" s="152" t="s">
        <v>2620</v>
      </c>
      <c r="AP407" s="221" t="s">
        <v>2</v>
      </c>
      <c r="AQ407" s="222" t="s">
        <v>1249</v>
      </c>
      <c r="AW407" s="64"/>
    </row>
    <row r="408" spans="2:49" ht="15" customHeight="1">
      <c r="B408" s="280" t="s">
        <v>26</v>
      </c>
      <c r="C408" s="281"/>
      <c r="D408" s="272">
        <v>18567</v>
      </c>
      <c r="E408" s="229">
        <v>739299</v>
      </c>
      <c r="F408" s="214">
        <v>12703</v>
      </c>
      <c r="G408" s="215" t="s">
        <v>320</v>
      </c>
      <c r="H408" s="274" t="s">
        <v>417</v>
      </c>
      <c r="I408" s="274" t="s">
        <v>16</v>
      </c>
      <c r="J408" s="215" t="s">
        <v>403</v>
      </c>
      <c r="K408" s="275">
        <v>0.57500000000000007</v>
      </c>
      <c r="L408" s="275">
        <v>0.91666666666666663</v>
      </c>
      <c r="M408" s="275">
        <v>0.34166666666666662</v>
      </c>
      <c r="N408" s="275">
        <v>0.63194444444444442</v>
      </c>
      <c r="O408" s="275">
        <v>0.75</v>
      </c>
      <c r="P408" s="275">
        <v>0.83333333333333337</v>
      </c>
      <c r="Q408" s="216">
        <v>40787</v>
      </c>
      <c r="R408" s="284" t="s">
        <v>72</v>
      </c>
      <c r="S408" s="216">
        <v>40810</v>
      </c>
      <c r="T408" s="284">
        <v>1762</v>
      </c>
      <c r="U408" s="215" t="s">
        <v>2220</v>
      </c>
      <c r="V408" s="216">
        <v>42552</v>
      </c>
      <c r="W408" s="216">
        <v>42555</v>
      </c>
      <c r="X408" s="228" t="s">
        <v>2</v>
      </c>
      <c r="Y408" s="215" t="s">
        <v>2</v>
      </c>
      <c r="Z408" s="215" t="s">
        <v>89</v>
      </c>
      <c r="AA408" s="215" t="s">
        <v>2804</v>
      </c>
      <c r="AB408" s="216">
        <v>42555</v>
      </c>
      <c r="AC408" s="215" t="s">
        <v>2248</v>
      </c>
      <c r="AD408" s="218">
        <v>9320420</v>
      </c>
      <c r="AE408" s="216">
        <v>28732</v>
      </c>
      <c r="AF408" s="215" t="s">
        <v>2190</v>
      </c>
      <c r="AG408" s="215" t="s">
        <v>775</v>
      </c>
      <c r="AH408" s="215" t="s">
        <v>68</v>
      </c>
      <c r="AI408" s="215" t="s">
        <v>89</v>
      </c>
      <c r="AJ408" s="281">
        <v>810092</v>
      </c>
      <c r="AK408" s="221" t="s">
        <v>998</v>
      </c>
      <c r="AL408" s="221" t="s">
        <v>647</v>
      </c>
      <c r="AM408" s="221" t="s">
        <v>2</v>
      </c>
      <c r="AN408" s="221" t="s">
        <v>414</v>
      </c>
      <c r="AO408" s="152" t="s">
        <v>2636</v>
      </c>
      <c r="AP408" s="221" t="s">
        <v>2</v>
      </c>
      <c r="AQ408" s="222" t="s">
        <v>1249</v>
      </c>
      <c r="AW408" s="64"/>
    </row>
    <row r="409" spans="2:49" ht="15" customHeight="1">
      <c r="B409" s="280"/>
      <c r="C409" s="64"/>
      <c r="D409" s="272">
        <v>20959</v>
      </c>
      <c r="E409" s="283">
        <v>762888</v>
      </c>
      <c r="F409" s="273">
        <v>17081</v>
      </c>
      <c r="G409" s="274" t="s">
        <v>304</v>
      </c>
      <c r="H409" s="274" t="s">
        <v>417</v>
      </c>
      <c r="I409" s="274" t="s">
        <v>16</v>
      </c>
      <c r="J409" s="274" t="s">
        <v>403</v>
      </c>
      <c r="K409" s="275">
        <v>0.375</v>
      </c>
      <c r="L409" s="275">
        <v>0.6333333333333333</v>
      </c>
      <c r="M409" s="275">
        <v>0.25833333333333336</v>
      </c>
      <c r="N409" s="275">
        <v>0.4236111111111111</v>
      </c>
      <c r="O409" s="275">
        <v>0.5</v>
      </c>
      <c r="P409" s="275">
        <v>0.65972222222222221</v>
      </c>
      <c r="Q409" s="276">
        <v>40969</v>
      </c>
      <c r="R409" s="284" t="s">
        <v>72</v>
      </c>
      <c r="S409" s="276">
        <v>40992</v>
      </c>
      <c r="T409" s="284">
        <v>1581</v>
      </c>
      <c r="U409" s="274" t="s">
        <v>2220</v>
      </c>
      <c r="V409" s="276">
        <v>42573</v>
      </c>
      <c r="W409" s="276">
        <v>42576</v>
      </c>
      <c r="X409" s="276" t="s">
        <v>2</v>
      </c>
      <c r="Y409" s="274" t="s">
        <v>2</v>
      </c>
      <c r="Z409" s="274" t="s">
        <v>89</v>
      </c>
      <c r="AA409" s="274" t="s">
        <v>2714</v>
      </c>
      <c r="AB409" s="276">
        <v>42576</v>
      </c>
      <c r="AC409" s="274" t="s">
        <v>2</v>
      </c>
      <c r="AD409" s="277">
        <v>6332335</v>
      </c>
      <c r="AE409" s="276">
        <v>33146</v>
      </c>
      <c r="AF409" s="274" t="s">
        <v>2193</v>
      </c>
      <c r="AG409" s="274" t="s">
        <v>775</v>
      </c>
      <c r="AH409" s="274" t="s">
        <v>68</v>
      </c>
      <c r="AI409" s="274" t="s">
        <v>89</v>
      </c>
      <c r="AJ409" s="281">
        <v>810046</v>
      </c>
      <c r="AK409" s="152" t="s">
        <v>984</v>
      </c>
      <c r="AL409" s="221" t="s">
        <v>632</v>
      </c>
      <c r="AM409" s="221" t="s">
        <v>2</v>
      </c>
      <c r="AN409" s="221" t="s">
        <v>414</v>
      </c>
      <c r="AO409" s="152" t="s">
        <v>2608</v>
      </c>
      <c r="AP409" s="221" t="s">
        <v>2</v>
      </c>
      <c r="AQ409" s="222" t="s">
        <v>1249</v>
      </c>
    </row>
    <row r="410" spans="2:49" ht="15" customHeight="1">
      <c r="B410" s="280"/>
      <c r="C410" s="64"/>
      <c r="D410" s="272">
        <v>30607</v>
      </c>
      <c r="E410" s="283">
        <v>879249</v>
      </c>
      <c r="F410" s="273">
        <v>17031</v>
      </c>
      <c r="G410" s="274" t="s">
        <v>253</v>
      </c>
      <c r="H410" s="274" t="s">
        <v>415</v>
      </c>
      <c r="I410" s="274" t="s">
        <v>9</v>
      </c>
      <c r="J410" s="274" t="s">
        <v>398</v>
      </c>
      <c r="K410" s="275">
        <v>0.39583333333333331</v>
      </c>
      <c r="L410" s="275">
        <v>0.73749999999999993</v>
      </c>
      <c r="M410" s="275">
        <v>0.34166666666666662</v>
      </c>
      <c r="N410" s="275">
        <v>0.44444444444444442</v>
      </c>
      <c r="O410" s="275">
        <v>0.54166666666666663</v>
      </c>
      <c r="P410" s="275">
        <v>0.67361111111111116</v>
      </c>
      <c r="Q410" s="276">
        <v>42107</v>
      </c>
      <c r="R410" s="284" t="s">
        <v>72</v>
      </c>
      <c r="S410" s="276">
        <v>42128</v>
      </c>
      <c r="T410" s="284">
        <v>449</v>
      </c>
      <c r="U410" s="274" t="s">
        <v>2218</v>
      </c>
      <c r="V410" s="276">
        <v>42577</v>
      </c>
      <c r="W410" s="276">
        <v>42577</v>
      </c>
      <c r="X410" s="276" t="s">
        <v>2</v>
      </c>
      <c r="Y410" s="274" t="s">
        <v>2246</v>
      </c>
      <c r="Z410" s="274" t="s">
        <v>2</v>
      </c>
      <c r="AA410" s="274" t="s">
        <v>2</v>
      </c>
      <c r="AB410" s="276" t="s">
        <v>2</v>
      </c>
      <c r="AC410" s="274" t="s">
        <v>1257</v>
      </c>
      <c r="AD410" s="277">
        <v>13221534</v>
      </c>
      <c r="AE410" s="276">
        <v>34655</v>
      </c>
      <c r="AF410" s="274" t="s">
        <v>2195</v>
      </c>
      <c r="AG410" s="221" t="s">
        <v>775</v>
      </c>
      <c r="AH410" s="221" t="s">
        <v>68</v>
      </c>
      <c r="AI410" s="221" t="s">
        <v>89</v>
      </c>
      <c r="AJ410" s="226">
        <v>810323</v>
      </c>
      <c r="AK410" s="221" t="s">
        <v>936</v>
      </c>
      <c r="AL410" s="221" t="s">
        <v>585</v>
      </c>
      <c r="AM410" s="221" t="s">
        <v>2</v>
      </c>
      <c r="AN410" s="221" t="s">
        <v>414</v>
      </c>
      <c r="AO410" s="152" t="s">
        <v>2535</v>
      </c>
      <c r="AP410" s="221" t="s">
        <v>2</v>
      </c>
      <c r="AQ410" s="222" t="s">
        <v>2</v>
      </c>
    </row>
    <row r="411" spans="2:49" ht="15" customHeight="1">
      <c r="B411" s="280"/>
      <c r="C411" s="64"/>
      <c r="D411" s="272">
        <v>23924</v>
      </c>
      <c r="E411" s="283">
        <v>792975</v>
      </c>
      <c r="F411" s="273">
        <v>12169</v>
      </c>
      <c r="G411" s="274" t="s">
        <v>313</v>
      </c>
      <c r="H411" s="274" t="s">
        <v>417</v>
      </c>
      <c r="I411" s="274" t="s">
        <v>16</v>
      </c>
      <c r="J411" s="274" t="s">
        <v>403</v>
      </c>
      <c r="K411" s="275">
        <v>0.59722222222222221</v>
      </c>
      <c r="L411" s="275">
        <v>0.86111111111111116</v>
      </c>
      <c r="M411" s="275">
        <v>0.2638888888888889</v>
      </c>
      <c r="N411" s="275">
        <v>0.65972222222222221</v>
      </c>
      <c r="O411" s="275">
        <v>0.71527777777777779</v>
      </c>
      <c r="P411" s="275">
        <v>0.80555555555555547</v>
      </c>
      <c r="Q411" s="276">
        <v>41285</v>
      </c>
      <c r="R411" s="284" t="s">
        <v>72</v>
      </c>
      <c r="S411" s="276">
        <v>41308</v>
      </c>
      <c r="T411" s="284">
        <v>1265</v>
      </c>
      <c r="U411" s="274" t="s">
        <v>2220</v>
      </c>
      <c r="V411" s="276">
        <v>42573</v>
      </c>
      <c r="W411" s="276">
        <v>42576</v>
      </c>
      <c r="X411" s="276" t="s">
        <v>2</v>
      </c>
      <c r="Y411" s="274" t="s">
        <v>2</v>
      </c>
      <c r="Z411" s="274" t="s">
        <v>89</v>
      </c>
      <c r="AA411" s="274" t="s">
        <v>2714</v>
      </c>
      <c r="AB411" s="276">
        <v>42576</v>
      </c>
      <c r="AC411" s="274" t="s">
        <v>2248</v>
      </c>
      <c r="AD411" s="277">
        <v>6620300</v>
      </c>
      <c r="AE411" s="276">
        <v>31770</v>
      </c>
      <c r="AF411" s="274" t="s">
        <v>2193</v>
      </c>
      <c r="AG411" s="221" t="s">
        <v>775</v>
      </c>
      <c r="AH411" s="221" t="s">
        <v>68</v>
      </c>
      <c r="AI411" s="221" t="s">
        <v>89</v>
      </c>
      <c r="AJ411" s="226">
        <v>810374</v>
      </c>
      <c r="AK411" s="221" t="s">
        <v>991</v>
      </c>
      <c r="AL411" s="221" t="s">
        <v>640</v>
      </c>
      <c r="AM411" s="221" t="s">
        <v>2</v>
      </c>
      <c r="AN411" s="221" t="s">
        <v>414</v>
      </c>
      <c r="AO411" s="152" t="s">
        <v>2627</v>
      </c>
      <c r="AP411" s="221" t="s">
        <v>1249</v>
      </c>
      <c r="AQ411" s="222" t="s">
        <v>1249</v>
      </c>
    </row>
    <row r="412" spans="2:49" ht="15" customHeight="1">
      <c r="B412" s="280"/>
      <c r="C412" s="64"/>
      <c r="D412" s="272">
        <v>28630</v>
      </c>
      <c r="E412" s="283">
        <v>843602</v>
      </c>
      <c r="F412" s="273">
        <v>12121</v>
      </c>
      <c r="G412" s="274" t="s">
        <v>183</v>
      </c>
      <c r="H412" s="274" t="s">
        <v>417</v>
      </c>
      <c r="I412" s="274" t="s">
        <v>16</v>
      </c>
      <c r="J412" s="274" t="s">
        <v>398</v>
      </c>
      <c r="K412" s="275">
        <v>0.35416666666666669</v>
      </c>
      <c r="L412" s="275">
        <v>0.61249999999999993</v>
      </c>
      <c r="M412" s="275">
        <v>0.25833333333333336</v>
      </c>
      <c r="N412" s="275">
        <v>0.41666666666666669</v>
      </c>
      <c r="O412" s="275">
        <v>0.54861111111111105</v>
      </c>
      <c r="P412" s="275">
        <v>0.61805555555555558</v>
      </c>
      <c r="Q412" s="276">
        <v>41794</v>
      </c>
      <c r="R412" s="284" t="s">
        <v>72</v>
      </c>
      <c r="S412" s="276">
        <v>41823</v>
      </c>
      <c r="T412" s="284">
        <v>750</v>
      </c>
      <c r="U412" s="274" t="s">
        <v>2220</v>
      </c>
      <c r="V412" s="276">
        <v>42573</v>
      </c>
      <c r="W412" s="276">
        <v>42576</v>
      </c>
      <c r="X412" s="276" t="s">
        <v>2</v>
      </c>
      <c r="Y412" s="274" t="s">
        <v>2</v>
      </c>
      <c r="Z412" s="274" t="s">
        <v>89</v>
      </c>
      <c r="AA412" s="274" t="s">
        <v>2714</v>
      </c>
      <c r="AB412" s="276">
        <v>42576</v>
      </c>
      <c r="AC412" s="274" t="s">
        <v>1257</v>
      </c>
      <c r="AD412" s="277" t="s">
        <v>2</v>
      </c>
      <c r="AE412" s="276">
        <v>31809</v>
      </c>
      <c r="AF412" s="274" t="s">
        <v>2</v>
      </c>
      <c r="AG412" s="221" t="s">
        <v>775</v>
      </c>
      <c r="AH412" s="221" t="s">
        <v>68</v>
      </c>
      <c r="AI412" s="221" t="s">
        <v>89</v>
      </c>
      <c r="AJ412" s="226">
        <v>810107</v>
      </c>
      <c r="AK412" s="221" t="s">
        <v>2398</v>
      </c>
      <c r="AL412" s="221" t="s">
        <v>517</v>
      </c>
      <c r="AM412" s="221" t="s">
        <v>2</v>
      </c>
      <c r="AN412" s="221" t="s">
        <v>414</v>
      </c>
      <c r="AO412" s="152" t="s">
        <v>1154</v>
      </c>
      <c r="AP412" s="221" t="s">
        <v>2</v>
      </c>
      <c r="AQ412" s="222" t="s">
        <v>1249</v>
      </c>
    </row>
    <row r="413" spans="2:49" ht="15" customHeight="1">
      <c r="B413" s="280" t="e">
        <v>#REF!</v>
      </c>
      <c r="C413" s="64"/>
      <c r="D413" s="272">
        <v>18557</v>
      </c>
      <c r="E413" s="283">
        <v>739289</v>
      </c>
      <c r="F413" s="273">
        <v>12514</v>
      </c>
      <c r="G413" s="274" t="s">
        <v>225</v>
      </c>
      <c r="H413" s="274" t="s">
        <v>417</v>
      </c>
      <c r="I413" s="274" t="s">
        <v>9</v>
      </c>
      <c r="J413" s="274" t="s">
        <v>398</v>
      </c>
      <c r="K413" s="275">
        <v>0.57500000000000007</v>
      </c>
      <c r="L413" s="275">
        <v>0.91666666666666663</v>
      </c>
      <c r="M413" s="275">
        <v>0.34166666666666662</v>
      </c>
      <c r="N413" s="275">
        <v>0.61805555555555558</v>
      </c>
      <c r="O413" s="275">
        <v>0.75</v>
      </c>
      <c r="P413" s="275">
        <v>0.84027777777777779</v>
      </c>
      <c r="Q413" s="276">
        <v>40787</v>
      </c>
      <c r="R413" s="284" t="s">
        <v>72</v>
      </c>
      <c r="S413" s="276">
        <v>40810</v>
      </c>
      <c r="T413" s="284">
        <v>1767</v>
      </c>
      <c r="U413" s="274" t="s">
        <v>2220</v>
      </c>
      <c r="V413" s="276">
        <v>42578</v>
      </c>
      <c r="W413" s="276">
        <v>42578</v>
      </c>
      <c r="X413" s="276">
        <v>42578</v>
      </c>
      <c r="Y413" s="274" t="s">
        <v>2245</v>
      </c>
      <c r="Z413" s="274" t="s">
        <v>2</v>
      </c>
      <c r="AA413" s="274" t="s">
        <v>2</v>
      </c>
      <c r="AB413" s="276" t="s">
        <v>2</v>
      </c>
      <c r="AC413" s="274" t="s">
        <v>1257</v>
      </c>
      <c r="AD413" s="277">
        <v>4194350</v>
      </c>
      <c r="AE413" s="274" t="s">
        <v>2</v>
      </c>
      <c r="AF413" s="221" t="s">
        <v>2188</v>
      </c>
      <c r="AG413" s="221" t="s">
        <v>775</v>
      </c>
      <c r="AH413" s="221" t="s">
        <v>68</v>
      </c>
      <c r="AI413" s="221" t="s">
        <v>89</v>
      </c>
      <c r="AJ413" s="226">
        <v>810161</v>
      </c>
      <c r="AK413" s="221" t="s">
        <v>908</v>
      </c>
      <c r="AL413" s="221" t="s">
        <v>557</v>
      </c>
      <c r="AM413" s="221" t="s">
        <v>2</v>
      </c>
      <c r="AN413" s="221" t="s">
        <v>414</v>
      </c>
      <c r="AO413" s="152" t="s">
        <v>2545</v>
      </c>
      <c r="AP413" s="221" t="s">
        <v>2</v>
      </c>
      <c r="AQ413" s="222" t="s">
        <v>1249</v>
      </c>
    </row>
    <row r="414" spans="2:49" ht="15" customHeight="1">
      <c r="B414" s="280" t="e">
        <v>#REF!</v>
      </c>
      <c r="C414" s="64"/>
      <c r="D414" s="272">
        <v>20264</v>
      </c>
      <c r="E414" s="283">
        <v>758419</v>
      </c>
      <c r="F414" s="273">
        <v>12685</v>
      </c>
      <c r="G414" s="274" t="s">
        <v>222</v>
      </c>
      <c r="H414" s="274" t="s">
        <v>417</v>
      </c>
      <c r="I414" s="274" t="s">
        <v>9</v>
      </c>
      <c r="J414" s="274" t="s">
        <v>398</v>
      </c>
      <c r="K414" s="275">
        <v>0.63888888888888895</v>
      </c>
      <c r="L414" s="275">
        <v>0.90277777777777779</v>
      </c>
      <c r="M414" s="275">
        <v>0.2638888888888889</v>
      </c>
      <c r="N414" s="275">
        <v>0.69444444444444453</v>
      </c>
      <c r="O414" s="275">
        <v>0.77777777777777779</v>
      </c>
      <c r="P414" s="275">
        <v>0.84722222222222221</v>
      </c>
      <c r="Q414" s="276">
        <v>40919</v>
      </c>
      <c r="R414" s="284" t="s">
        <v>72</v>
      </c>
      <c r="S414" s="276">
        <v>40942</v>
      </c>
      <c r="T414" s="284">
        <v>1635</v>
      </c>
      <c r="U414" s="274" t="s">
        <v>2220</v>
      </c>
      <c r="V414" s="276">
        <v>42578</v>
      </c>
      <c r="W414" s="276">
        <v>42578</v>
      </c>
      <c r="X414" s="276">
        <v>42578</v>
      </c>
      <c r="Y414" s="274" t="s">
        <v>2245</v>
      </c>
      <c r="Z414" s="274" t="s">
        <v>2</v>
      </c>
      <c r="AA414" s="274" t="s">
        <v>2</v>
      </c>
      <c r="AB414" s="276" t="s">
        <v>2</v>
      </c>
      <c r="AC414" s="274" t="s">
        <v>1257</v>
      </c>
      <c r="AD414" s="277">
        <v>8344330</v>
      </c>
      <c r="AE414" s="274" t="s">
        <v>2</v>
      </c>
      <c r="AF414" s="221" t="s">
        <v>2194</v>
      </c>
      <c r="AG414" s="221" t="s">
        <v>775</v>
      </c>
      <c r="AH414" s="221" t="s">
        <v>68</v>
      </c>
      <c r="AI414" s="221" t="s">
        <v>89</v>
      </c>
      <c r="AJ414" s="226">
        <v>810168</v>
      </c>
      <c r="AK414" s="221" t="s">
        <v>905</v>
      </c>
      <c r="AL414" s="221" t="s">
        <v>554</v>
      </c>
      <c r="AM414" s="221" t="s">
        <v>2</v>
      </c>
      <c r="AN414" s="221" t="s">
        <v>414</v>
      </c>
      <c r="AO414" s="152" t="s">
        <v>2557</v>
      </c>
      <c r="AP414" s="221" t="s">
        <v>2</v>
      </c>
      <c r="AQ414" s="222" t="s">
        <v>1249</v>
      </c>
    </row>
    <row r="415" spans="2:49" ht="15" customHeight="1">
      <c r="B415" s="280" t="e">
        <v>#REF!</v>
      </c>
      <c r="C415" s="64"/>
      <c r="D415" s="272">
        <v>21858</v>
      </c>
      <c r="E415" s="283">
        <v>768779</v>
      </c>
      <c r="F415" s="273">
        <v>12152</v>
      </c>
      <c r="G415" s="274" t="s">
        <v>309</v>
      </c>
      <c r="H415" s="274" t="s">
        <v>417</v>
      </c>
      <c r="I415" s="274" t="s">
        <v>9</v>
      </c>
      <c r="J415" s="274" t="s">
        <v>403</v>
      </c>
      <c r="K415" s="275">
        <v>0.375</v>
      </c>
      <c r="L415" s="275">
        <v>0.63888888888888895</v>
      </c>
      <c r="M415" s="275">
        <v>0.2638888888888889</v>
      </c>
      <c r="N415" s="275">
        <v>0.4236111111111111</v>
      </c>
      <c r="O415" s="275">
        <v>0.4861111111111111</v>
      </c>
      <c r="P415" s="275">
        <v>0.5625</v>
      </c>
      <c r="Q415" s="276">
        <v>41044</v>
      </c>
      <c r="R415" s="284" t="s">
        <v>72</v>
      </c>
      <c r="S415" s="276">
        <v>41067</v>
      </c>
      <c r="T415" s="284">
        <v>1510</v>
      </c>
      <c r="U415" s="274" t="s">
        <v>2220</v>
      </c>
      <c r="V415" s="276">
        <v>42578</v>
      </c>
      <c r="W415" s="276">
        <v>42578</v>
      </c>
      <c r="X415" s="276">
        <v>42578</v>
      </c>
      <c r="Y415" s="274" t="s">
        <v>2245</v>
      </c>
      <c r="Z415" s="274" t="s">
        <v>2</v>
      </c>
      <c r="AA415" s="274" t="s">
        <v>2</v>
      </c>
      <c r="AB415" s="276" t="s">
        <v>2</v>
      </c>
      <c r="AC415" s="274" t="s">
        <v>2248</v>
      </c>
      <c r="AD415" s="277">
        <v>6693270</v>
      </c>
      <c r="AE415" s="274" t="s">
        <v>2</v>
      </c>
      <c r="AF415" s="221" t="s">
        <v>2193</v>
      </c>
      <c r="AG415" s="221" t="s">
        <v>775</v>
      </c>
      <c r="AH415" s="221" t="s">
        <v>68</v>
      </c>
      <c r="AI415" s="221" t="s">
        <v>89</v>
      </c>
      <c r="AJ415" s="226">
        <v>810070</v>
      </c>
      <c r="AK415" s="221" t="s">
        <v>987</v>
      </c>
      <c r="AL415" s="221" t="s">
        <v>636</v>
      </c>
      <c r="AM415" s="221" t="s">
        <v>2</v>
      </c>
      <c r="AN415" s="221" t="s">
        <v>414</v>
      </c>
      <c r="AO415" s="152" t="s">
        <v>2623</v>
      </c>
      <c r="AP415" s="221" t="s">
        <v>2</v>
      </c>
      <c r="AQ415" s="222" t="s">
        <v>1249</v>
      </c>
    </row>
    <row r="416" spans="2:49" ht="15" customHeight="1">
      <c r="B416" s="280" t="e">
        <v>#REF!</v>
      </c>
      <c r="C416" s="64"/>
      <c r="D416" s="272">
        <v>20363</v>
      </c>
      <c r="E416" s="283">
        <v>758760</v>
      </c>
      <c r="F416" s="273">
        <v>17121</v>
      </c>
      <c r="G416" s="274" t="s">
        <v>2703</v>
      </c>
      <c r="H416" s="274" t="s">
        <v>417</v>
      </c>
      <c r="I416" s="274" t="s">
        <v>9</v>
      </c>
      <c r="J416" s="274" t="s">
        <v>403</v>
      </c>
      <c r="K416" s="275">
        <v>0.4916666666666667</v>
      </c>
      <c r="L416" s="275">
        <v>0.83333333333333337</v>
      </c>
      <c r="M416" s="275">
        <v>0.34166666666666662</v>
      </c>
      <c r="N416" s="275">
        <v>0.53472222222222221</v>
      </c>
      <c r="O416" s="275">
        <v>0.59722222222222221</v>
      </c>
      <c r="P416" s="275">
        <v>0.70833333333333337</v>
      </c>
      <c r="Q416" s="276">
        <v>40926</v>
      </c>
      <c r="R416" s="284" t="s">
        <v>72</v>
      </c>
      <c r="S416" s="276">
        <v>40949</v>
      </c>
      <c r="T416" s="284">
        <v>1628</v>
      </c>
      <c r="U416" s="274" t="s">
        <v>2220</v>
      </c>
      <c r="V416" s="276">
        <v>42578</v>
      </c>
      <c r="W416" s="276">
        <v>42578</v>
      </c>
      <c r="X416" s="276">
        <v>42578</v>
      </c>
      <c r="Y416" s="274" t="s">
        <v>2245</v>
      </c>
      <c r="Z416" s="274" t="s">
        <v>2</v>
      </c>
      <c r="AA416" s="274" t="s">
        <v>2</v>
      </c>
      <c r="AB416" s="276" t="s">
        <v>2</v>
      </c>
      <c r="AC416" s="274" t="s">
        <v>2248</v>
      </c>
      <c r="AD416" s="277">
        <v>3965040</v>
      </c>
      <c r="AE416" s="274" t="s">
        <v>2</v>
      </c>
      <c r="AF416" s="221" t="s">
        <v>2195</v>
      </c>
      <c r="AG416" s="221" t="s">
        <v>775</v>
      </c>
      <c r="AH416" s="221" t="s">
        <v>68</v>
      </c>
      <c r="AI416" s="221" t="s">
        <v>89</v>
      </c>
      <c r="AJ416" s="226">
        <v>23490</v>
      </c>
      <c r="AK416" s="221" t="s">
        <v>1028</v>
      </c>
      <c r="AL416" s="221" t="s">
        <v>677</v>
      </c>
      <c r="AM416" s="221" t="s">
        <v>2</v>
      </c>
      <c r="AN416" s="221" t="s">
        <v>414</v>
      </c>
      <c r="AO416" s="152" t="s">
        <v>2624</v>
      </c>
      <c r="AP416" s="221" t="s">
        <v>2</v>
      </c>
      <c r="AQ416" s="222" t="s">
        <v>1249</v>
      </c>
    </row>
    <row r="417" spans="1:50" ht="15" customHeight="1">
      <c r="B417" s="280" t="e">
        <v>#REF!</v>
      </c>
      <c r="C417" s="64"/>
      <c r="D417" s="272">
        <v>18193</v>
      </c>
      <c r="E417" s="283">
        <v>734507</v>
      </c>
      <c r="F417" s="273">
        <v>12058</v>
      </c>
      <c r="G417" s="274" t="s">
        <v>316</v>
      </c>
      <c r="H417" s="274" t="s">
        <v>417</v>
      </c>
      <c r="I417" s="274" t="s">
        <v>9</v>
      </c>
      <c r="J417" s="274" t="s">
        <v>403</v>
      </c>
      <c r="K417" s="275">
        <v>0.57500000000000007</v>
      </c>
      <c r="L417" s="275">
        <v>0.91666666666666663</v>
      </c>
      <c r="M417" s="275">
        <v>0.34166666666666662</v>
      </c>
      <c r="N417" s="275">
        <v>0.63194444444444442</v>
      </c>
      <c r="O417" s="275">
        <v>0.75</v>
      </c>
      <c r="P417" s="275">
        <v>0.84722222222222221</v>
      </c>
      <c r="Q417" s="276">
        <v>40735</v>
      </c>
      <c r="R417" s="284" t="s">
        <v>72</v>
      </c>
      <c r="S417" s="276">
        <v>40758</v>
      </c>
      <c r="T417" s="284">
        <v>1819</v>
      </c>
      <c r="U417" s="274" t="s">
        <v>2220</v>
      </c>
      <c r="V417" s="276">
        <v>42578</v>
      </c>
      <c r="W417" s="276">
        <v>42578</v>
      </c>
      <c r="X417" s="276">
        <v>42578</v>
      </c>
      <c r="Y417" s="274" t="s">
        <v>2245</v>
      </c>
      <c r="Z417" s="274" t="s">
        <v>2</v>
      </c>
      <c r="AA417" s="274" t="s">
        <v>2</v>
      </c>
      <c r="AB417" s="276" t="s">
        <v>2</v>
      </c>
      <c r="AC417" s="274" t="s">
        <v>2248</v>
      </c>
      <c r="AD417" s="277">
        <v>6184210</v>
      </c>
      <c r="AE417" s="274" t="s">
        <v>2</v>
      </c>
      <c r="AF417" s="221" t="s">
        <v>2193</v>
      </c>
      <c r="AG417" s="221" t="s">
        <v>775</v>
      </c>
      <c r="AH417" s="221" t="s">
        <v>68</v>
      </c>
      <c r="AI417" s="221" t="s">
        <v>89</v>
      </c>
      <c r="AJ417" s="226">
        <v>23474</v>
      </c>
      <c r="AK417" s="221" t="s">
        <v>994</v>
      </c>
      <c r="AL417" s="221" t="s">
        <v>643</v>
      </c>
      <c r="AM417" s="221" t="s">
        <v>2</v>
      </c>
      <c r="AN417" s="221" t="s">
        <v>414</v>
      </c>
      <c r="AO417" s="152" t="s">
        <v>2633</v>
      </c>
      <c r="AP417" s="221" t="s">
        <v>2</v>
      </c>
      <c r="AQ417" s="222" t="s">
        <v>1249</v>
      </c>
      <c r="AX417" s="289"/>
    </row>
    <row r="418" spans="1:50" ht="15" customHeight="1">
      <c r="A418" s="72"/>
      <c r="B418" s="280" t="e">
        <f t="shared" ref="B418" si="14">IF(B417="x","","x")</f>
        <v>#REF!</v>
      </c>
      <c r="C418" s="91"/>
      <c r="D418" s="272">
        <v>22516</v>
      </c>
      <c r="E418" s="283">
        <v>773794</v>
      </c>
      <c r="F418" s="273">
        <v>10361</v>
      </c>
      <c r="G418" s="274" t="s">
        <v>1356</v>
      </c>
      <c r="H418" s="274" t="s">
        <v>1357</v>
      </c>
      <c r="I418" s="274" t="s">
        <v>16</v>
      </c>
      <c r="J418" s="274" t="s">
        <v>1361</v>
      </c>
      <c r="K418" s="275">
        <v>0.33333333333333331</v>
      </c>
      <c r="L418" s="275">
        <v>0.70833333333333337</v>
      </c>
      <c r="M418" s="275">
        <f t="shared" ref="M418" si="15">IFERROR(IF(L418&gt;K418,TIMEVALUE(TEXT(L418-K418,"hh:mm")),TIMEVALUE(TEXT("24:00"-K418+L418,"hh:mm"))),"-")</f>
        <v>0.375</v>
      </c>
      <c r="N418" s="275" t="s">
        <v>2</v>
      </c>
      <c r="O418" s="275" t="s">
        <v>2</v>
      </c>
      <c r="P418" s="275" t="s">
        <v>2</v>
      </c>
      <c r="Q418" s="276">
        <v>41102</v>
      </c>
      <c r="R418" s="276" t="str">
        <f t="shared" ref="R418" si="16">IF(Q418&lt;12,"TRN",IF(AND(Q418&gt;=12,Q418&lt;=19),"OCP W1",IF(AND(Q418&gt;19,Q418&lt;=26),"OCP W2",IF(AND(Q418&gt;26,Q418&lt;=32),"OCP W3",IF(Q418&gt;32,"W4+")))))</f>
        <v>W4+</v>
      </c>
      <c r="S418" s="276" t="s">
        <v>2</v>
      </c>
      <c r="T418" s="284">
        <f t="shared" ref="T418" si="17">$T$6-Q418</f>
        <v>1359</v>
      </c>
      <c r="U418" s="274" t="s">
        <v>2244</v>
      </c>
      <c r="V418" s="276">
        <v>42576</v>
      </c>
      <c r="W418" s="276">
        <v>42576</v>
      </c>
      <c r="X418" s="276">
        <v>42576</v>
      </c>
      <c r="Y418" s="274" t="s">
        <v>2</v>
      </c>
      <c r="Z418" s="274" t="s">
        <v>2</v>
      </c>
      <c r="AA418" s="274" t="s">
        <v>2</v>
      </c>
      <c r="AB418" s="274" t="s">
        <v>2</v>
      </c>
      <c r="AC418" s="274" t="s">
        <v>2</v>
      </c>
      <c r="AD418" s="277">
        <v>3295100</v>
      </c>
      <c r="AE418" s="276">
        <v>34428</v>
      </c>
      <c r="AF418" s="274" t="str">
        <f t="shared" ref="AF418:AF419" si="18">IFERROR(IF($AE418="-","-",IF(LEFT(RIGHT($AE418,7),1)*1=1,"Região Central",IF(LEFT(RIGHT($AE418,7),1)*1=2,"Região Norte",IF(LEFT(RIGHT($AE418,7),1)*1=3,"Região Leste",IF(LEFT(RIGHT($AE418,7),1)*1=4,"Região Sul",IF(LEFT(RIGHT($AE418,7),1)*1=5,"Região Oeste",IF(LEFT(RIGHT($AE418,7),1)*1=6,"Osasco e Região",IF(LEFT(RIGHT($AE418,7),1)*1=7,"Guarulhos e Região",IF(LEFT(RIGHT($AE418,7),1)*1=8,"Mogi das Cruzes e Região","Santo André e Região"))))))))),"")</f>
        <v>Região Leste</v>
      </c>
      <c r="AG418" s="274" t="s">
        <v>1365</v>
      </c>
      <c r="AH418" s="274" t="s">
        <v>69</v>
      </c>
      <c r="AI418" s="274" t="s">
        <v>89</v>
      </c>
      <c r="AJ418" s="281" t="s">
        <v>2756</v>
      </c>
      <c r="AK418" s="281" t="s">
        <v>1414</v>
      </c>
      <c r="AL418" s="281" t="s">
        <v>1390</v>
      </c>
      <c r="AM418" s="281" t="s">
        <v>2</v>
      </c>
      <c r="AN418" s="221" t="s">
        <v>2</v>
      </c>
      <c r="AO418" s="152" t="s">
        <v>1435</v>
      </c>
      <c r="AP418" s="281" t="s">
        <v>2</v>
      </c>
      <c r="AQ418" s="222" t="s">
        <v>2</v>
      </c>
      <c r="AR418" s="64"/>
      <c r="AS418" s="64"/>
      <c r="AT418" s="64"/>
      <c r="AU418" s="64"/>
      <c r="AX418" s="289"/>
    </row>
    <row r="419" spans="1:50" ht="15" customHeight="1">
      <c r="A419" s="72"/>
      <c r="B419" s="280"/>
      <c r="C419" s="91"/>
      <c r="D419" s="272">
        <v>25031</v>
      </c>
      <c r="E419" s="229">
        <v>800548</v>
      </c>
      <c r="F419" s="273">
        <v>12078</v>
      </c>
      <c r="G419" s="274" t="s">
        <v>308</v>
      </c>
      <c r="H419" s="274" t="s">
        <v>417</v>
      </c>
      <c r="I419" s="274" t="s">
        <v>9</v>
      </c>
      <c r="J419" s="274" t="s">
        <v>403</v>
      </c>
      <c r="K419" s="275">
        <v>0.41666666666666669</v>
      </c>
      <c r="L419" s="275">
        <v>0.7583333333333333</v>
      </c>
      <c r="M419" s="275">
        <v>0.34166666666666662</v>
      </c>
      <c r="N419" s="275">
        <v>0.52777777777777779</v>
      </c>
      <c r="O419" s="275">
        <v>0.58333333333333337</v>
      </c>
      <c r="P419" s="275">
        <v>0.6875</v>
      </c>
      <c r="Q419" s="276">
        <v>41368</v>
      </c>
      <c r="R419" s="284" t="str">
        <f t="shared" ref="R419" ca="1" si="19">IF(T419&lt;0,"TRN",IF(AND(T419&gt;=0,T419&lt;7),"OCP W1",IF(AND(T419&gt;=7,T419&lt;14),"OCP W2",IF(AND(T419&gt;=14,T419&lt;21),"OCP W3",IF(T419&gt;=21,"W4+")))))</f>
        <v>W4+</v>
      </c>
      <c r="S419" s="276">
        <v>41391</v>
      </c>
      <c r="T419" s="284">
        <f t="shared" ref="T419" ca="1" si="20">TODAY()-S419</f>
        <v>1329</v>
      </c>
      <c r="U419" s="274" t="s">
        <v>2220</v>
      </c>
      <c r="V419" s="276">
        <v>42576</v>
      </c>
      <c r="W419" s="276">
        <v>42576</v>
      </c>
      <c r="X419" s="276">
        <v>42576</v>
      </c>
      <c r="Y419" s="274" t="s">
        <v>2245</v>
      </c>
      <c r="Z419" s="274" t="s">
        <v>2</v>
      </c>
      <c r="AA419" s="274" t="s">
        <v>2</v>
      </c>
      <c r="AB419" s="276" t="s">
        <v>2</v>
      </c>
      <c r="AC419" s="274" t="str">
        <f>IFERROR(VLOOKUP(J419,Skills!$D$9:$E$18,2,0),"-")</f>
        <v>261;144;240;376</v>
      </c>
      <c r="AD419" s="277">
        <v>6317341</v>
      </c>
      <c r="AE419" s="276">
        <v>31018</v>
      </c>
      <c r="AF419" s="274" t="str">
        <f t="shared" si="18"/>
        <v>Região Leste</v>
      </c>
      <c r="AG419" s="274" t="s">
        <v>775</v>
      </c>
      <c r="AH419" s="274" t="s">
        <v>68</v>
      </c>
      <c r="AI419" s="274" t="s">
        <v>89</v>
      </c>
      <c r="AJ419" s="281">
        <v>23475</v>
      </c>
      <c r="AK419" s="221" t="s">
        <v>986</v>
      </c>
      <c r="AL419" s="152" t="s">
        <v>635</v>
      </c>
      <c r="AM419" s="152" t="s">
        <v>2</v>
      </c>
      <c r="AN419" s="152" t="s">
        <v>414</v>
      </c>
      <c r="AO419" s="152" t="s">
        <v>2611</v>
      </c>
      <c r="AP419" s="152" t="s">
        <v>2</v>
      </c>
      <c r="AQ419" s="282" t="s">
        <v>1249</v>
      </c>
      <c r="AR419" s="64"/>
      <c r="AS419" s="64"/>
      <c r="AT419" s="64"/>
      <c r="AU419" s="64"/>
      <c r="AX419" s="289"/>
    </row>
    <row r="420" spans="1:50" ht="15" customHeight="1">
      <c r="A420" s="72"/>
      <c r="B420" s="280"/>
      <c r="C420" s="91"/>
      <c r="D420" s="272">
        <v>20812</v>
      </c>
      <c r="E420" s="283">
        <v>761567</v>
      </c>
      <c r="F420" s="273">
        <v>12508</v>
      </c>
      <c r="G420" s="274" t="s">
        <v>370</v>
      </c>
      <c r="H420" s="274" t="s">
        <v>424</v>
      </c>
      <c r="I420" s="274" t="s">
        <v>9</v>
      </c>
      <c r="J420" s="274" t="s">
        <v>405</v>
      </c>
      <c r="K420" s="275">
        <v>0.375</v>
      </c>
      <c r="L420" s="275">
        <v>0.71666666666666667</v>
      </c>
      <c r="M420" s="275">
        <v>0.34166666666666662</v>
      </c>
      <c r="N420" s="275" t="s">
        <v>2</v>
      </c>
      <c r="O420" s="275" t="s">
        <v>2</v>
      </c>
      <c r="P420" s="275" t="s">
        <v>2</v>
      </c>
      <c r="Q420" s="276">
        <v>40952</v>
      </c>
      <c r="R420" s="276" t="s">
        <v>72</v>
      </c>
      <c r="S420" s="276">
        <v>40975</v>
      </c>
      <c r="T420" s="284">
        <v>1603</v>
      </c>
      <c r="U420" s="274" t="s">
        <v>2217</v>
      </c>
      <c r="V420" s="276">
        <v>42578</v>
      </c>
      <c r="W420" s="276">
        <v>42578</v>
      </c>
      <c r="X420" s="276" t="s">
        <v>2</v>
      </c>
      <c r="Y420" s="274" t="s">
        <v>2245</v>
      </c>
      <c r="Z420" s="274" t="s">
        <v>2</v>
      </c>
      <c r="AA420" s="274" t="s">
        <v>2</v>
      </c>
      <c r="AB420" s="274" t="s">
        <v>2</v>
      </c>
      <c r="AC420" s="274" t="s">
        <v>1251</v>
      </c>
      <c r="AD420" s="277">
        <v>7260100</v>
      </c>
      <c r="AE420" s="276">
        <v>34540</v>
      </c>
      <c r="AF420" s="274" t="s">
        <v>2196</v>
      </c>
      <c r="AG420" s="274" t="s">
        <v>775</v>
      </c>
      <c r="AH420" s="274" t="s">
        <v>68</v>
      </c>
      <c r="AI420" s="274" t="s">
        <v>89</v>
      </c>
      <c r="AJ420" s="281" t="s">
        <v>2</v>
      </c>
      <c r="AK420" s="226" t="s">
        <v>2868</v>
      </c>
      <c r="AL420" s="221" t="s">
        <v>696</v>
      </c>
      <c r="AM420" s="221" t="s">
        <v>2</v>
      </c>
      <c r="AN420" s="221" t="s">
        <v>413</v>
      </c>
      <c r="AO420" s="221" t="s">
        <v>1227</v>
      </c>
      <c r="AP420" s="221" t="s">
        <v>1249</v>
      </c>
      <c r="AQ420" s="222" t="s">
        <v>2</v>
      </c>
      <c r="AR420" s="64"/>
      <c r="AS420" s="64"/>
      <c r="AT420" s="64"/>
      <c r="AU420" s="64"/>
      <c r="AV420" s="64"/>
      <c r="AX420" s="289"/>
    </row>
    <row r="421" spans="1:50" ht="15" customHeight="1">
      <c r="A421" s="72"/>
      <c r="B421" s="280"/>
      <c r="C421" s="91"/>
      <c r="D421" s="272">
        <v>15532</v>
      </c>
      <c r="E421" s="283">
        <v>720669</v>
      </c>
      <c r="F421" s="273">
        <v>12711</v>
      </c>
      <c r="G421" s="274" t="s">
        <v>263</v>
      </c>
      <c r="H421" s="274" t="s">
        <v>411</v>
      </c>
      <c r="I421" s="274" t="s">
        <v>9</v>
      </c>
      <c r="J421" s="274" t="s">
        <v>399</v>
      </c>
      <c r="K421" s="275">
        <v>2.3819444444444446</v>
      </c>
      <c r="L421" s="275">
        <v>0.75694444444444453</v>
      </c>
      <c r="M421" s="275">
        <v>0.375</v>
      </c>
      <c r="N421" s="275" t="s">
        <v>2</v>
      </c>
      <c r="O421" s="275">
        <v>0.60416666666666663</v>
      </c>
      <c r="P421" s="275" t="s">
        <v>2</v>
      </c>
      <c r="Q421" s="276">
        <v>40603</v>
      </c>
      <c r="R421" s="276" t="s">
        <v>72</v>
      </c>
      <c r="S421" s="276">
        <v>40626</v>
      </c>
      <c r="T421" s="284">
        <v>1952</v>
      </c>
      <c r="U421" s="274" t="s">
        <v>2221</v>
      </c>
      <c r="V421" s="276">
        <v>42578</v>
      </c>
      <c r="W421" s="276">
        <v>42578</v>
      </c>
      <c r="X421" s="276" t="s">
        <v>2</v>
      </c>
      <c r="Y421" s="274" t="s">
        <v>2245</v>
      </c>
      <c r="Z421" s="274" t="s">
        <v>2</v>
      </c>
      <c r="AA421" s="274" t="s">
        <v>2</v>
      </c>
      <c r="AB421" s="274" t="s">
        <v>2</v>
      </c>
      <c r="AC421" s="274">
        <v>372</v>
      </c>
      <c r="AD421" s="277">
        <v>9341455</v>
      </c>
      <c r="AE421" s="276">
        <v>29729</v>
      </c>
      <c r="AF421" s="274" t="s">
        <v>2190</v>
      </c>
      <c r="AG421" s="274" t="s">
        <v>775</v>
      </c>
      <c r="AH421" s="274" t="s">
        <v>68</v>
      </c>
      <c r="AI421" s="274" t="s">
        <v>89</v>
      </c>
      <c r="AJ421" s="281" t="s">
        <v>2</v>
      </c>
      <c r="AK421" s="226" t="s">
        <v>946</v>
      </c>
      <c r="AL421" s="152" t="s">
        <v>595</v>
      </c>
      <c r="AM421" s="152" t="s">
        <v>2</v>
      </c>
      <c r="AN421" s="152" t="s">
        <v>413</v>
      </c>
      <c r="AO421" s="152" t="s">
        <v>2568</v>
      </c>
      <c r="AP421" s="152" t="s">
        <v>1249</v>
      </c>
      <c r="AQ421" s="282" t="s">
        <v>2</v>
      </c>
      <c r="AR421" s="64"/>
      <c r="AS421" s="64"/>
      <c r="AT421" s="64"/>
      <c r="AU421" s="64"/>
      <c r="AV421" s="64"/>
      <c r="AX421" s="289"/>
    </row>
    <row r="422" spans="1:50" ht="15" customHeight="1">
      <c r="A422" s="72"/>
      <c r="B422" s="280"/>
      <c r="C422" s="91"/>
      <c r="D422" s="272">
        <v>16936</v>
      </c>
      <c r="E422" s="283">
        <v>727321</v>
      </c>
      <c r="F422" s="273">
        <v>12310</v>
      </c>
      <c r="G422" s="274" t="s">
        <v>369</v>
      </c>
      <c r="H422" s="274" t="s">
        <v>424</v>
      </c>
      <c r="I422" s="274" t="s">
        <v>9</v>
      </c>
      <c r="J422" s="274" t="s">
        <v>405</v>
      </c>
      <c r="K422" s="275">
        <v>0.5</v>
      </c>
      <c r="L422" s="275">
        <v>0.84166666666666667</v>
      </c>
      <c r="M422" s="275">
        <v>0.34166666666666662</v>
      </c>
      <c r="N422" s="275" t="s">
        <v>2</v>
      </c>
      <c r="O422" s="275" t="s">
        <v>2</v>
      </c>
      <c r="P422" s="275" t="s">
        <v>2</v>
      </c>
      <c r="Q422" s="276">
        <v>40665</v>
      </c>
      <c r="R422" s="276" t="s">
        <v>72</v>
      </c>
      <c r="S422" s="276">
        <v>40688</v>
      </c>
      <c r="T422" s="284">
        <v>1890</v>
      </c>
      <c r="U422" s="274" t="s">
        <v>2219</v>
      </c>
      <c r="V422" s="276">
        <v>42578</v>
      </c>
      <c r="W422" s="276">
        <v>42578</v>
      </c>
      <c r="X422" s="276" t="s">
        <v>2</v>
      </c>
      <c r="Y422" s="274" t="s">
        <v>2245</v>
      </c>
      <c r="Z422" s="274" t="s">
        <v>2</v>
      </c>
      <c r="AA422" s="274" t="s">
        <v>2</v>
      </c>
      <c r="AB422" s="274" t="s">
        <v>2</v>
      </c>
      <c r="AC422" s="274" t="s">
        <v>1251</v>
      </c>
      <c r="AD422" s="277">
        <v>2556180</v>
      </c>
      <c r="AE422" s="276">
        <v>33711</v>
      </c>
      <c r="AF422" s="274" t="s">
        <v>2189</v>
      </c>
      <c r="AG422" s="274" t="s">
        <v>775</v>
      </c>
      <c r="AH422" s="52" t="s">
        <v>68</v>
      </c>
      <c r="AI422" s="274" t="s">
        <v>89</v>
      </c>
      <c r="AJ422" s="278" t="s">
        <v>2</v>
      </c>
      <c r="AK422" s="113" t="s">
        <v>1045</v>
      </c>
      <c r="AL422" s="274" t="s">
        <v>695</v>
      </c>
      <c r="AM422" s="274" t="s">
        <v>2</v>
      </c>
      <c r="AN422" s="274" t="s">
        <v>413</v>
      </c>
      <c r="AO422" s="281" t="s">
        <v>1226</v>
      </c>
      <c r="AP422" s="226" t="s">
        <v>1249</v>
      </c>
      <c r="AQ422" s="282" t="s">
        <v>2</v>
      </c>
      <c r="AX422" s="289"/>
    </row>
    <row r="423" spans="1:50" ht="15" customHeight="1">
      <c r="A423" s="72"/>
      <c r="B423" s="280"/>
      <c r="C423" s="91"/>
      <c r="D423" s="272">
        <v>12715</v>
      </c>
      <c r="E423" s="283">
        <v>696598</v>
      </c>
      <c r="F423" s="273">
        <v>12136</v>
      </c>
      <c r="G423" s="274" t="s">
        <v>372</v>
      </c>
      <c r="H423" s="274" t="s">
        <v>411</v>
      </c>
      <c r="I423" s="274" t="s">
        <v>9</v>
      </c>
      <c r="J423" s="274" t="s">
        <v>405</v>
      </c>
      <c r="K423" s="275">
        <v>0.39583333333333331</v>
      </c>
      <c r="L423" s="275">
        <v>0.77083333333333337</v>
      </c>
      <c r="M423" s="275">
        <v>0.375</v>
      </c>
      <c r="N423" s="275" t="s">
        <v>2</v>
      </c>
      <c r="O423" s="275" t="s">
        <v>2</v>
      </c>
      <c r="P423" s="275" t="s">
        <v>2</v>
      </c>
      <c r="Q423" s="276">
        <v>40301</v>
      </c>
      <c r="R423" s="276" t="s">
        <v>72</v>
      </c>
      <c r="S423" s="276">
        <v>40324</v>
      </c>
      <c r="T423" s="284">
        <v>2254</v>
      </c>
      <c r="U423" s="274" t="s">
        <v>2217</v>
      </c>
      <c r="V423" s="276">
        <v>42578</v>
      </c>
      <c r="W423" s="276">
        <v>42578</v>
      </c>
      <c r="X423" s="276" t="s">
        <v>2</v>
      </c>
      <c r="Y423" s="274" t="s">
        <v>2245</v>
      </c>
      <c r="Z423" s="274" t="s">
        <v>2</v>
      </c>
      <c r="AA423" s="274" t="s">
        <v>2</v>
      </c>
      <c r="AB423" s="274" t="s">
        <v>2</v>
      </c>
      <c r="AC423" s="274" t="s">
        <v>1251</v>
      </c>
      <c r="AD423" s="277">
        <v>8411100</v>
      </c>
      <c r="AE423" s="276">
        <v>32341</v>
      </c>
      <c r="AF423" s="274" t="s">
        <v>2194</v>
      </c>
      <c r="AG423" s="274" t="s">
        <v>775</v>
      </c>
      <c r="AH423" s="52" t="s">
        <v>68</v>
      </c>
      <c r="AI423" s="274" t="s">
        <v>89</v>
      </c>
      <c r="AJ423" s="278" t="s">
        <v>2</v>
      </c>
      <c r="AK423" s="113" t="s">
        <v>1047</v>
      </c>
      <c r="AL423" s="274" t="s">
        <v>698</v>
      </c>
      <c r="AM423" s="274" t="s">
        <v>2</v>
      </c>
      <c r="AN423" s="274" t="s">
        <v>413</v>
      </c>
      <c r="AO423" s="281" t="s">
        <v>1229</v>
      </c>
      <c r="AP423" s="226" t="s">
        <v>2</v>
      </c>
      <c r="AQ423" s="282" t="s">
        <v>2</v>
      </c>
      <c r="AX423" s="289"/>
    </row>
    <row r="424" spans="1:50" ht="15" customHeight="1">
      <c r="A424" s="72"/>
      <c r="B424" s="280"/>
      <c r="C424" s="91"/>
      <c r="D424" s="272">
        <v>14924</v>
      </c>
      <c r="E424" s="283">
        <v>716948</v>
      </c>
      <c r="F424" s="273">
        <v>12763</v>
      </c>
      <c r="G424" s="274" t="s">
        <v>145</v>
      </c>
      <c r="H424" s="274" t="s">
        <v>411</v>
      </c>
      <c r="I424" s="274" t="s">
        <v>9</v>
      </c>
      <c r="J424" s="274" t="s">
        <v>394</v>
      </c>
      <c r="K424" s="275">
        <v>0.375</v>
      </c>
      <c r="L424" s="275">
        <v>0.71666666666666667</v>
      </c>
      <c r="M424" s="275">
        <v>0.34166666666666662</v>
      </c>
      <c r="N424" s="275">
        <v>0.4375</v>
      </c>
      <c r="O424" s="275">
        <v>0.52083333333333337</v>
      </c>
      <c r="P424" s="275">
        <v>0.60416666666666663</v>
      </c>
      <c r="Q424" s="276">
        <v>40556</v>
      </c>
      <c r="R424" s="276" t="s">
        <v>72</v>
      </c>
      <c r="S424" s="276">
        <v>40579</v>
      </c>
      <c r="T424" s="284">
        <v>1999</v>
      </c>
      <c r="U424" s="274" t="s">
        <v>2217</v>
      </c>
      <c r="V424" s="276">
        <v>42578</v>
      </c>
      <c r="W424" s="276">
        <v>42578</v>
      </c>
      <c r="X424" s="276" t="s">
        <v>2</v>
      </c>
      <c r="Y424" s="274" t="s">
        <v>2245</v>
      </c>
      <c r="Z424" s="274" t="s">
        <v>2</v>
      </c>
      <c r="AA424" s="274" t="s">
        <v>2</v>
      </c>
      <c r="AB424" s="274" t="s">
        <v>2</v>
      </c>
      <c r="AC424" s="274" t="s">
        <v>1250</v>
      </c>
      <c r="AD424" s="277">
        <v>4328050</v>
      </c>
      <c r="AE424" s="276">
        <v>33933</v>
      </c>
      <c r="AF424" s="274" t="s">
        <v>2188</v>
      </c>
      <c r="AG424" s="274" t="s">
        <v>775</v>
      </c>
      <c r="AH424" s="52" t="s">
        <v>68</v>
      </c>
      <c r="AI424" s="274" t="s">
        <v>89</v>
      </c>
      <c r="AJ424" s="278" t="s">
        <v>2</v>
      </c>
      <c r="AK424" s="113" t="s">
        <v>832</v>
      </c>
      <c r="AL424" s="274" t="s">
        <v>480</v>
      </c>
      <c r="AM424" s="274" t="s">
        <v>2</v>
      </c>
      <c r="AN424" s="274" t="s">
        <v>413</v>
      </c>
      <c r="AO424" s="281" t="s">
        <v>1121</v>
      </c>
      <c r="AP424" s="226" t="s">
        <v>1249</v>
      </c>
      <c r="AQ424" s="282" t="s">
        <v>2</v>
      </c>
      <c r="AX424" s="289"/>
    </row>
    <row r="425" spans="1:50" ht="15" customHeight="1">
      <c r="B425" s="280" t="e">
        <v>#REF!</v>
      </c>
      <c r="C425" s="281"/>
      <c r="D425" s="272">
        <v>19961</v>
      </c>
      <c r="E425" s="283">
        <v>755774</v>
      </c>
      <c r="F425" s="273">
        <v>17147</v>
      </c>
      <c r="G425" s="274" t="s">
        <v>181</v>
      </c>
      <c r="H425" s="274" t="s">
        <v>417</v>
      </c>
      <c r="I425" s="274" t="s">
        <v>16</v>
      </c>
      <c r="J425" s="274" t="s">
        <v>398</v>
      </c>
      <c r="K425" s="275">
        <v>0.33333333333333331</v>
      </c>
      <c r="L425" s="275">
        <v>0.67499999999999993</v>
      </c>
      <c r="M425" s="275">
        <v>0.34166666666666662</v>
      </c>
      <c r="N425" s="275">
        <v>0.4236111111111111</v>
      </c>
      <c r="O425" s="275">
        <v>0.52083333333333337</v>
      </c>
      <c r="P425" s="275">
        <v>0.63194444444444442</v>
      </c>
      <c r="Q425" s="276">
        <v>40889</v>
      </c>
      <c r="R425" s="284" t="s">
        <v>72</v>
      </c>
      <c r="S425" s="276">
        <v>40912</v>
      </c>
      <c r="T425" s="284">
        <v>1666</v>
      </c>
      <c r="U425" s="274" t="s">
        <v>2220</v>
      </c>
      <c r="V425" s="276">
        <v>42579</v>
      </c>
      <c r="W425" s="276">
        <v>42579</v>
      </c>
      <c r="X425" s="276">
        <v>42579</v>
      </c>
      <c r="Y425" s="274" t="s">
        <v>2</v>
      </c>
      <c r="Z425" s="274" t="s">
        <v>2</v>
      </c>
      <c r="AA425" s="274" t="s">
        <v>2</v>
      </c>
      <c r="AB425" s="276" t="s">
        <v>2</v>
      </c>
      <c r="AC425" s="274" t="s">
        <v>1257</v>
      </c>
      <c r="AD425" s="274">
        <v>8270130</v>
      </c>
      <c r="AE425" s="276">
        <v>25074</v>
      </c>
      <c r="AF425" s="274" t="s">
        <v>2194</v>
      </c>
      <c r="AG425" s="274" t="s">
        <v>775</v>
      </c>
      <c r="AH425" s="276" t="s">
        <v>68</v>
      </c>
      <c r="AI425" s="274" t="s">
        <v>89</v>
      </c>
      <c r="AJ425" s="278">
        <v>23466</v>
      </c>
      <c r="AK425" s="279" t="s">
        <v>867</v>
      </c>
      <c r="AL425" s="274" t="s">
        <v>515</v>
      </c>
      <c r="AM425" s="274" t="s">
        <v>2</v>
      </c>
      <c r="AN425" s="274" t="s">
        <v>414</v>
      </c>
      <c r="AO425" s="281" t="s">
        <v>1152</v>
      </c>
      <c r="AP425" s="152" t="s">
        <v>2</v>
      </c>
      <c r="AQ425" s="282" t="s">
        <v>1249</v>
      </c>
    </row>
    <row r="426" spans="1:50" ht="15" customHeight="1">
      <c r="B426" s="280" t="e">
        <v>#REF!</v>
      </c>
      <c r="C426" s="281"/>
      <c r="D426" s="272">
        <v>24174</v>
      </c>
      <c r="E426" s="229">
        <v>795208</v>
      </c>
      <c r="F426" s="273">
        <v>17086</v>
      </c>
      <c r="G426" s="274" t="s">
        <v>224</v>
      </c>
      <c r="H426" s="274" t="s">
        <v>417</v>
      </c>
      <c r="I426" s="274" t="s">
        <v>16</v>
      </c>
      <c r="J426" s="274" t="s">
        <v>398</v>
      </c>
      <c r="K426" s="275">
        <v>0.41666666666666669</v>
      </c>
      <c r="L426" s="275">
        <v>0.7583333333333333</v>
      </c>
      <c r="M426" s="275">
        <v>0.34166666666666662</v>
      </c>
      <c r="N426" s="275">
        <v>0.4861111111111111</v>
      </c>
      <c r="O426" s="275">
        <v>0.56944444444444442</v>
      </c>
      <c r="P426" s="275">
        <v>0.65972222222222221</v>
      </c>
      <c r="Q426" s="276">
        <v>41306</v>
      </c>
      <c r="R426" s="284" t="s">
        <v>72</v>
      </c>
      <c r="S426" s="276">
        <v>41329</v>
      </c>
      <c r="T426" s="284">
        <v>1249</v>
      </c>
      <c r="U426" s="274" t="s">
        <v>2220</v>
      </c>
      <c r="V426" s="276">
        <v>42579</v>
      </c>
      <c r="W426" s="276">
        <v>42579</v>
      </c>
      <c r="X426" s="276">
        <v>42579</v>
      </c>
      <c r="Y426" s="274" t="s">
        <v>2</v>
      </c>
      <c r="Z426" s="274" t="s">
        <v>2</v>
      </c>
      <c r="AA426" s="274" t="s">
        <v>2</v>
      </c>
      <c r="AB426" s="276" t="s">
        <v>2</v>
      </c>
      <c r="AC426" s="274" t="s">
        <v>1257</v>
      </c>
      <c r="AD426" s="274">
        <v>3580090</v>
      </c>
      <c r="AE426" s="276">
        <v>30659</v>
      </c>
      <c r="AF426" s="274" t="s">
        <v>2195</v>
      </c>
      <c r="AG426" s="274" t="s">
        <v>775</v>
      </c>
      <c r="AH426" s="276" t="s">
        <v>68</v>
      </c>
      <c r="AI426" s="274" t="s">
        <v>89</v>
      </c>
      <c r="AJ426" s="278">
        <v>23467</v>
      </c>
      <c r="AK426" s="279" t="s">
        <v>907</v>
      </c>
      <c r="AL426" s="274" t="s">
        <v>556</v>
      </c>
      <c r="AM426" s="274" t="s">
        <v>2</v>
      </c>
      <c r="AN426" s="274" t="s">
        <v>414</v>
      </c>
      <c r="AO426" s="281" t="s">
        <v>2544</v>
      </c>
      <c r="AP426" s="221" t="s">
        <v>2</v>
      </c>
      <c r="AQ426" s="282" t="s">
        <v>1249</v>
      </c>
    </row>
    <row r="427" spans="1:50" ht="15" customHeight="1">
      <c r="B427" s="280" t="e">
        <v>#REF!</v>
      </c>
      <c r="C427" s="281"/>
      <c r="D427" s="272">
        <v>28096</v>
      </c>
      <c r="E427" s="229">
        <v>836299</v>
      </c>
      <c r="F427" s="273">
        <v>12128</v>
      </c>
      <c r="G427" s="274" t="s">
        <v>228</v>
      </c>
      <c r="H427" s="274" t="s">
        <v>417</v>
      </c>
      <c r="I427" s="274" t="s">
        <v>16</v>
      </c>
      <c r="J427" s="274" t="s">
        <v>398</v>
      </c>
      <c r="K427" s="275">
        <v>0.65277777777777779</v>
      </c>
      <c r="L427" s="275">
        <v>0.91666666666666663</v>
      </c>
      <c r="M427" s="275">
        <v>0.2638888888888889</v>
      </c>
      <c r="N427" s="275">
        <v>0.69444444444444453</v>
      </c>
      <c r="O427" s="275">
        <v>0.79166666666666663</v>
      </c>
      <c r="P427" s="275">
        <v>0.84722222222222221</v>
      </c>
      <c r="Q427" s="276">
        <v>41731</v>
      </c>
      <c r="R427" s="284" t="s">
        <v>72</v>
      </c>
      <c r="S427" s="276">
        <v>41760</v>
      </c>
      <c r="T427" s="284">
        <v>818</v>
      </c>
      <c r="U427" s="274" t="s">
        <v>2220</v>
      </c>
      <c r="V427" s="276">
        <v>42579</v>
      </c>
      <c r="W427" s="276">
        <v>42579</v>
      </c>
      <c r="X427" s="276">
        <v>42579</v>
      </c>
      <c r="Y427" s="274" t="s">
        <v>2</v>
      </c>
      <c r="Z427" s="274" t="s">
        <v>2</v>
      </c>
      <c r="AA427" s="274" t="s">
        <v>2</v>
      </c>
      <c r="AB427" s="276" t="s">
        <v>2</v>
      </c>
      <c r="AC427" s="274" t="s">
        <v>1257</v>
      </c>
      <c r="AD427" s="274" t="s">
        <v>2</v>
      </c>
      <c r="AE427" s="276" t="s">
        <v>2</v>
      </c>
      <c r="AF427" s="274" t="s">
        <v>2</v>
      </c>
      <c r="AG427" s="274" t="s">
        <v>775</v>
      </c>
      <c r="AH427" s="276" t="s">
        <v>68</v>
      </c>
      <c r="AI427" s="274" t="s">
        <v>89</v>
      </c>
      <c r="AJ427" s="278">
        <v>23468</v>
      </c>
      <c r="AK427" s="279" t="s">
        <v>911</v>
      </c>
      <c r="AL427" s="274" t="s">
        <v>560</v>
      </c>
      <c r="AM427" s="274" t="s">
        <v>2</v>
      </c>
      <c r="AN427" s="274" t="s">
        <v>414</v>
      </c>
      <c r="AO427" s="281" t="s">
        <v>2558</v>
      </c>
      <c r="AP427" s="221" t="s">
        <v>2</v>
      </c>
      <c r="AQ427" s="282" t="s">
        <v>1249</v>
      </c>
    </row>
    <row r="428" spans="1:50" ht="15" customHeight="1">
      <c r="B428" s="280" t="e">
        <f t="shared" ref="B428:B447" si="21">IF(B427="x","","x")</f>
        <v>#REF!</v>
      </c>
      <c r="C428" s="215"/>
      <c r="D428" s="272">
        <v>32629</v>
      </c>
      <c r="E428" s="229">
        <v>930900</v>
      </c>
      <c r="F428" s="214">
        <v>17194</v>
      </c>
      <c r="G428" s="215" t="s">
        <v>2814</v>
      </c>
      <c r="H428" s="274" t="s">
        <v>418</v>
      </c>
      <c r="I428" s="274" t="s">
        <v>9</v>
      </c>
      <c r="J428" s="215" t="s">
        <v>403</v>
      </c>
      <c r="K428" s="275">
        <v>0.65277777777777779</v>
      </c>
      <c r="L428" s="275">
        <v>0.91666666666666663</v>
      </c>
      <c r="M428" s="275">
        <v>0.2638888888888889</v>
      </c>
      <c r="N428" s="275">
        <v>0.70138888888888884</v>
      </c>
      <c r="O428" s="275">
        <v>0.77083333333333337</v>
      </c>
      <c r="P428" s="275">
        <v>0.85416666666666663</v>
      </c>
      <c r="Q428" s="216">
        <v>42529</v>
      </c>
      <c r="R428" s="284" t="str">
        <f t="shared" ref="R428" ca="1" si="22">IF(T428&lt;0,"TRN",IF(AND(T428&gt;=0,T428&lt;7),"OCP W1",IF(AND(T428&gt;=7,T428&lt;14),"OCP W2",IF(AND(T428&gt;=14,T428&lt;21),"OCP W3",IF(T428&gt;=21,"W4+")))))</f>
        <v>W4+</v>
      </c>
      <c r="S428" s="216">
        <v>42555</v>
      </c>
      <c r="T428" s="284">
        <f t="shared" ref="T428" ca="1" si="23">TODAY()-S428</f>
        <v>165</v>
      </c>
      <c r="U428" s="215" t="s">
        <v>2218</v>
      </c>
      <c r="V428" s="216">
        <v>42573</v>
      </c>
      <c r="W428" s="216">
        <v>42573</v>
      </c>
      <c r="X428" s="216">
        <v>42573</v>
      </c>
      <c r="Y428" s="215" t="s">
        <v>2869</v>
      </c>
      <c r="Z428" s="215" t="s">
        <v>2</v>
      </c>
      <c r="AA428" s="215" t="s">
        <v>2</v>
      </c>
      <c r="AB428" s="216" t="s">
        <v>2</v>
      </c>
      <c r="AC428" s="215" t="s">
        <v>2</v>
      </c>
      <c r="AD428" s="215" t="s">
        <v>2</v>
      </c>
      <c r="AE428" s="276" t="s">
        <v>2</v>
      </c>
      <c r="AF428" s="215" t="s">
        <v>2</v>
      </c>
      <c r="AG428" s="215" t="s">
        <v>775</v>
      </c>
      <c r="AH428" s="216" t="s">
        <v>68</v>
      </c>
      <c r="AI428" s="215" t="s">
        <v>89</v>
      </c>
      <c r="AJ428" s="219">
        <v>24683</v>
      </c>
      <c r="AK428" s="220" t="s">
        <v>2828</v>
      </c>
      <c r="AL428" s="215" t="s">
        <v>2851</v>
      </c>
      <c r="AM428" s="215" t="s">
        <v>2</v>
      </c>
      <c r="AN428" s="215" t="s">
        <v>414</v>
      </c>
      <c r="AO428" s="221" t="s">
        <v>2840</v>
      </c>
      <c r="AP428" s="221" t="s">
        <v>2</v>
      </c>
      <c r="AQ428" s="282" t="s">
        <v>2</v>
      </c>
    </row>
    <row r="429" spans="1:50" ht="15" customHeight="1">
      <c r="A429" s="72"/>
      <c r="B429" s="280" t="e">
        <f t="shared" si="21"/>
        <v>#REF!</v>
      </c>
      <c r="C429" s="91"/>
      <c r="D429" s="272">
        <v>19454</v>
      </c>
      <c r="E429" s="283">
        <v>750139</v>
      </c>
      <c r="F429" s="273">
        <v>12216</v>
      </c>
      <c r="G429" s="274" t="s">
        <v>105</v>
      </c>
      <c r="H429" s="274" t="s">
        <v>407</v>
      </c>
      <c r="I429" s="274" t="s">
        <v>9</v>
      </c>
      <c r="J429" s="274" t="s">
        <v>392</v>
      </c>
      <c r="K429" s="275">
        <v>0.33333333333333331</v>
      </c>
      <c r="L429" s="275">
        <v>0.67499999999999993</v>
      </c>
      <c r="M429" s="275">
        <v>0.34166666666666662</v>
      </c>
      <c r="N429" s="275">
        <v>0.3888888888888889</v>
      </c>
      <c r="O429" s="275">
        <v>0.5</v>
      </c>
      <c r="P429" s="275">
        <v>0.60416666666666663</v>
      </c>
      <c r="Q429" s="276">
        <v>40848</v>
      </c>
      <c r="R429" s="276" t="s">
        <v>72</v>
      </c>
      <c r="S429" s="276">
        <v>40871</v>
      </c>
      <c r="T429" s="284">
        <v>1708</v>
      </c>
      <c r="U429" s="274" t="s">
        <v>2216</v>
      </c>
      <c r="V429" s="276">
        <v>42579</v>
      </c>
      <c r="W429" s="276">
        <v>42578</v>
      </c>
      <c r="X429" s="276" t="s">
        <v>2</v>
      </c>
      <c r="Y429" s="274" t="s">
        <v>2245</v>
      </c>
      <c r="Z429" s="274" t="s">
        <v>2</v>
      </c>
      <c r="AA429" s="274" t="s">
        <v>2</v>
      </c>
      <c r="AB429" s="274" t="s">
        <v>2</v>
      </c>
      <c r="AC429" s="274" t="s">
        <v>2</v>
      </c>
      <c r="AD429" s="277">
        <v>8596440</v>
      </c>
      <c r="AE429" s="276">
        <v>31895</v>
      </c>
      <c r="AF429" s="274" t="s">
        <v>2194</v>
      </c>
      <c r="AG429" s="274" t="s">
        <v>775</v>
      </c>
      <c r="AH429" s="52" t="s">
        <v>68</v>
      </c>
      <c r="AI429" s="274" t="s">
        <v>89</v>
      </c>
      <c r="AJ429" s="278">
        <v>810005</v>
      </c>
      <c r="AK429" s="113" t="s">
        <v>792</v>
      </c>
      <c r="AL429" s="274" t="s">
        <v>440</v>
      </c>
      <c r="AM429" s="274" t="s">
        <v>2</v>
      </c>
      <c r="AN429" s="274" t="s">
        <v>413</v>
      </c>
      <c r="AO429" s="281" t="s">
        <v>1082</v>
      </c>
      <c r="AP429" s="226" t="s">
        <v>1249</v>
      </c>
      <c r="AQ429" s="282" t="s">
        <v>1249</v>
      </c>
      <c r="AX429" s="289"/>
    </row>
    <row r="430" spans="1:50" ht="15" customHeight="1">
      <c r="A430" s="72"/>
      <c r="B430" s="280" t="e">
        <f t="shared" si="21"/>
        <v>#REF!</v>
      </c>
      <c r="C430" s="91"/>
      <c r="D430" s="272">
        <v>19807</v>
      </c>
      <c r="E430" s="283">
        <v>754731</v>
      </c>
      <c r="F430" s="273">
        <v>12768</v>
      </c>
      <c r="G430" s="274" t="s">
        <v>110</v>
      </c>
      <c r="H430" s="274" t="s">
        <v>407</v>
      </c>
      <c r="I430" s="274" t="s">
        <v>9</v>
      </c>
      <c r="J430" s="274" t="s">
        <v>392</v>
      </c>
      <c r="K430" s="275">
        <v>0.375</v>
      </c>
      <c r="L430" s="275">
        <v>0.63888888888888895</v>
      </c>
      <c r="M430" s="275">
        <v>0.2638888888888889</v>
      </c>
      <c r="N430" s="275">
        <v>0.41666666666666669</v>
      </c>
      <c r="O430" s="275">
        <v>0.47916666666666669</v>
      </c>
      <c r="P430" s="275">
        <v>0.54861111111111105</v>
      </c>
      <c r="Q430" s="276">
        <v>40878</v>
      </c>
      <c r="R430" s="276" t="s">
        <v>72</v>
      </c>
      <c r="S430" s="276">
        <v>40901</v>
      </c>
      <c r="T430" s="284">
        <v>1678</v>
      </c>
      <c r="U430" s="274" t="s">
        <v>2216</v>
      </c>
      <c r="V430" s="276">
        <v>42579</v>
      </c>
      <c r="W430" s="276">
        <v>42578</v>
      </c>
      <c r="X430" s="276" t="s">
        <v>2</v>
      </c>
      <c r="Y430" s="274" t="s">
        <v>2245</v>
      </c>
      <c r="Z430" s="274" t="s">
        <v>2</v>
      </c>
      <c r="AA430" s="274" t="s">
        <v>2</v>
      </c>
      <c r="AB430" s="274" t="s">
        <v>2</v>
      </c>
      <c r="AC430" s="274" t="s">
        <v>2</v>
      </c>
      <c r="AD430" s="277">
        <v>5791000</v>
      </c>
      <c r="AE430" s="276">
        <v>33182</v>
      </c>
      <c r="AF430" s="274" t="s">
        <v>2191</v>
      </c>
      <c r="AG430" s="274" t="s">
        <v>775</v>
      </c>
      <c r="AH430" s="52" t="s">
        <v>68</v>
      </c>
      <c r="AI430" s="274" t="s">
        <v>89</v>
      </c>
      <c r="AJ430" s="278">
        <v>810011</v>
      </c>
      <c r="AK430" s="113" t="s">
        <v>797</v>
      </c>
      <c r="AL430" s="274" t="s">
        <v>445</v>
      </c>
      <c r="AM430" s="274" t="s">
        <v>2</v>
      </c>
      <c r="AN430" s="274" t="s">
        <v>413</v>
      </c>
      <c r="AO430" s="281" t="s">
        <v>1087</v>
      </c>
      <c r="AP430" s="226" t="s">
        <v>1249</v>
      </c>
      <c r="AQ430" s="282" t="s">
        <v>1249</v>
      </c>
      <c r="AX430" s="289"/>
    </row>
    <row r="431" spans="1:50" ht="15" customHeight="1">
      <c r="A431" s="72"/>
      <c r="B431" s="280" t="e">
        <f t="shared" si="21"/>
        <v>#REF!</v>
      </c>
      <c r="C431" s="91"/>
      <c r="D431" s="272">
        <v>22497</v>
      </c>
      <c r="E431" s="283">
        <v>773775</v>
      </c>
      <c r="F431" s="273">
        <v>12374</v>
      </c>
      <c r="G431" s="274" t="s">
        <v>102</v>
      </c>
      <c r="H431" s="274" t="s">
        <v>410</v>
      </c>
      <c r="I431" s="274" t="s">
        <v>9</v>
      </c>
      <c r="J431" s="274" t="s">
        <v>392</v>
      </c>
      <c r="K431" s="275">
        <v>0.40833333333333338</v>
      </c>
      <c r="L431" s="275">
        <v>0.75</v>
      </c>
      <c r="M431" s="275">
        <v>0.34166666666666662</v>
      </c>
      <c r="N431" s="275">
        <v>0.4513888888888889</v>
      </c>
      <c r="O431" s="275">
        <v>0.54166666666666663</v>
      </c>
      <c r="P431" s="275">
        <v>0.6875</v>
      </c>
      <c r="Q431" s="276">
        <v>41102</v>
      </c>
      <c r="R431" s="276" t="s">
        <v>72</v>
      </c>
      <c r="S431" s="276">
        <v>41125</v>
      </c>
      <c r="T431" s="284">
        <v>1454</v>
      </c>
      <c r="U431" s="274" t="s">
        <v>2216</v>
      </c>
      <c r="V431" s="276">
        <v>42579</v>
      </c>
      <c r="W431" s="276">
        <v>42578</v>
      </c>
      <c r="X431" s="276" t="s">
        <v>2</v>
      </c>
      <c r="Y431" s="274" t="s">
        <v>2245</v>
      </c>
      <c r="Z431" s="274" t="s">
        <v>2</v>
      </c>
      <c r="AA431" s="274" t="s">
        <v>2</v>
      </c>
      <c r="AB431" s="274" t="s">
        <v>2</v>
      </c>
      <c r="AC431" s="274" t="s">
        <v>2</v>
      </c>
      <c r="AD431" s="277">
        <v>9351390</v>
      </c>
      <c r="AE431" s="276">
        <v>34488</v>
      </c>
      <c r="AF431" s="274" t="s">
        <v>2190</v>
      </c>
      <c r="AG431" s="274" t="s">
        <v>775</v>
      </c>
      <c r="AH431" s="52" t="s">
        <v>68</v>
      </c>
      <c r="AI431" s="274" t="s">
        <v>89</v>
      </c>
      <c r="AJ431" s="278">
        <v>810027</v>
      </c>
      <c r="AK431" s="113" t="s">
        <v>789</v>
      </c>
      <c r="AL431" s="274" t="s">
        <v>437</v>
      </c>
      <c r="AM431" s="274" t="s">
        <v>2</v>
      </c>
      <c r="AN431" s="274" t="s">
        <v>413</v>
      </c>
      <c r="AO431" s="281" t="s">
        <v>1079</v>
      </c>
      <c r="AP431" s="226" t="s">
        <v>1249</v>
      </c>
      <c r="AQ431" s="282" t="s">
        <v>1249</v>
      </c>
      <c r="AX431" s="289"/>
    </row>
    <row r="432" spans="1:50" ht="15" customHeight="1">
      <c r="A432" s="72"/>
      <c r="B432" s="280" t="e">
        <f t="shared" si="21"/>
        <v>#REF!</v>
      </c>
      <c r="C432" s="91"/>
      <c r="D432" s="272">
        <v>19673</v>
      </c>
      <c r="E432" s="283">
        <v>751838</v>
      </c>
      <c r="F432" s="273">
        <v>12348</v>
      </c>
      <c r="G432" s="274" t="s">
        <v>94</v>
      </c>
      <c r="H432" s="274" t="s">
        <v>407</v>
      </c>
      <c r="I432" s="274" t="s">
        <v>9</v>
      </c>
      <c r="J432" s="274" t="s">
        <v>392</v>
      </c>
      <c r="K432" s="275">
        <v>0.57500000000000007</v>
      </c>
      <c r="L432" s="275">
        <v>0.91666666666666663</v>
      </c>
      <c r="M432" s="275">
        <v>0.34166666666666662</v>
      </c>
      <c r="N432" s="275">
        <v>0.61805555555555558</v>
      </c>
      <c r="O432" s="275">
        <v>0.66666666666666663</v>
      </c>
      <c r="P432" s="275">
        <v>0.84027777777777779</v>
      </c>
      <c r="Q432" s="276">
        <v>40865</v>
      </c>
      <c r="R432" s="276" t="s">
        <v>72</v>
      </c>
      <c r="S432" s="276">
        <v>40888</v>
      </c>
      <c r="T432" s="284">
        <v>1691</v>
      </c>
      <c r="U432" s="274" t="s">
        <v>2216</v>
      </c>
      <c r="V432" s="276">
        <v>42579</v>
      </c>
      <c r="W432" s="276">
        <v>42578</v>
      </c>
      <c r="X432" s="276" t="s">
        <v>2</v>
      </c>
      <c r="Y432" s="274" t="s">
        <v>2245</v>
      </c>
      <c r="Z432" s="274" t="s">
        <v>2</v>
      </c>
      <c r="AA432" s="274" t="s">
        <v>2</v>
      </c>
      <c r="AB432" s="274" t="s">
        <v>2</v>
      </c>
      <c r="AC432" s="274" t="s">
        <v>2</v>
      </c>
      <c r="AD432" s="277">
        <v>3380090</v>
      </c>
      <c r="AE432" s="276">
        <v>32230</v>
      </c>
      <c r="AF432" s="274" t="s">
        <v>2195</v>
      </c>
      <c r="AG432" s="274" t="s">
        <v>775</v>
      </c>
      <c r="AH432" s="52" t="s">
        <v>68</v>
      </c>
      <c r="AI432" s="274" t="s">
        <v>89</v>
      </c>
      <c r="AJ432" s="278">
        <v>810023</v>
      </c>
      <c r="AK432" s="113" t="s">
        <v>781</v>
      </c>
      <c r="AL432" s="274" t="s">
        <v>429</v>
      </c>
      <c r="AM432" s="274" t="s">
        <v>2</v>
      </c>
      <c r="AN432" s="274" t="s">
        <v>413</v>
      </c>
      <c r="AO432" s="281" t="s">
        <v>1071</v>
      </c>
      <c r="AP432" s="226" t="s">
        <v>1249</v>
      </c>
      <c r="AQ432" s="282" t="s">
        <v>1249</v>
      </c>
      <c r="AX432" s="289"/>
    </row>
    <row r="433" spans="1:50" ht="15" customHeight="1">
      <c r="A433" s="72"/>
      <c r="B433" s="280" t="e">
        <f t="shared" si="21"/>
        <v>#REF!</v>
      </c>
      <c r="C433" s="91"/>
      <c r="D433" s="272">
        <v>15617</v>
      </c>
      <c r="E433" s="283">
        <v>720880</v>
      </c>
      <c r="F433" s="273">
        <v>12610</v>
      </c>
      <c r="G433" s="274" t="s">
        <v>95</v>
      </c>
      <c r="H433" s="274" t="s">
        <v>407</v>
      </c>
      <c r="I433" s="274" t="s">
        <v>9</v>
      </c>
      <c r="J433" s="274" t="s">
        <v>392</v>
      </c>
      <c r="K433" s="275">
        <v>0.57500000000000007</v>
      </c>
      <c r="L433" s="275">
        <v>0.91666666666666663</v>
      </c>
      <c r="M433" s="275">
        <v>0.34166666666666662</v>
      </c>
      <c r="N433" s="275">
        <v>0.625</v>
      </c>
      <c r="O433" s="275">
        <v>0.70138888888888884</v>
      </c>
      <c r="P433" s="275">
        <v>0.85416666666666663</v>
      </c>
      <c r="Q433" s="276">
        <v>40603</v>
      </c>
      <c r="R433" s="276" t="s">
        <v>72</v>
      </c>
      <c r="S433" s="276">
        <v>40626</v>
      </c>
      <c r="T433" s="284">
        <v>1953</v>
      </c>
      <c r="U433" s="274" t="s">
        <v>2216</v>
      </c>
      <c r="V433" s="276">
        <v>42579</v>
      </c>
      <c r="W433" s="276">
        <v>42578</v>
      </c>
      <c r="X433" s="276" t="s">
        <v>2</v>
      </c>
      <c r="Y433" s="274" t="s">
        <v>2245</v>
      </c>
      <c r="Z433" s="274" t="s">
        <v>2</v>
      </c>
      <c r="AA433" s="274" t="s">
        <v>2</v>
      </c>
      <c r="AB433" s="274" t="s">
        <v>2</v>
      </c>
      <c r="AC433" s="274" t="s">
        <v>2</v>
      </c>
      <c r="AD433" s="277">
        <v>8121290</v>
      </c>
      <c r="AE433" s="276">
        <v>33093</v>
      </c>
      <c r="AF433" s="274" t="s">
        <v>2194</v>
      </c>
      <c r="AG433" s="274" t="s">
        <v>775</v>
      </c>
      <c r="AH433" s="52" t="s">
        <v>68</v>
      </c>
      <c r="AI433" s="274" t="s">
        <v>89</v>
      </c>
      <c r="AJ433" s="278">
        <v>810026</v>
      </c>
      <c r="AK433" s="113" t="s">
        <v>782</v>
      </c>
      <c r="AL433" s="274" t="s">
        <v>430</v>
      </c>
      <c r="AM433" s="274" t="s">
        <v>2</v>
      </c>
      <c r="AN433" s="274" t="s">
        <v>413</v>
      </c>
      <c r="AO433" s="281" t="s">
        <v>1072</v>
      </c>
      <c r="AP433" s="226" t="s">
        <v>1249</v>
      </c>
      <c r="AQ433" s="282" t="s">
        <v>1249</v>
      </c>
      <c r="AX433" s="289"/>
    </row>
    <row r="434" spans="1:50" ht="15" customHeight="1">
      <c r="A434" s="90"/>
      <c r="B434" s="280" t="e">
        <f t="shared" si="21"/>
        <v>#REF!</v>
      </c>
      <c r="C434" s="64"/>
      <c r="D434" s="272">
        <v>17820</v>
      </c>
      <c r="E434" s="312">
        <v>732334</v>
      </c>
      <c r="F434" s="313">
        <v>17084</v>
      </c>
      <c r="G434" s="314" t="s">
        <v>132</v>
      </c>
      <c r="H434" s="314" t="s">
        <v>410</v>
      </c>
      <c r="I434" s="314" t="s">
        <v>9</v>
      </c>
      <c r="J434" s="314" t="s">
        <v>393</v>
      </c>
      <c r="K434" s="275">
        <v>0.41666666666666669</v>
      </c>
      <c r="L434" s="275">
        <v>0.68055555555555547</v>
      </c>
      <c r="M434" s="275">
        <v>0.2638888888888889</v>
      </c>
      <c r="N434" s="275">
        <v>0.46527777777777773</v>
      </c>
      <c r="O434" s="275">
        <v>0.54166666666666663</v>
      </c>
      <c r="P434" s="275">
        <v>0.63194444444444442</v>
      </c>
      <c r="Q434" s="276">
        <v>40711</v>
      </c>
      <c r="R434" s="284" t="s">
        <v>72</v>
      </c>
      <c r="S434" s="276">
        <v>40734</v>
      </c>
      <c r="T434" s="284">
        <v>1849</v>
      </c>
      <c r="U434" s="314" t="s">
        <v>2216</v>
      </c>
      <c r="V434" s="276">
        <v>42584</v>
      </c>
      <c r="W434" s="276">
        <v>42584</v>
      </c>
      <c r="X434" s="276" t="s">
        <v>2</v>
      </c>
      <c r="Y434" s="314" t="s">
        <v>2245</v>
      </c>
      <c r="Z434" s="314" t="s">
        <v>2</v>
      </c>
      <c r="AA434" s="314" t="s">
        <v>2</v>
      </c>
      <c r="AB434" s="276" t="s">
        <v>2</v>
      </c>
      <c r="AC434" s="314" t="s">
        <v>2</v>
      </c>
      <c r="AD434" s="314" t="s">
        <v>2</v>
      </c>
      <c r="AW434" s="64"/>
    </row>
    <row r="435" spans="1:50" ht="15" customHeight="1">
      <c r="B435" s="280" t="e">
        <f t="shared" si="21"/>
        <v>#REF!</v>
      </c>
      <c r="C435" s="64"/>
      <c r="D435" s="272">
        <v>29890</v>
      </c>
      <c r="E435" s="312">
        <v>868206</v>
      </c>
      <c r="F435" s="313">
        <v>17076</v>
      </c>
      <c r="G435" s="314" t="s">
        <v>259</v>
      </c>
      <c r="H435" s="314" t="s">
        <v>416</v>
      </c>
      <c r="I435" s="314" t="s">
        <v>9</v>
      </c>
      <c r="J435" s="314" t="s">
        <v>398</v>
      </c>
      <c r="K435" s="275">
        <v>0.375</v>
      </c>
      <c r="L435" s="275">
        <v>0.63888888888888895</v>
      </c>
      <c r="M435" s="275">
        <v>0.2638888888888889</v>
      </c>
      <c r="N435" s="275">
        <v>0.41666666666666669</v>
      </c>
      <c r="O435" s="275">
        <v>0.50694444444444442</v>
      </c>
      <c r="P435" s="275">
        <v>0.59027777777777779</v>
      </c>
      <c r="Q435" s="276">
        <v>41983</v>
      </c>
      <c r="R435" s="284" t="s">
        <v>72</v>
      </c>
      <c r="S435" s="276">
        <v>42009</v>
      </c>
      <c r="T435" s="284">
        <v>574</v>
      </c>
      <c r="U435" s="314" t="s">
        <v>2218</v>
      </c>
      <c r="V435" s="276">
        <v>42594</v>
      </c>
      <c r="W435" s="276">
        <v>42594</v>
      </c>
      <c r="X435" s="227">
        <v>42594</v>
      </c>
      <c r="Y435" s="314" t="s">
        <v>2246</v>
      </c>
      <c r="Z435" s="314" t="s">
        <v>2</v>
      </c>
      <c r="AA435" s="314" t="s">
        <v>2</v>
      </c>
      <c r="AB435" s="276" t="s">
        <v>2</v>
      </c>
      <c r="AC435" s="314" t="s">
        <v>1257</v>
      </c>
      <c r="AD435" s="277">
        <v>2677000</v>
      </c>
      <c r="AE435" s="276">
        <v>29822</v>
      </c>
      <c r="AF435" s="314" t="s">
        <v>2189</v>
      </c>
      <c r="AG435" s="314" t="s">
        <v>775</v>
      </c>
      <c r="AH435" s="314" t="s">
        <v>68</v>
      </c>
      <c r="AI435" s="314" t="s">
        <v>89</v>
      </c>
      <c r="AJ435" s="281" t="s">
        <v>2</v>
      </c>
      <c r="AK435" s="281" t="s">
        <v>819</v>
      </c>
      <c r="AL435" s="281" t="s">
        <v>467</v>
      </c>
      <c r="AM435" s="281" t="s">
        <v>2</v>
      </c>
      <c r="AN435" s="281" t="s">
        <v>413</v>
      </c>
      <c r="AO435" s="281" t="s">
        <v>1109</v>
      </c>
      <c r="AP435" s="281" t="s">
        <v>2</v>
      </c>
      <c r="AQ435" s="282" t="s">
        <v>1249</v>
      </c>
      <c r="AW435" s="64"/>
    </row>
    <row r="436" spans="1:50" ht="15" customHeight="1">
      <c r="B436" s="280" t="e">
        <f t="shared" si="21"/>
        <v>#REF!</v>
      </c>
      <c r="C436" s="64"/>
      <c r="D436" s="272">
        <v>31398</v>
      </c>
      <c r="E436" s="312">
        <v>909811</v>
      </c>
      <c r="F436" s="313">
        <v>12281</v>
      </c>
      <c r="G436" s="314" t="s">
        <v>2410</v>
      </c>
      <c r="H436" s="314" t="s">
        <v>418</v>
      </c>
      <c r="I436" s="314" t="s">
        <v>9</v>
      </c>
      <c r="J436" s="314" t="s">
        <v>398</v>
      </c>
      <c r="K436" s="275">
        <v>0.375</v>
      </c>
      <c r="L436" s="275">
        <v>0.63888888888888895</v>
      </c>
      <c r="M436" s="275">
        <v>0.2638888888888889</v>
      </c>
      <c r="N436" s="275">
        <v>0.4236111111111111</v>
      </c>
      <c r="O436" s="275">
        <v>0.5</v>
      </c>
      <c r="P436" s="275">
        <v>0.56944444444444442</v>
      </c>
      <c r="Q436" s="276">
        <v>42340</v>
      </c>
      <c r="R436" s="284" t="s">
        <v>72</v>
      </c>
      <c r="S436" s="276">
        <v>42362</v>
      </c>
      <c r="T436" s="284">
        <v>221</v>
      </c>
      <c r="U436" s="314" t="s">
        <v>2218</v>
      </c>
      <c r="V436" s="276">
        <v>42600</v>
      </c>
      <c r="W436" s="276">
        <v>42599</v>
      </c>
      <c r="X436" s="276">
        <v>42599</v>
      </c>
      <c r="Y436" s="314" t="s">
        <v>2246</v>
      </c>
      <c r="Z436" s="314" t="s">
        <v>2</v>
      </c>
      <c r="AA436" s="314" t="s">
        <v>2</v>
      </c>
      <c r="AB436" s="276" t="s">
        <v>2</v>
      </c>
      <c r="AC436" s="314" t="s">
        <v>1257</v>
      </c>
      <c r="AD436" s="277" t="s">
        <v>754</v>
      </c>
      <c r="AE436" s="276">
        <v>33833</v>
      </c>
      <c r="AF436" s="314" t="s">
        <v>2193</v>
      </c>
      <c r="AG436" s="314" t="s">
        <v>775</v>
      </c>
      <c r="AH436" s="314" t="s">
        <v>68</v>
      </c>
      <c r="AI436" s="314" t="s">
        <v>89</v>
      </c>
      <c r="AJ436" s="281">
        <v>810252</v>
      </c>
      <c r="AK436" s="316" t="s">
        <v>942</v>
      </c>
      <c r="AL436" s="316" t="s">
        <v>591</v>
      </c>
      <c r="AM436" s="316" t="s">
        <v>2</v>
      </c>
      <c r="AN436" s="316" t="s">
        <v>414</v>
      </c>
      <c r="AO436" s="316" t="s">
        <v>2540</v>
      </c>
      <c r="AP436" s="316" t="s">
        <v>2</v>
      </c>
      <c r="AQ436" s="282" t="s">
        <v>2</v>
      </c>
      <c r="AW436" s="64"/>
    </row>
    <row r="437" spans="1:50" ht="15" customHeight="1">
      <c r="B437" s="280" t="e">
        <f t="shared" si="21"/>
        <v>#REF!</v>
      </c>
      <c r="C437" s="64"/>
      <c r="D437" s="272">
        <v>22339</v>
      </c>
      <c r="E437" s="312">
        <v>772747</v>
      </c>
      <c r="F437" s="313">
        <v>12849</v>
      </c>
      <c r="G437" s="314" t="s">
        <v>195</v>
      </c>
      <c r="H437" s="314" t="s">
        <v>417</v>
      </c>
      <c r="I437" s="314" t="s">
        <v>9</v>
      </c>
      <c r="J437" s="314" t="s">
        <v>398</v>
      </c>
      <c r="K437" s="275">
        <v>0.41666666666666669</v>
      </c>
      <c r="L437" s="275">
        <v>0.7583333333333333</v>
      </c>
      <c r="M437" s="275">
        <v>0.34166666666666662</v>
      </c>
      <c r="N437" s="275">
        <v>0.45833333333333331</v>
      </c>
      <c r="O437" s="275">
        <v>0.54166666666666663</v>
      </c>
      <c r="P437" s="275">
        <v>0.65277777777777779</v>
      </c>
      <c r="Q437" s="276">
        <v>41092</v>
      </c>
      <c r="R437" s="284" t="s">
        <v>72</v>
      </c>
      <c r="S437" s="276">
        <v>41115</v>
      </c>
      <c r="T437" s="284">
        <v>1468</v>
      </c>
      <c r="U437" s="314" t="s">
        <v>2218</v>
      </c>
      <c r="V437" s="276">
        <v>42587</v>
      </c>
      <c r="W437" s="276">
        <v>42587</v>
      </c>
      <c r="X437" s="276" t="s">
        <v>2</v>
      </c>
      <c r="Y437" s="314" t="s">
        <v>2245</v>
      </c>
      <c r="Z437" s="314" t="s">
        <v>2</v>
      </c>
      <c r="AA437" s="314" t="s">
        <v>2</v>
      </c>
      <c r="AB437" s="276" t="s">
        <v>2</v>
      </c>
      <c r="AC437" s="314" t="s">
        <v>2</v>
      </c>
      <c r="AD437" s="277" t="s">
        <v>2494</v>
      </c>
      <c r="AE437" s="276">
        <v>30292</v>
      </c>
      <c r="AF437" s="314" t="s">
        <v>2188</v>
      </c>
      <c r="AG437" s="314" t="s">
        <v>775</v>
      </c>
      <c r="AH437" s="314" t="s">
        <v>68</v>
      </c>
      <c r="AI437" s="314" t="s">
        <v>89</v>
      </c>
      <c r="AJ437" s="281">
        <v>24203</v>
      </c>
      <c r="AK437" s="316" t="s">
        <v>2434</v>
      </c>
      <c r="AL437" s="316" t="s">
        <v>2459</v>
      </c>
      <c r="AM437" s="316" t="s">
        <v>2</v>
      </c>
      <c r="AN437" s="316" t="s">
        <v>414</v>
      </c>
      <c r="AO437" s="316" t="s">
        <v>2480</v>
      </c>
      <c r="AP437" s="316" t="s">
        <v>2</v>
      </c>
      <c r="AQ437" s="282" t="s">
        <v>2</v>
      </c>
      <c r="AW437" s="64"/>
    </row>
    <row r="438" spans="1:50" ht="15" customHeight="1">
      <c r="B438" s="280" t="e">
        <f t="shared" si="21"/>
        <v>#REF!</v>
      </c>
      <c r="C438" s="64"/>
      <c r="D438" s="272">
        <v>30170</v>
      </c>
      <c r="E438" s="312">
        <v>873175</v>
      </c>
      <c r="F438" s="313">
        <v>12669</v>
      </c>
      <c r="G438" s="314" t="s">
        <v>299</v>
      </c>
      <c r="H438" s="314" t="s">
        <v>420</v>
      </c>
      <c r="I438" s="314" t="s">
        <v>9</v>
      </c>
      <c r="J438" s="314" t="s">
        <v>398</v>
      </c>
      <c r="K438" s="275">
        <v>0.56944444444444442</v>
      </c>
      <c r="L438" s="275">
        <v>0.83333333333333337</v>
      </c>
      <c r="M438" s="275">
        <v>0.2638888888888889</v>
      </c>
      <c r="N438" s="275">
        <v>0.61805555555555558</v>
      </c>
      <c r="O438" s="275">
        <v>0.68055555555555547</v>
      </c>
      <c r="P438" s="275">
        <v>0.77777777777777779</v>
      </c>
      <c r="Q438" s="276">
        <v>42044</v>
      </c>
      <c r="R438" s="284" t="s">
        <v>72</v>
      </c>
      <c r="S438" s="276">
        <v>42068</v>
      </c>
      <c r="T438" s="284">
        <v>515</v>
      </c>
      <c r="U438" s="314" t="s">
        <v>2218</v>
      </c>
      <c r="V438" s="276">
        <v>42584</v>
      </c>
      <c r="W438" s="276">
        <v>42584</v>
      </c>
      <c r="X438" s="276" t="s">
        <v>2</v>
      </c>
      <c r="Y438" s="314" t="s">
        <v>2246</v>
      </c>
      <c r="Z438" s="314" t="s">
        <v>2</v>
      </c>
      <c r="AA438" s="314" t="s">
        <v>2</v>
      </c>
      <c r="AB438" s="276" t="s">
        <v>2</v>
      </c>
      <c r="AC438" s="314" t="s">
        <v>1257</v>
      </c>
      <c r="AD438" s="314">
        <v>3678050</v>
      </c>
      <c r="AE438" s="276">
        <v>31363</v>
      </c>
      <c r="AF438" s="314" t="s">
        <v>2195</v>
      </c>
      <c r="AG438" s="314" t="s">
        <v>775</v>
      </c>
      <c r="AH438" s="314" t="s">
        <v>68</v>
      </c>
      <c r="AI438" s="314" t="s">
        <v>89</v>
      </c>
      <c r="AJ438" s="281">
        <v>810112</v>
      </c>
      <c r="AK438" s="314" t="s">
        <v>2855</v>
      </c>
      <c r="AL438" s="314" t="s">
        <v>528</v>
      </c>
      <c r="AM438" s="314" t="s">
        <v>2</v>
      </c>
      <c r="AN438" s="314" t="s">
        <v>414</v>
      </c>
      <c r="AO438" s="314" t="s">
        <v>2518</v>
      </c>
      <c r="AP438" s="314" t="s">
        <v>2</v>
      </c>
      <c r="AQ438" s="282" t="s">
        <v>2</v>
      </c>
      <c r="AW438" s="64"/>
    </row>
    <row r="439" spans="1:50" ht="15" customHeight="1">
      <c r="B439" s="280" t="e">
        <f t="shared" si="21"/>
        <v>#REF!</v>
      </c>
      <c r="C439" s="64"/>
      <c r="D439" s="272">
        <v>29845</v>
      </c>
      <c r="E439" s="312">
        <v>868160</v>
      </c>
      <c r="F439" s="313">
        <v>17066</v>
      </c>
      <c r="G439" s="314" t="s">
        <v>242</v>
      </c>
      <c r="H439" s="314" t="s">
        <v>420</v>
      </c>
      <c r="I439" s="314" t="s">
        <v>9</v>
      </c>
      <c r="J439" s="314" t="s">
        <v>398</v>
      </c>
      <c r="K439" s="275">
        <v>0.59722222222222221</v>
      </c>
      <c r="L439" s="275">
        <v>0.86111111111111116</v>
      </c>
      <c r="M439" s="275">
        <v>0.2638888888888889</v>
      </c>
      <c r="N439" s="275">
        <v>0.65277777777777779</v>
      </c>
      <c r="O439" s="275">
        <v>0.70138888888888884</v>
      </c>
      <c r="P439" s="275">
        <v>0.80555555555555547</v>
      </c>
      <c r="Q439" s="276">
        <v>41983</v>
      </c>
      <c r="R439" s="284" t="s">
        <v>72</v>
      </c>
      <c r="S439" s="276">
        <v>42009</v>
      </c>
      <c r="T439" s="284">
        <v>574</v>
      </c>
      <c r="U439" s="314" t="s">
        <v>2218</v>
      </c>
      <c r="V439" s="276">
        <v>42592</v>
      </c>
      <c r="W439" s="276">
        <v>42592</v>
      </c>
      <c r="X439" s="276" t="s">
        <v>2</v>
      </c>
      <c r="Y439" s="314" t="s">
        <v>2246</v>
      </c>
      <c r="Z439" s="314" t="s">
        <v>2</v>
      </c>
      <c r="AA439" s="314" t="s">
        <v>2</v>
      </c>
      <c r="AB439" s="276" t="s">
        <v>2</v>
      </c>
      <c r="AC439" s="314" t="s">
        <v>1257</v>
      </c>
      <c r="AD439" s="277" t="s">
        <v>759</v>
      </c>
      <c r="AE439" s="276">
        <v>34886</v>
      </c>
      <c r="AF439" s="314" t="s">
        <v>2188</v>
      </c>
      <c r="AG439" s="314" t="s">
        <v>775</v>
      </c>
      <c r="AH439" s="314" t="s">
        <v>68</v>
      </c>
      <c r="AI439" s="314" t="s">
        <v>89</v>
      </c>
      <c r="AJ439" s="281" t="s">
        <v>2</v>
      </c>
      <c r="AK439" s="316" t="s">
        <v>979</v>
      </c>
      <c r="AL439" s="316" t="s">
        <v>627</v>
      </c>
      <c r="AM439" s="316" t="s">
        <v>2</v>
      </c>
      <c r="AN439" s="316" t="s">
        <v>413</v>
      </c>
      <c r="AO439" s="316" t="s">
        <v>2595</v>
      </c>
      <c r="AP439" s="316" t="s">
        <v>1249</v>
      </c>
      <c r="AQ439" s="282" t="s">
        <v>2</v>
      </c>
      <c r="AW439" s="64"/>
    </row>
    <row r="440" spans="1:50" ht="15" customHeight="1">
      <c r="B440" s="280" t="e">
        <f t="shared" si="21"/>
        <v>#REF!</v>
      </c>
      <c r="C440" s="64"/>
      <c r="D440" s="285">
        <v>32630</v>
      </c>
      <c r="E440" s="312">
        <v>930901</v>
      </c>
      <c r="F440" s="313">
        <v>17195</v>
      </c>
      <c r="G440" s="314" t="s">
        <v>2815</v>
      </c>
      <c r="H440" s="314" t="s">
        <v>420</v>
      </c>
      <c r="I440" s="314" t="s">
        <v>9</v>
      </c>
      <c r="J440" s="314" t="s">
        <v>398</v>
      </c>
      <c r="K440" s="275">
        <v>0.65277777777777779</v>
      </c>
      <c r="L440" s="275">
        <v>0.91666666666666663</v>
      </c>
      <c r="M440" s="275">
        <v>0.2638888888888889</v>
      </c>
      <c r="N440" s="275">
        <v>0.70833333333333337</v>
      </c>
      <c r="O440" s="275">
        <v>0.77777777777777779</v>
      </c>
      <c r="P440" s="275">
        <v>0.84722222222222221</v>
      </c>
      <c r="Q440" s="276">
        <v>42529</v>
      </c>
      <c r="R440" s="284" t="s">
        <v>72</v>
      </c>
      <c r="S440" s="276">
        <v>42555</v>
      </c>
      <c r="T440" s="284">
        <v>28</v>
      </c>
      <c r="U440" s="314" t="s">
        <v>2218</v>
      </c>
      <c r="V440" s="276">
        <v>42585</v>
      </c>
      <c r="W440" s="276">
        <v>42585</v>
      </c>
      <c r="X440" s="276" t="s">
        <v>2</v>
      </c>
      <c r="Y440" s="314" t="s">
        <v>2245</v>
      </c>
      <c r="Z440" s="314" t="s">
        <v>2</v>
      </c>
      <c r="AA440" s="314" t="s">
        <v>2</v>
      </c>
      <c r="AB440" s="276" t="s">
        <v>2</v>
      </c>
      <c r="AC440" s="314" t="s">
        <v>2</v>
      </c>
      <c r="AD440" s="314" t="s">
        <v>742</v>
      </c>
      <c r="AE440" s="276">
        <v>32477</v>
      </c>
      <c r="AF440" s="314" t="s">
        <v>2188</v>
      </c>
      <c r="AG440" s="314" t="s">
        <v>775</v>
      </c>
      <c r="AH440" s="314" t="s">
        <v>68</v>
      </c>
      <c r="AI440" s="314" t="s">
        <v>89</v>
      </c>
      <c r="AJ440" s="246">
        <v>810241</v>
      </c>
      <c r="AK440" s="314" t="s">
        <v>925</v>
      </c>
      <c r="AL440" s="314" t="s">
        <v>574</v>
      </c>
      <c r="AM440" s="314" t="s">
        <v>2</v>
      </c>
      <c r="AN440" s="314" t="s">
        <v>414</v>
      </c>
      <c r="AO440" s="314" t="s">
        <v>2554</v>
      </c>
      <c r="AP440" s="314" t="s">
        <v>2</v>
      </c>
      <c r="AQ440" s="282" t="s">
        <v>2</v>
      </c>
      <c r="AW440" s="64"/>
    </row>
    <row r="441" spans="1:50" ht="15" customHeight="1">
      <c r="B441" s="280" t="e">
        <f t="shared" si="21"/>
        <v>#REF!</v>
      </c>
      <c r="C441" s="64"/>
      <c r="D441" s="272">
        <v>12196</v>
      </c>
      <c r="E441" s="315">
        <v>689447</v>
      </c>
      <c r="F441" s="313">
        <v>12133</v>
      </c>
      <c r="G441" s="314" t="s">
        <v>281</v>
      </c>
      <c r="H441" s="314" t="s">
        <v>424</v>
      </c>
      <c r="I441" s="314" t="s">
        <v>9</v>
      </c>
      <c r="J441" s="314" t="s">
        <v>401</v>
      </c>
      <c r="K441" s="275">
        <v>0.29166666666666669</v>
      </c>
      <c r="L441" s="275">
        <v>0.58333333333333337</v>
      </c>
      <c r="M441" s="275">
        <v>0.29166666666666669</v>
      </c>
      <c r="N441" s="275" t="s">
        <v>2</v>
      </c>
      <c r="O441" s="275" t="s">
        <v>2</v>
      </c>
      <c r="P441" s="275" t="s">
        <v>2</v>
      </c>
      <c r="Q441" s="276">
        <v>40218</v>
      </c>
      <c r="R441" s="284" t="s">
        <v>72</v>
      </c>
      <c r="S441" s="276">
        <v>40241</v>
      </c>
      <c r="T441" s="284">
        <v>2342</v>
      </c>
      <c r="U441" s="314" t="s">
        <v>2217</v>
      </c>
      <c r="V441" s="276">
        <v>42591</v>
      </c>
      <c r="W441" s="276">
        <v>42590</v>
      </c>
      <c r="X441" s="276" t="s">
        <v>2</v>
      </c>
      <c r="Y441" s="314" t="s">
        <v>2245</v>
      </c>
      <c r="Z441" s="314" t="s">
        <v>2</v>
      </c>
      <c r="AA441" s="314" t="s">
        <v>2</v>
      </c>
      <c r="AB441" s="276" t="s">
        <v>2</v>
      </c>
      <c r="AC441" s="314" t="s">
        <v>2</v>
      </c>
      <c r="AD441" s="277" t="s">
        <v>2</v>
      </c>
      <c r="AE441" s="276" t="s">
        <v>2</v>
      </c>
      <c r="AF441" s="314" t="s">
        <v>2</v>
      </c>
      <c r="AG441" s="314" t="s">
        <v>775</v>
      </c>
      <c r="AH441" s="314" t="s">
        <v>68</v>
      </c>
      <c r="AI441" s="314" t="s">
        <v>89</v>
      </c>
      <c r="AJ441" s="281">
        <v>24675</v>
      </c>
      <c r="AK441" s="316" t="s">
        <v>2824</v>
      </c>
      <c r="AL441" s="316" t="s">
        <v>2846</v>
      </c>
      <c r="AM441" s="316" t="s">
        <v>2</v>
      </c>
      <c r="AN441" s="316" t="s">
        <v>414</v>
      </c>
      <c r="AO441" s="316" t="s">
        <v>2835</v>
      </c>
      <c r="AP441" s="316" t="s">
        <v>2</v>
      </c>
      <c r="AQ441" s="282" t="s">
        <v>2</v>
      </c>
      <c r="AW441" s="64"/>
    </row>
    <row r="442" spans="1:50" ht="15" customHeight="1">
      <c r="B442" s="280" t="e">
        <f t="shared" si="21"/>
        <v>#REF!</v>
      </c>
      <c r="C442" s="64"/>
      <c r="D442" s="272">
        <v>29887</v>
      </c>
      <c r="E442" s="315">
        <v>868203</v>
      </c>
      <c r="F442" s="313">
        <v>17049</v>
      </c>
      <c r="G442" s="314" t="s">
        <v>336</v>
      </c>
      <c r="H442" s="314" t="s">
        <v>418</v>
      </c>
      <c r="I442" s="314" t="s">
        <v>9</v>
      </c>
      <c r="J442" s="314" t="s">
        <v>403</v>
      </c>
      <c r="K442" s="275">
        <v>0.33333333333333331</v>
      </c>
      <c r="L442" s="275">
        <v>0.59722222222222221</v>
      </c>
      <c r="M442" s="275">
        <v>0.2638888888888889</v>
      </c>
      <c r="N442" s="275">
        <v>0.38194444444444442</v>
      </c>
      <c r="O442" s="275">
        <v>0.43055555555555558</v>
      </c>
      <c r="P442" s="275">
        <v>0.54166666666666663</v>
      </c>
      <c r="Q442" s="276">
        <v>41983</v>
      </c>
      <c r="R442" s="284" t="s">
        <v>72</v>
      </c>
      <c r="S442" s="276">
        <v>42009</v>
      </c>
      <c r="T442" s="284">
        <v>574</v>
      </c>
      <c r="U442" s="314" t="s">
        <v>2218</v>
      </c>
      <c r="V442" s="276">
        <v>42598</v>
      </c>
      <c r="W442" s="276">
        <v>42598</v>
      </c>
      <c r="X442" s="276">
        <v>42598</v>
      </c>
      <c r="Y442" s="314" t="s">
        <v>2246</v>
      </c>
      <c r="Z442" s="314" t="s">
        <v>2</v>
      </c>
      <c r="AA442" s="314" t="s">
        <v>2</v>
      </c>
      <c r="AB442" s="276" t="s">
        <v>2</v>
      </c>
      <c r="AC442" s="314" t="s">
        <v>2248</v>
      </c>
      <c r="AD442" s="277">
        <v>1314000</v>
      </c>
      <c r="AE442" s="276">
        <v>32201</v>
      </c>
      <c r="AF442" s="314" t="s">
        <v>2192</v>
      </c>
      <c r="AG442" s="314" t="s">
        <v>775</v>
      </c>
      <c r="AH442" s="314" t="s">
        <v>68</v>
      </c>
      <c r="AI442" s="314" t="s">
        <v>89</v>
      </c>
      <c r="AJ442" s="281" t="s">
        <v>2</v>
      </c>
      <c r="AK442" s="221" t="s">
        <v>961</v>
      </c>
      <c r="AL442" s="316" t="s">
        <v>610</v>
      </c>
      <c r="AM442" s="316" t="s">
        <v>2</v>
      </c>
      <c r="AN442" s="316" t="s">
        <v>413</v>
      </c>
      <c r="AO442" s="316" t="s">
        <v>2585</v>
      </c>
      <c r="AP442" s="316" t="s">
        <v>1249</v>
      </c>
      <c r="AQ442" s="282" t="s">
        <v>2</v>
      </c>
      <c r="AW442" s="64"/>
    </row>
    <row r="443" spans="1:50" ht="15" customHeight="1">
      <c r="B443" s="280" t="e">
        <f t="shared" si="21"/>
        <v>#REF!</v>
      </c>
      <c r="C443" s="64"/>
      <c r="D443" s="272">
        <v>29208</v>
      </c>
      <c r="E443" s="315">
        <v>854910</v>
      </c>
      <c r="F443" s="313">
        <v>17106</v>
      </c>
      <c r="G443" s="314" t="s">
        <v>306</v>
      </c>
      <c r="H443" s="314" t="s">
        <v>417</v>
      </c>
      <c r="I443" s="314" t="s">
        <v>9</v>
      </c>
      <c r="J443" s="314" t="s">
        <v>403</v>
      </c>
      <c r="K443" s="275">
        <v>2.3541666666666665</v>
      </c>
      <c r="L443" s="275">
        <v>0.61249999999999993</v>
      </c>
      <c r="M443" s="275">
        <v>0.25833333333333336</v>
      </c>
      <c r="N443" s="275">
        <v>0.51388888888888895</v>
      </c>
      <c r="O443" s="275">
        <v>0.58333333333333337</v>
      </c>
      <c r="P443" s="275">
        <v>0.65277777777777779</v>
      </c>
      <c r="Q443" s="276">
        <v>41891</v>
      </c>
      <c r="R443" s="284" t="s">
        <v>72</v>
      </c>
      <c r="S443" s="276">
        <v>41918</v>
      </c>
      <c r="T443" s="284">
        <v>665</v>
      </c>
      <c r="U443" s="314" t="s">
        <v>2220</v>
      </c>
      <c r="V443" s="276">
        <v>42585</v>
      </c>
      <c r="W443" s="276">
        <v>42585</v>
      </c>
      <c r="X443" s="276" t="s">
        <v>2</v>
      </c>
      <c r="Y443" s="314" t="s">
        <v>2245</v>
      </c>
      <c r="Z443" s="314" t="s">
        <v>2</v>
      </c>
      <c r="AA443" s="314" t="s">
        <v>2</v>
      </c>
      <c r="AB443" s="276" t="s">
        <v>2</v>
      </c>
      <c r="AC443" s="314" t="s">
        <v>2248</v>
      </c>
      <c r="AD443" s="277">
        <v>438607</v>
      </c>
      <c r="AE443" s="276" t="s">
        <v>2</v>
      </c>
      <c r="AF443" s="314" t="s">
        <v>2188</v>
      </c>
      <c r="AG443" s="314" t="s">
        <v>775</v>
      </c>
      <c r="AH443" s="314" t="s">
        <v>68</v>
      </c>
      <c r="AI443" s="314" t="s">
        <v>89</v>
      </c>
      <c r="AJ443" s="281">
        <v>810245</v>
      </c>
      <c r="AK443" s="221" t="s">
        <v>1014</v>
      </c>
      <c r="AL443" s="316" t="s">
        <v>663</v>
      </c>
      <c r="AM443" s="316" t="s">
        <v>2</v>
      </c>
      <c r="AN443" s="316" t="s">
        <v>414</v>
      </c>
      <c r="AO443" s="316" t="s">
        <v>2601</v>
      </c>
      <c r="AP443" s="316" t="s">
        <v>2</v>
      </c>
      <c r="AQ443" s="282" t="s">
        <v>2</v>
      </c>
      <c r="AW443" s="64"/>
    </row>
    <row r="444" spans="1:50" ht="15" customHeight="1">
      <c r="B444" s="280" t="e">
        <f t="shared" si="21"/>
        <v>#REF!</v>
      </c>
      <c r="C444" s="64"/>
      <c r="D444" s="272">
        <v>24182</v>
      </c>
      <c r="E444" s="315">
        <v>795216</v>
      </c>
      <c r="F444" s="313">
        <v>17149</v>
      </c>
      <c r="G444" s="314" t="s">
        <v>300</v>
      </c>
      <c r="H444" s="314" t="s">
        <v>417</v>
      </c>
      <c r="I444" s="314" t="s">
        <v>9</v>
      </c>
      <c r="J444" s="314" t="s">
        <v>403</v>
      </c>
      <c r="K444" s="275">
        <v>2.3541666666666665</v>
      </c>
      <c r="L444" s="275">
        <v>0.61249999999999993</v>
      </c>
      <c r="M444" s="275">
        <v>0.25833333333333336</v>
      </c>
      <c r="N444" s="275">
        <v>0.40972222222222227</v>
      </c>
      <c r="O444" s="275">
        <v>0.5</v>
      </c>
      <c r="P444" s="275">
        <v>0.625</v>
      </c>
      <c r="Q444" s="276">
        <v>41306</v>
      </c>
      <c r="R444" s="284" t="s">
        <v>72</v>
      </c>
      <c r="S444" s="276">
        <v>41329</v>
      </c>
      <c r="T444" s="284">
        <v>1254</v>
      </c>
      <c r="U444" s="314" t="s">
        <v>2220</v>
      </c>
      <c r="V444" s="276">
        <v>42585</v>
      </c>
      <c r="W444" s="227">
        <v>42585</v>
      </c>
      <c r="X444" s="227" t="s">
        <v>2</v>
      </c>
      <c r="Y444" s="314" t="s">
        <v>2245</v>
      </c>
      <c r="Z444" s="314" t="s">
        <v>2</v>
      </c>
      <c r="AA444" s="314" t="s">
        <v>2</v>
      </c>
      <c r="AB444" s="276" t="s">
        <v>2</v>
      </c>
      <c r="AC444" s="314" t="s">
        <v>2248</v>
      </c>
      <c r="AD444" s="277" t="s">
        <v>2</v>
      </c>
      <c r="AE444" s="276">
        <v>31858</v>
      </c>
      <c r="AF444" s="314" t="s">
        <v>2</v>
      </c>
      <c r="AG444" s="314" t="s">
        <v>775</v>
      </c>
      <c r="AH444" s="314" t="s">
        <v>68</v>
      </c>
      <c r="AI444" s="314" t="s">
        <v>89</v>
      </c>
      <c r="AJ444" s="281">
        <v>810098</v>
      </c>
      <c r="AK444" s="221" t="s">
        <v>985</v>
      </c>
      <c r="AL444" s="316" t="s">
        <v>633</v>
      </c>
      <c r="AM444" s="316" t="s">
        <v>2</v>
      </c>
      <c r="AN444" s="316" t="s">
        <v>414</v>
      </c>
      <c r="AO444" s="316" t="s">
        <v>2609</v>
      </c>
      <c r="AP444" s="316" t="s">
        <v>2</v>
      </c>
      <c r="AQ444" s="282" t="s">
        <v>1249</v>
      </c>
      <c r="AW444" s="64"/>
    </row>
    <row r="445" spans="1:50" ht="15" customHeight="1">
      <c r="B445" s="280" t="e">
        <f t="shared" si="21"/>
        <v>#REF!</v>
      </c>
      <c r="C445" s="64"/>
      <c r="D445" s="272">
        <v>25808</v>
      </c>
      <c r="E445" s="315">
        <v>810625</v>
      </c>
      <c r="F445" s="313">
        <v>12715</v>
      </c>
      <c r="G445" s="314" t="s">
        <v>368</v>
      </c>
      <c r="H445" s="314" t="s">
        <v>424</v>
      </c>
      <c r="I445" s="314" t="s">
        <v>9</v>
      </c>
      <c r="J445" s="314" t="s">
        <v>405</v>
      </c>
      <c r="K445" s="275">
        <v>0.33333333333333331</v>
      </c>
      <c r="L445" s="275">
        <v>0.59166666666666667</v>
      </c>
      <c r="M445" s="275">
        <v>0.25833333333333336</v>
      </c>
      <c r="N445" s="275" t="s">
        <v>2</v>
      </c>
      <c r="O445" s="275" t="s">
        <v>2</v>
      </c>
      <c r="P445" s="275" t="s">
        <v>2</v>
      </c>
      <c r="Q445" s="276">
        <v>41459</v>
      </c>
      <c r="R445" s="284" t="s">
        <v>72</v>
      </c>
      <c r="S445" s="276">
        <v>41482</v>
      </c>
      <c r="T445" s="284">
        <v>1101</v>
      </c>
      <c r="U445" s="314" t="s">
        <v>2217</v>
      </c>
      <c r="V445" s="276">
        <v>42586</v>
      </c>
      <c r="W445" s="276">
        <v>42585</v>
      </c>
      <c r="X445" s="227">
        <v>42585</v>
      </c>
      <c r="Y445" s="314" t="s">
        <v>2245</v>
      </c>
      <c r="Z445" s="314" t="s">
        <v>2</v>
      </c>
      <c r="AA445" s="314" t="s">
        <v>2</v>
      </c>
      <c r="AB445" s="276" t="s">
        <v>2</v>
      </c>
      <c r="AC445" s="314" t="s">
        <v>1251</v>
      </c>
      <c r="AD445" s="277">
        <v>8142180</v>
      </c>
      <c r="AE445" s="276">
        <v>30516</v>
      </c>
      <c r="AF445" s="314" t="s">
        <v>2194</v>
      </c>
      <c r="AG445" s="314" t="s">
        <v>775</v>
      </c>
      <c r="AH445" s="314" t="s">
        <v>68</v>
      </c>
      <c r="AI445" s="314" t="s">
        <v>89</v>
      </c>
      <c r="AJ445" s="281">
        <v>810083</v>
      </c>
      <c r="AK445" s="221" t="s">
        <v>980</v>
      </c>
      <c r="AL445" s="316" t="s">
        <v>628</v>
      </c>
      <c r="AM445" s="316" t="s">
        <v>2</v>
      </c>
      <c r="AN445" s="316" t="s">
        <v>414</v>
      </c>
      <c r="AO445" s="316" t="s">
        <v>2621</v>
      </c>
      <c r="AP445" s="316" t="s">
        <v>2</v>
      </c>
      <c r="AQ445" s="282" t="s">
        <v>1249</v>
      </c>
      <c r="AW445" s="64"/>
    </row>
    <row r="446" spans="1:50" ht="15" customHeight="1">
      <c r="B446" s="280" t="e">
        <f t="shared" si="21"/>
        <v>#REF!</v>
      </c>
      <c r="C446" s="64"/>
      <c r="D446" s="272">
        <v>24592</v>
      </c>
      <c r="E446" s="315">
        <v>797817</v>
      </c>
      <c r="F446" s="313">
        <v>12803</v>
      </c>
      <c r="G446" s="314" t="s">
        <v>373</v>
      </c>
      <c r="H446" s="314" t="s">
        <v>424</v>
      </c>
      <c r="I446" s="314" t="s">
        <v>16</v>
      </c>
      <c r="J446" s="314" t="s">
        <v>405</v>
      </c>
      <c r="K446" s="275">
        <v>0.41666666666666669</v>
      </c>
      <c r="L446" s="275">
        <v>0.67499999999999993</v>
      </c>
      <c r="M446" s="275">
        <v>0.25833333333333336</v>
      </c>
      <c r="N446" s="275" t="s">
        <v>2</v>
      </c>
      <c r="O446" s="275" t="s">
        <v>2</v>
      </c>
      <c r="P446" s="275" t="s">
        <v>2</v>
      </c>
      <c r="Q446" s="276">
        <v>41334</v>
      </c>
      <c r="R446" s="284" t="s">
        <v>72</v>
      </c>
      <c r="S446" s="276">
        <v>41357</v>
      </c>
      <c r="T446" s="284">
        <v>1226</v>
      </c>
      <c r="U446" s="314" t="s">
        <v>2217</v>
      </c>
      <c r="V446" s="276">
        <v>42586</v>
      </c>
      <c r="W446" s="276">
        <v>42578</v>
      </c>
      <c r="X446" s="276" t="s">
        <v>2</v>
      </c>
      <c r="Y446" s="314" t="s">
        <v>2</v>
      </c>
      <c r="Z446" s="314" t="s">
        <v>89</v>
      </c>
      <c r="AA446" s="314" t="s">
        <v>2714</v>
      </c>
      <c r="AB446" s="276">
        <v>42578</v>
      </c>
      <c r="AC446" s="314" t="s">
        <v>1251</v>
      </c>
      <c r="AD446" s="277">
        <v>2225010</v>
      </c>
      <c r="AE446" s="276">
        <v>32883</v>
      </c>
      <c r="AF446" s="314" t="s">
        <v>2189</v>
      </c>
      <c r="AG446" s="314" t="s">
        <v>775</v>
      </c>
      <c r="AH446" s="314" t="s">
        <v>68</v>
      </c>
      <c r="AI446" s="314" t="s">
        <v>89</v>
      </c>
      <c r="AJ446" s="281" t="s">
        <v>2</v>
      </c>
      <c r="AK446" s="221" t="s">
        <v>1044</v>
      </c>
      <c r="AL446" s="316" t="s">
        <v>694</v>
      </c>
      <c r="AM446" s="316" t="s">
        <v>2</v>
      </c>
      <c r="AN446" s="316" t="s">
        <v>413</v>
      </c>
      <c r="AO446" s="316" t="s">
        <v>1225</v>
      </c>
      <c r="AP446" s="316" t="s">
        <v>2</v>
      </c>
      <c r="AQ446" s="282" t="s">
        <v>2</v>
      </c>
      <c r="AW446" s="64"/>
    </row>
    <row r="447" spans="1:50" ht="15" customHeight="1">
      <c r="B447" s="280" t="e">
        <f t="shared" si="21"/>
        <v>#REF!</v>
      </c>
      <c r="C447" s="64"/>
      <c r="D447" s="272">
        <v>17174</v>
      </c>
      <c r="E447" s="315">
        <v>728801</v>
      </c>
      <c r="F447" s="313">
        <v>12114</v>
      </c>
      <c r="G447" s="314" t="s">
        <v>380</v>
      </c>
      <c r="H447" s="314" t="s">
        <v>424</v>
      </c>
      <c r="I447" s="314" t="s">
        <v>9</v>
      </c>
      <c r="J447" s="314" t="s">
        <v>405</v>
      </c>
      <c r="K447" s="275">
        <v>0.4916666666666667</v>
      </c>
      <c r="L447" s="275">
        <v>0.75</v>
      </c>
      <c r="M447" s="275">
        <v>0.25833333333333336</v>
      </c>
      <c r="N447" s="275" t="s">
        <v>2</v>
      </c>
      <c r="O447" s="275" t="s">
        <v>2</v>
      </c>
      <c r="P447" s="275" t="s">
        <v>2</v>
      </c>
      <c r="Q447" s="276">
        <v>40679</v>
      </c>
      <c r="R447" s="284" t="s">
        <v>72</v>
      </c>
      <c r="S447" s="276">
        <v>40702</v>
      </c>
      <c r="T447" s="284">
        <v>1881</v>
      </c>
      <c r="U447" s="314" t="s">
        <v>2217</v>
      </c>
      <c r="V447" s="276">
        <v>42586</v>
      </c>
      <c r="W447" s="276">
        <v>42585</v>
      </c>
      <c r="X447" s="276">
        <v>42585</v>
      </c>
      <c r="Y447" s="314" t="s">
        <v>2</v>
      </c>
      <c r="Z447" s="314" t="s">
        <v>2</v>
      </c>
      <c r="AA447" s="314" t="s">
        <v>2</v>
      </c>
      <c r="AB447" s="276" t="s">
        <v>2</v>
      </c>
      <c r="AC447" s="314" t="s">
        <v>1251</v>
      </c>
      <c r="AD447" s="277">
        <v>3917050</v>
      </c>
      <c r="AE447" s="276">
        <v>30672</v>
      </c>
      <c r="AF447" s="314" t="s">
        <v>2195</v>
      </c>
      <c r="AG447" s="314" t="s">
        <v>775</v>
      </c>
      <c r="AH447" s="314" t="s">
        <v>68</v>
      </c>
      <c r="AI447" s="314" t="s">
        <v>89</v>
      </c>
      <c r="AJ447" s="281" t="s">
        <v>2</v>
      </c>
      <c r="AK447" s="221" t="s">
        <v>1048</v>
      </c>
      <c r="AL447" s="316" t="s">
        <v>699</v>
      </c>
      <c r="AM447" s="316" t="s">
        <v>2</v>
      </c>
      <c r="AN447" s="316" t="s">
        <v>413</v>
      </c>
      <c r="AO447" s="316" t="s">
        <v>1230</v>
      </c>
      <c r="AP447" s="316" t="s">
        <v>2</v>
      </c>
      <c r="AQ447" s="282" t="s">
        <v>2</v>
      </c>
      <c r="AW447" s="64"/>
    </row>
    <row r="448" spans="1:50" ht="15" customHeight="1">
      <c r="A448" s="72"/>
      <c r="B448" s="280" t="s">
        <v>8</v>
      </c>
      <c r="C448" s="91"/>
      <c r="D448" s="272">
        <v>10534</v>
      </c>
      <c r="E448" s="312">
        <v>688515</v>
      </c>
      <c r="F448" s="313">
        <v>10074</v>
      </c>
      <c r="G448" s="314" t="s">
        <v>407</v>
      </c>
      <c r="H448" s="314" t="s">
        <v>413</v>
      </c>
      <c r="I448" s="314" t="s">
        <v>16</v>
      </c>
      <c r="J448" s="314" t="s">
        <v>392</v>
      </c>
      <c r="K448" s="275">
        <v>0.41666666666666669</v>
      </c>
      <c r="L448" s="275">
        <v>0.79166666666666663</v>
      </c>
      <c r="M448" s="275">
        <v>0.375</v>
      </c>
      <c r="N448" s="275" t="s">
        <v>2</v>
      </c>
      <c r="O448" s="275" t="s">
        <v>2</v>
      </c>
      <c r="P448" s="275" t="s">
        <v>2</v>
      </c>
      <c r="Q448" s="276">
        <v>39861</v>
      </c>
      <c r="R448" s="276" t="s">
        <v>72</v>
      </c>
      <c r="S448" s="276" t="s">
        <v>2</v>
      </c>
      <c r="T448" s="284">
        <v>2740</v>
      </c>
      <c r="U448" s="314" t="s">
        <v>2227</v>
      </c>
      <c r="V448" s="276">
        <v>42583</v>
      </c>
      <c r="W448" s="276">
        <v>42583</v>
      </c>
      <c r="X448" s="276" t="s">
        <v>2</v>
      </c>
      <c r="Y448" s="314" t="s">
        <v>2</v>
      </c>
      <c r="Z448" s="314" t="s">
        <v>89</v>
      </c>
      <c r="AA448" s="314" t="s">
        <v>2389</v>
      </c>
      <c r="AB448" s="276">
        <v>42583</v>
      </c>
      <c r="AC448" s="314" t="s">
        <v>2</v>
      </c>
      <c r="AD448" s="277">
        <v>2255000</v>
      </c>
      <c r="AE448" s="276">
        <v>32615</v>
      </c>
      <c r="AF448" s="314" t="s">
        <v>2189</v>
      </c>
      <c r="AG448" s="314" t="s">
        <v>775</v>
      </c>
      <c r="AH448" s="314" t="s">
        <v>68</v>
      </c>
      <c r="AI448" s="314" t="s">
        <v>89</v>
      </c>
      <c r="AJ448" s="281" t="s">
        <v>2</v>
      </c>
      <c r="AK448" s="221" t="s">
        <v>1054</v>
      </c>
      <c r="AL448" s="316" t="s">
        <v>705</v>
      </c>
      <c r="AM448" s="316" t="s">
        <v>2</v>
      </c>
      <c r="AN448" s="316" t="s">
        <v>413</v>
      </c>
      <c r="AO448" s="316" t="s">
        <v>1237</v>
      </c>
      <c r="AP448" s="316" t="s">
        <v>1249</v>
      </c>
      <c r="AQ448" s="282" t="s">
        <v>2</v>
      </c>
      <c r="AW448" s="64"/>
    </row>
    <row r="449" spans="1:49" ht="15" customHeight="1">
      <c r="A449" s="72"/>
      <c r="B449" s="280" t="e">
        <v>#REF!</v>
      </c>
      <c r="C449" s="91"/>
      <c r="D449" s="272">
        <v>13369</v>
      </c>
      <c r="E449" s="312">
        <v>704064</v>
      </c>
      <c r="F449" s="313">
        <v>10192</v>
      </c>
      <c r="G449" s="314" t="s">
        <v>415</v>
      </c>
      <c r="H449" s="314" t="s">
        <v>414</v>
      </c>
      <c r="I449" s="314" t="s">
        <v>9</v>
      </c>
      <c r="J449" s="314" t="s">
        <v>398</v>
      </c>
      <c r="K449" s="275">
        <v>0.33333333333333331</v>
      </c>
      <c r="L449" s="275">
        <v>0.70833333333333337</v>
      </c>
      <c r="M449" s="275">
        <v>0.375</v>
      </c>
      <c r="N449" s="275" t="s">
        <v>2</v>
      </c>
      <c r="O449" s="275" t="s">
        <v>2</v>
      </c>
      <c r="P449" s="275" t="s">
        <v>2</v>
      </c>
      <c r="Q449" s="276">
        <v>40399</v>
      </c>
      <c r="R449" s="276" t="s">
        <v>72</v>
      </c>
      <c r="S449" s="276" t="s">
        <v>2</v>
      </c>
      <c r="T449" s="284">
        <v>2202</v>
      </c>
      <c r="U449" s="314" t="s">
        <v>2230</v>
      </c>
      <c r="V449" s="276">
        <v>42586</v>
      </c>
      <c r="W449" s="276">
        <v>42586</v>
      </c>
      <c r="X449" s="276" t="s">
        <v>2</v>
      </c>
      <c r="Y449" s="314" t="s">
        <v>2245</v>
      </c>
      <c r="Z449" s="314" t="s">
        <v>2</v>
      </c>
      <c r="AA449" s="314" t="s">
        <v>2</v>
      </c>
      <c r="AB449" s="314" t="s">
        <v>2</v>
      </c>
      <c r="AC449" s="314" t="s">
        <v>2</v>
      </c>
      <c r="AD449" s="277">
        <v>7172020</v>
      </c>
      <c r="AE449" s="52">
        <v>30266</v>
      </c>
      <c r="AF449" s="314" t="s">
        <v>2196</v>
      </c>
      <c r="AG449" s="314" t="s">
        <v>775</v>
      </c>
      <c r="AH449" s="314" t="s">
        <v>1275</v>
      </c>
      <c r="AI449" s="314" t="s">
        <v>89</v>
      </c>
      <c r="AJ449" s="281" t="s">
        <v>2</v>
      </c>
      <c r="AK449" s="281" t="s">
        <v>2796</v>
      </c>
      <c r="AL449" s="281" t="s">
        <v>1292</v>
      </c>
      <c r="AM449" s="281" t="s">
        <v>2</v>
      </c>
      <c r="AN449" s="281" t="s">
        <v>1304</v>
      </c>
      <c r="AO449" s="282" t="s">
        <v>1316</v>
      </c>
      <c r="AQ449" s="71"/>
      <c r="AW449" s="64"/>
    </row>
    <row r="450" spans="1:49" ht="15" customHeight="1">
      <c r="B450" s="280" t="e">
        <f t="shared" ref="B450:B451" si="24">IF(B449="x","","x")</f>
        <v>#REF!</v>
      </c>
      <c r="C450" s="64"/>
      <c r="D450" s="272">
        <v>29834</v>
      </c>
      <c r="E450" s="315">
        <v>868148</v>
      </c>
      <c r="F450" s="313">
        <v>12073</v>
      </c>
      <c r="G450" s="314" t="s">
        <v>325</v>
      </c>
      <c r="H450" s="314" t="s">
        <v>417</v>
      </c>
      <c r="I450" s="314" t="s">
        <v>16</v>
      </c>
      <c r="J450" s="314" t="s">
        <v>403</v>
      </c>
      <c r="K450" s="275">
        <v>0.59722222222222221</v>
      </c>
      <c r="L450" s="275">
        <v>0.86111111111111116</v>
      </c>
      <c r="M450" s="275">
        <v>0.2638888888888889</v>
      </c>
      <c r="N450" s="275">
        <v>0.65277777777777779</v>
      </c>
      <c r="O450" s="275">
        <v>0.70833333333333337</v>
      </c>
      <c r="P450" s="275">
        <v>0.79166666666666663</v>
      </c>
      <c r="Q450" s="276">
        <v>41983</v>
      </c>
      <c r="R450" s="284" t="s">
        <v>72</v>
      </c>
      <c r="S450" s="276">
        <v>42009</v>
      </c>
      <c r="T450" s="284">
        <v>574</v>
      </c>
      <c r="U450" s="314" t="s">
        <v>2218</v>
      </c>
      <c r="V450" s="276">
        <v>42605</v>
      </c>
      <c r="W450" s="276">
        <v>42605</v>
      </c>
      <c r="X450" s="276">
        <v>42605</v>
      </c>
      <c r="Y450" s="314" t="s">
        <v>2</v>
      </c>
      <c r="Z450" s="314" t="s">
        <v>2</v>
      </c>
      <c r="AA450" s="314" t="s">
        <v>2</v>
      </c>
      <c r="AB450" s="276" t="s">
        <v>2</v>
      </c>
      <c r="AC450" s="314" t="s">
        <v>2248</v>
      </c>
      <c r="AD450" s="277">
        <v>3894100</v>
      </c>
      <c r="AE450" s="52">
        <v>32975</v>
      </c>
      <c r="AF450" s="314" t="s">
        <v>2195</v>
      </c>
      <c r="AG450" s="314" t="s">
        <v>775</v>
      </c>
      <c r="AH450" s="314" t="s">
        <v>1275</v>
      </c>
      <c r="AI450" s="314" t="s">
        <v>89</v>
      </c>
      <c r="AJ450" s="281" t="s">
        <v>2</v>
      </c>
      <c r="AK450" s="281" t="s">
        <v>1284</v>
      </c>
      <c r="AL450" s="281" t="s">
        <v>2860</v>
      </c>
      <c r="AM450" s="281" t="s">
        <v>2</v>
      </c>
      <c r="AN450" s="281" t="s">
        <v>1309</v>
      </c>
      <c r="AO450" s="282" t="s">
        <v>1327</v>
      </c>
      <c r="AQ450" s="71"/>
      <c r="AW450" s="64"/>
    </row>
    <row r="451" spans="1:49" ht="15" customHeight="1">
      <c r="B451" s="280" t="e">
        <f t="shared" si="24"/>
        <v>#REF!</v>
      </c>
      <c r="C451" s="64"/>
      <c r="D451" s="272">
        <v>14932</v>
      </c>
      <c r="E451" s="315">
        <v>716957</v>
      </c>
      <c r="F451" s="313">
        <v>12178</v>
      </c>
      <c r="G451" s="314" t="s">
        <v>280</v>
      </c>
      <c r="H451" s="314" t="s">
        <v>424</v>
      </c>
      <c r="I451" s="314" t="s">
        <v>9</v>
      </c>
      <c r="J451" s="314" t="s">
        <v>401</v>
      </c>
      <c r="K451" s="275">
        <v>0.33333333333333331</v>
      </c>
      <c r="L451" s="275">
        <v>0.70833333333333337</v>
      </c>
      <c r="M451" s="275">
        <v>0.375</v>
      </c>
      <c r="N451" s="275" t="s">
        <v>2</v>
      </c>
      <c r="O451" s="275" t="s">
        <v>2</v>
      </c>
      <c r="P451" s="275" t="s">
        <v>2</v>
      </c>
      <c r="Q451" s="276">
        <v>40556</v>
      </c>
      <c r="R451" s="284" t="s">
        <v>72</v>
      </c>
      <c r="S451" s="276">
        <v>40579</v>
      </c>
      <c r="T451" s="284">
        <v>2004</v>
      </c>
      <c r="U451" s="314" t="s">
        <v>2217</v>
      </c>
      <c r="V451" s="276">
        <v>42605</v>
      </c>
      <c r="W451" s="276">
        <v>42605</v>
      </c>
      <c r="X451" s="276">
        <v>42605</v>
      </c>
      <c r="Y451" s="314" t="s">
        <v>2870</v>
      </c>
      <c r="Z451" s="314" t="s">
        <v>2</v>
      </c>
      <c r="AA451" s="314" t="s">
        <v>2</v>
      </c>
      <c r="AB451" s="276" t="s">
        <v>2</v>
      </c>
      <c r="AC451" s="314" t="s">
        <v>2</v>
      </c>
      <c r="AD451" s="277">
        <v>2976100</v>
      </c>
      <c r="AE451" s="276" t="s">
        <v>2</v>
      </c>
      <c r="AF451" s="314" t="s">
        <v>2189</v>
      </c>
      <c r="AG451" s="314" t="s">
        <v>775</v>
      </c>
      <c r="AH451" s="314" t="s">
        <v>68</v>
      </c>
      <c r="AI451" s="314" t="s">
        <v>89</v>
      </c>
      <c r="AJ451" s="281">
        <v>810255</v>
      </c>
      <c r="AK451" s="221" t="s">
        <v>1003</v>
      </c>
      <c r="AL451" s="316" t="s">
        <v>652</v>
      </c>
      <c r="AM451" s="316" t="s">
        <v>2</v>
      </c>
      <c r="AN451" s="316" t="s">
        <v>414</v>
      </c>
      <c r="AO451" s="316" t="s">
        <v>1199</v>
      </c>
      <c r="AP451" s="316" t="s">
        <v>2</v>
      </c>
      <c r="AQ451" s="282" t="s">
        <v>2</v>
      </c>
      <c r="AW451" s="64"/>
    </row>
    <row r="452" spans="1:49" ht="15" customHeight="1">
      <c r="A452" s="90"/>
      <c r="B452" s="280" t="s">
        <v>8</v>
      </c>
      <c r="C452" s="64"/>
      <c r="D452" s="272">
        <v>21088</v>
      </c>
      <c r="E452" s="312">
        <v>763577</v>
      </c>
      <c r="F452" s="313">
        <v>17075</v>
      </c>
      <c r="G452" s="314" t="s">
        <v>122</v>
      </c>
      <c r="H452" s="314" t="s">
        <v>410</v>
      </c>
      <c r="I452" s="314" t="s">
        <v>9</v>
      </c>
      <c r="J452" s="314" t="s">
        <v>393</v>
      </c>
      <c r="K452" s="275">
        <v>0.55555555555555558</v>
      </c>
      <c r="L452" s="275">
        <v>0.81944444444444453</v>
      </c>
      <c r="M452" s="275">
        <v>0.2638888888888889</v>
      </c>
      <c r="N452" s="275">
        <v>0.59722222222222221</v>
      </c>
      <c r="O452" s="275">
        <v>0.66666666666666663</v>
      </c>
      <c r="P452" s="275">
        <v>0.77083333333333337</v>
      </c>
      <c r="Q452" s="276">
        <v>40975</v>
      </c>
      <c r="R452" s="284" t="s">
        <v>72</v>
      </c>
      <c r="S452" s="276">
        <v>40998</v>
      </c>
      <c r="T452" s="284">
        <v>1585</v>
      </c>
      <c r="U452" s="314" t="s">
        <v>2216</v>
      </c>
      <c r="V452" s="276">
        <v>42626</v>
      </c>
      <c r="W452" s="276">
        <v>42623</v>
      </c>
      <c r="X452" s="227">
        <v>42623</v>
      </c>
      <c r="Y452" s="314" t="s">
        <v>2</v>
      </c>
      <c r="Z452" s="314" t="s">
        <v>2</v>
      </c>
      <c r="AA452" s="314" t="s">
        <v>2</v>
      </c>
      <c r="AB452" s="276" t="s">
        <v>2</v>
      </c>
      <c r="AC452" s="314" t="s">
        <v>2</v>
      </c>
      <c r="AD452" s="277">
        <v>7808190</v>
      </c>
      <c r="AE452" s="276">
        <v>33837</v>
      </c>
      <c r="AF452" s="314" t="s">
        <v>2196</v>
      </c>
      <c r="AG452" s="314" t="s">
        <v>775</v>
      </c>
      <c r="AH452" s="314" t="s">
        <v>68</v>
      </c>
      <c r="AI452" s="314" t="s">
        <v>89</v>
      </c>
      <c r="AJ452" s="281" t="s">
        <v>2</v>
      </c>
      <c r="AK452" s="221" t="s">
        <v>960</v>
      </c>
      <c r="AL452" s="316" t="s">
        <v>609</v>
      </c>
      <c r="AM452" s="316" t="s">
        <v>2</v>
      </c>
      <c r="AN452" s="316" t="s">
        <v>413</v>
      </c>
      <c r="AO452" s="316" t="s">
        <v>2583</v>
      </c>
      <c r="AP452" s="316" t="s">
        <v>2</v>
      </c>
      <c r="AQ452" s="282" t="s">
        <v>2</v>
      </c>
      <c r="AW452" s="64"/>
    </row>
    <row r="453" spans="1:49" ht="15" customHeight="1">
      <c r="A453" s="90"/>
      <c r="B453" s="280" t="s">
        <v>8</v>
      </c>
      <c r="C453" s="64"/>
      <c r="D453" s="272">
        <v>22524</v>
      </c>
      <c r="E453" s="312">
        <v>773802</v>
      </c>
      <c r="F453" s="313">
        <v>17119</v>
      </c>
      <c r="G453" s="314" t="s">
        <v>125</v>
      </c>
      <c r="H453" s="314" t="s">
        <v>410</v>
      </c>
      <c r="I453" s="314" t="s">
        <v>9</v>
      </c>
      <c r="J453" s="314" t="s">
        <v>393</v>
      </c>
      <c r="K453" s="275">
        <v>0.65277777777777779</v>
      </c>
      <c r="L453" s="275">
        <v>0.91666666666666674</v>
      </c>
      <c r="M453" s="275">
        <v>0.2638888888888889</v>
      </c>
      <c r="N453" s="275">
        <v>0.70138888888888884</v>
      </c>
      <c r="O453" s="275">
        <v>0.79166666666666663</v>
      </c>
      <c r="P453" s="275">
        <v>0.86111111111111116</v>
      </c>
      <c r="Q453" s="276">
        <v>41102</v>
      </c>
      <c r="R453" s="284" t="s">
        <v>72</v>
      </c>
      <c r="S453" s="276">
        <v>41125</v>
      </c>
      <c r="T453" s="284">
        <v>1458</v>
      </c>
      <c r="U453" s="314" t="s">
        <v>2216</v>
      </c>
      <c r="V453" s="276">
        <v>42626</v>
      </c>
      <c r="W453" s="276">
        <v>42623</v>
      </c>
      <c r="X453" s="227">
        <v>42623</v>
      </c>
      <c r="Y453" s="314" t="s">
        <v>2</v>
      </c>
      <c r="Z453" s="314" t="s">
        <v>2</v>
      </c>
      <c r="AA453" s="314" t="s">
        <v>2</v>
      </c>
      <c r="AB453" s="276" t="s">
        <v>2</v>
      </c>
      <c r="AC453" s="314" t="s">
        <v>2</v>
      </c>
      <c r="AD453" s="277">
        <v>8122160</v>
      </c>
      <c r="AE453" s="276">
        <v>33503</v>
      </c>
      <c r="AF453" s="279" t="s">
        <v>2194</v>
      </c>
      <c r="AG453" s="314" t="s">
        <v>775</v>
      </c>
      <c r="AH453" s="314" t="s">
        <v>68</v>
      </c>
      <c r="AI453" s="314" t="s">
        <v>89</v>
      </c>
      <c r="AJ453" s="281" t="s">
        <v>2</v>
      </c>
      <c r="AK453" s="246" t="s">
        <v>809</v>
      </c>
      <c r="AL453" s="153" t="s">
        <v>457</v>
      </c>
      <c r="AM453" s="154" t="s">
        <v>2</v>
      </c>
      <c r="AN453" s="154" t="s">
        <v>413</v>
      </c>
      <c r="AO453" s="154" t="s">
        <v>1099</v>
      </c>
      <c r="AP453" s="154" t="s">
        <v>2</v>
      </c>
      <c r="AQ453" s="162" t="s">
        <v>1249</v>
      </c>
      <c r="AW453" s="64"/>
    </row>
    <row r="454" spans="1:49" ht="15" customHeight="1">
      <c r="B454" s="280" t="s">
        <v>26</v>
      </c>
      <c r="C454" s="64"/>
      <c r="D454" s="272">
        <v>31511</v>
      </c>
      <c r="E454" s="312">
        <v>915111</v>
      </c>
      <c r="F454" s="313">
        <v>17025</v>
      </c>
      <c r="G454" s="314" t="s">
        <v>2704</v>
      </c>
      <c r="H454" s="314" t="s">
        <v>416</v>
      </c>
      <c r="I454" s="314" t="s">
        <v>9</v>
      </c>
      <c r="J454" s="314" t="s">
        <v>398</v>
      </c>
      <c r="K454" s="275">
        <v>0.33333333333333331</v>
      </c>
      <c r="L454" s="275">
        <v>0.59722222222222221</v>
      </c>
      <c r="M454" s="275">
        <v>0.2638888888888889</v>
      </c>
      <c r="N454" s="275">
        <v>0.38194444444444442</v>
      </c>
      <c r="O454" s="275">
        <v>0.43055555555555558</v>
      </c>
      <c r="P454" s="275">
        <v>0.51388888888888895</v>
      </c>
      <c r="Q454" s="276">
        <v>42404</v>
      </c>
      <c r="R454" s="284" t="s">
        <v>72</v>
      </c>
      <c r="S454" s="276">
        <v>42429</v>
      </c>
      <c r="T454" s="284">
        <v>154</v>
      </c>
      <c r="U454" s="314" t="s">
        <v>2218</v>
      </c>
      <c r="V454" s="276">
        <v>42633</v>
      </c>
      <c r="W454" s="276">
        <v>42632</v>
      </c>
      <c r="X454" s="276" t="s">
        <v>2</v>
      </c>
      <c r="Y454" s="314" t="s">
        <v>2246</v>
      </c>
      <c r="Z454" s="314" t="s">
        <v>2</v>
      </c>
      <c r="AA454" s="314" t="s">
        <v>2</v>
      </c>
      <c r="AB454" s="276" t="s">
        <v>2</v>
      </c>
      <c r="AC454" s="314" t="s">
        <v>1257</v>
      </c>
      <c r="AD454" s="277">
        <v>8190400</v>
      </c>
      <c r="AE454" s="276">
        <v>33866</v>
      </c>
      <c r="AF454" s="314" t="s">
        <v>2194</v>
      </c>
      <c r="AG454" s="314" t="s">
        <v>775</v>
      </c>
      <c r="AH454" s="314" t="s">
        <v>68</v>
      </c>
      <c r="AI454" s="314" t="s">
        <v>89</v>
      </c>
      <c r="AJ454" s="281" t="s">
        <v>2</v>
      </c>
      <c r="AK454" s="281" t="s">
        <v>812</v>
      </c>
      <c r="AL454" s="281" t="s">
        <v>460</v>
      </c>
      <c r="AM454" s="281" t="s">
        <v>2</v>
      </c>
      <c r="AN454" s="281" t="s">
        <v>413</v>
      </c>
      <c r="AO454" s="281" t="s">
        <v>1102</v>
      </c>
      <c r="AP454" s="281" t="s">
        <v>2</v>
      </c>
      <c r="AQ454" s="282" t="s">
        <v>1249</v>
      </c>
      <c r="AW454" s="64"/>
    </row>
    <row r="455" spans="1:49" ht="15" customHeight="1">
      <c r="B455" s="280" t="s">
        <v>26</v>
      </c>
      <c r="C455" s="64"/>
      <c r="D455" s="272">
        <v>24441</v>
      </c>
      <c r="E455" s="312">
        <v>796381</v>
      </c>
      <c r="F455" s="313">
        <v>12127</v>
      </c>
      <c r="G455" s="314" t="s">
        <v>1450</v>
      </c>
      <c r="H455" s="314" t="s">
        <v>416</v>
      </c>
      <c r="I455" s="314" t="s">
        <v>16</v>
      </c>
      <c r="J455" s="314" t="s">
        <v>398</v>
      </c>
      <c r="K455" s="275">
        <v>0.33333333333333331</v>
      </c>
      <c r="L455" s="275">
        <v>0.67499999999999993</v>
      </c>
      <c r="M455" s="275">
        <v>0.34166666666666662</v>
      </c>
      <c r="N455" s="275">
        <v>0.40277777777777773</v>
      </c>
      <c r="O455" s="275">
        <v>0.46527777777777773</v>
      </c>
      <c r="P455" s="275">
        <v>0.54861111111111105</v>
      </c>
      <c r="Q455" s="276">
        <v>41319</v>
      </c>
      <c r="R455" s="284" t="s">
        <v>72</v>
      </c>
      <c r="S455" s="276">
        <v>41342</v>
      </c>
      <c r="T455" s="284">
        <v>1241</v>
      </c>
      <c r="U455" s="314" t="s">
        <v>2218</v>
      </c>
      <c r="V455" s="276">
        <v>42621</v>
      </c>
      <c r="W455" s="276">
        <v>42621</v>
      </c>
      <c r="X455" s="276" t="s">
        <v>2</v>
      </c>
      <c r="Y455" s="314" t="s">
        <v>2</v>
      </c>
      <c r="Z455" s="314" t="s">
        <v>2</v>
      </c>
      <c r="AA455" s="314" t="s">
        <v>2</v>
      </c>
      <c r="AB455" s="276" t="s">
        <v>2</v>
      </c>
      <c r="AC455" s="314" t="s">
        <v>1257</v>
      </c>
      <c r="AD455" s="277" t="s">
        <v>2</v>
      </c>
      <c r="AE455" s="276">
        <v>42610</v>
      </c>
      <c r="AF455" s="314" t="s">
        <v>2</v>
      </c>
      <c r="AG455" s="314" t="s">
        <v>775</v>
      </c>
      <c r="AH455" s="314" t="s">
        <v>68</v>
      </c>
      <c r="AI455" s="314" t="s">
        <v>89</v>
      </c>
      <c r="AJ455" s="281">
        <v>810402</v>
      </c>
      <c r="AK455" s="316" t="s">
        <v>2709</v>
      </c>
      <c r="AL455" s="316" t="s">
        <v>2722</v>
      </c>
      <c r="AM455" s="316" t="s">
        <v>2</v>
      </c>
      <c r="AN455" s="316" t="s">
        <v>414</v>
      </c>
      <c r="AO455" s="316" t="s">
        <v>2723</v>
      </c>
      <c r="AP455" s="316" t="s">
        <v>2</v>
      </c>
      <c r="AQ455" s="282" t="s">
        <v>2</v>
      </c>
      <c r="AW455" s="64"/>
    </row>
    <row r="456" spans="1:49" ht="15" customHeight="1">
      <c r="B456" s="280" t="s">
        <v>8</v>
      </c>
      <c r="C456" s="64"/>
      <c r="D456" s="272">
        <v>30682</v>
      </c>
      <c r="E456" s="312">
        <v>882103</v>
      </c>
      <c r="F456" s="313">
        <v>17144</v>
      </c>
      <c r="G456" s="314" t="s">
        <v>210</v>
      </c>
      <c r="H456" s="314" t="s">
        <v>416</v>
      </c>
      <c r="I456" s="314" t="s">
        <v>9</v>
      </c>
      <c r="J456" s="314" t="s">
        <v>398</v>
      </c>
      <c r="K456" s="275">
        <v>0.33333333333333331</v>
      </c>
      <c r="L456" s="275">
        <v>0.59722222222222221</v>
      </c>
      <c r="M456" s="275">
        <v>0.2638888888888889</v>
      </c>
      <c r="N456" s="275">
        <v>0.3888888888888889</v>
      </c>
      <c r="O456" s="275">
        <v>0.44444444444444442</v>
      </c>
      <c r="P456" s="275">
        <v>0.54166666666666663</v>
      </c>
      <c r="Q456" s="276">
        <v>42131</v>
      </c>
      <c r="R456" s="284" t="s">
        <v>72</v>
      </c>
      <c r="S456" s="276">
        <v>42156</v>
      </c>
      <c r="T456" s="284">
        <v>427</v>
      </c>
      <c r="U456" s="314" t="s">
        <v>2218</v>
      </c>
      <c r="V456" s="276">
        <v>42632</v>
      </c>
      <c r="W456" s="276">
        <v>42632</v>
      </c>
      <c r="X456" s="276" t="s">
        <v>2</v>
      </c>
      <c r="Y456" s="314" t="s">
        <v>2246</v>
      </c>
      <c r="Z456" s="314" t="s">
        <v>2</v>
      </c>
      <c r="AA456" s="314" t="s">
        <v>2</v>
      </c>
      <c r="AB456" s="276" t="s">
        <v>2</v>
      </c>
      <c r="AC456" s="314" t="s">
        <v>1257</v>
      </c>
      <c r="AD456" s="277" t="s">
        <v>2802</v>
      </c>
      <c r="AE456" s="276" t="s">
        <v>2</v>
      </c>
      <c r="AF456" s="314" t="s">
        <v>2194</v>
      </c>
      <c r="AG456" s="314" t="s">
        <v>775</v>
      </c>
      <c r="AH456" s="314" t="s">
        <v>68</v>
      </c>
      <c r="AI456" s="314" t="s">
        <v>89</v>
      </c>
      <c r="AJ456" s="281">
        <v>24676</v>
      </c>
      <c r="AK456" s="316" t="s">
        <v>1800</v>
      </c>
      <c r="AL456" s="316" t="s">
        <v>1628</v>
      </c>
      <c r="AM456" s="316" t="s">
        <v>2</v>
      </c>
      <c r="AN456" s="316" t="s">
        <v>414</v>
      </c>
      <c r="AO456" s="316" t="s">
        <v>1970</v>
      </c>
      <c r="AP456" s="316" t="s">
        <v>2</v>
      </c>
      <c r="AQ456" s="282" t="s">
        <v>2</v>
      </c>
      <c r="AW456" s="64"/>
    </row>
    <row r="457" spans="1:49" ht="15" customHeight="1">
      <c r="B457" s="280" t="s">
        <v>26</v>
      </c>
      <c r="C457" s="64"/>
      <c r="D457" s="272">
        <v>31514</v>
      </c>
      <c r="E457" s="312">
        <v>915114</v>
      </c>
      <c r="F457" s="313">
        <v>17032</v>
      </c>
      <c r="G457" s="314" t="s">
        <v>2681</v>
      </c>
      <c r="H457" s="314" t="s">
        <v>418</v>
      </c>
      <c r="I457" s="314" t="s">
        <v>9</v>
      </c>
      <c r="J457" s="314" t="s">
        <v>398</v>
      </c>
      <c r="K457" s="275">
        <v>0.33333333333333331</v>
      </c>
      <c r="L457" s="275">
        <v>0.59722222222222221</v>
      </c>
      <c r="M457" s="275">
        <v>0.2638888888888889</v>
      </c>
      <c r="N457" s="275">
        <v>0.39583333333333331</v>
      </c>
      <c r="O457" s="275">
        <v>0.44444444444444442</v>
      </c>
      <c r="P457" s="275">
        <v>0.54861111111111105</v>
      </c>
      <c r="Q457" s="276">
        <v>42404</v>
      </c>
      <c r="R457" s="284" t="s">
        <v>72</v>
      </c>
      <c r="S457" s="276">
        <v>42429</v>
      </c>
      <c r="T457" s="284">
        <v>154</v>
      </c>
      <c r="U457" s="314" t="s">
        <v>2218</v>
      </c>
      <c r="V457" s="276">
        <v>42615</v>
      </c>
      <c r="W457" s="276">
        <v>42614</v>
      </c>
      <c r="X457" s="276" t="s">
        <v>2</v>
      </c>
      <c r="Y457" s="314" t="s">
        <v>2246</v>
      </c>
      <c r="Z457" s="131" t="s">
        <v>2</v>
      </c>
      <c r="AA457" s="131" t="s">
        <v>2</v>
      </c>
      <c r="AB457" s="276" t="s">
        <v>2</v>
      </c>
      <c r="AC457" s="314" t="s">
        <v>1257</v>
      </c>
      <c r="AD457" s="277" t="s">
        <v>2</v>
      </c>
      <c r="AE457" s="276">
        <v>34061</v>
      </c>
      <c r="AF457" s="314" t="s">
        <v>2</v>
      </c>
      <c r="AG457" s="314" t="s">
        <v>775</v>
      </c>
      <c r="AH457" s="314" t="s">
        <v>68</v>
      </c>
      <c r="AI457" s="314" t="s">
        <v>89</v>
      </c>
      <c r="AJ457" s="281">
        <v>810333</v>
      </c>
      <c r="AK457" s="316" t="s">
        <v>2426</v>
      </c>
      <c r="AL457" s="316" t="s">
        <v>543</v>
      </c>
      <c r="AM457" s="316" t="s">
        <v>2</v>
      </c>
      <c r="AN457" s="316" t="s">
        <v>414</v>
      </c>
      <c r="AO457" s="316" t="s">
        <v>2522</v>
      </c>
      <c r="AP457" s="316" t="s">
        <v>2</v>
      </c>
      <c r="AQ457" s="282" t="s">
        <v>2</v>
      </c>
      <c r="AW457" s="64"/>
    </row>
    <row r="458" spans="1:49" ht="15" customHeight="1">
      <c r="B458" s="280" t="s">
        <v>8</v>
      </c>
      <c r="C458" s="64"/>
      <c r="D458" s="272">
        <v>23416</v>
      </c>
      <c r="E458" s="312">
        <v>786547</v>
      </c>
      <c r="F458" s="313">
        <v>12747</v>
      </c>
      <c r="G458" s="314" t="s">
        <v>270</v>
      </c>
      <c r="H458" s="314" t="s">
        <v>411</v>
      </c>
      <c r="I458" s="314" t="s">
        <v>9</v>
      </c>
      <c r="J458" s="314" t="s">
        <v>399</v>
      </c>
      <c r="K458" s="275">
        <v>0.5</v>
      </c>
      <c r="L458" s="275">
        <v>0.79166666666666663</v>
      </c>
      <c r="M458" s="275">
        <v>0.29166666666666669</v>
      </c>
      <c r="N458" s="275" t="s">
        <v>2</v>
      </c>
      <c r="O458" s="275">
        <v>0.64583333333333337</v>
      </c>
      <c r="P458" s="275" t="s">
        <v>2</v>
      </c>
      <c r="Q458" s="276">
        <v>41219</v>
      </c>
      <c r="R458" s="284" t="s">
        <v>72</v>
      </c>
      <c r="S458" s="276">
        <v>41242</v>
      </c>
      <c r="T458" s="284">
        <v>1341</v>
      </c>
      <c r="U458" s="314" t="s">
        <v>2221</v>
      </c>
      <c r="V458" s="276">
        <v>42627</v>
      </c>
      <c r="W458" s="276">
        <v>42619</v>
      </c>
      <c r="X458" s="276">
        <v>42619</v>
      </c>
      <c r="Y458" s="314" t="s">
        <v>2</v>
      </c>
      <c r="Z458" s="314" t="s">
        <v>2</v>
      </c>
      <c r="AA458" s="314" t="s">
        <v>2</v>
      </c>
      <c r="AB458" s="276" t="s">
        <v>2</v>
      </c>
      <c r="AC458" s="314">
        <v>372</v>
      </c>
      <c r="AD458" s="277" t="s">
        <v>2</v>
      </c>
      <c r="AE458" s="276">
        <v>33794</v>
      </c>
      <c r="AF458" s="314" t="s">
        <v>2</v>
      </c>
      <c r="AG458" s="314" t="s">
        <v>775</v>
      </c>
      <c r="AH458" s="314" t="s">
        <v>68</v>
      </c>
      <c r="AI458" s="314" t="s">
        <v>89</v>
      </c>
      <c r="AJ458" s="281">
        <v>810369</v>
      </c>
      <c r="AK458" s="316" t="s">
        <v>2698</v>
      </c>
      <c r="AL458" s="316" t="s">
        <v>2729</v>
      </c>
      <c r="AM458" s="316" t="s">
        <v>2</v>
      </c>
      <c r="AN458" s="316" t="s">
        <v>414</v>
      </c>
      <c r="AO458" s="316" t="s">
        <v>2730</v>
      </c>
      <c r="AP458" s="316" t="s">
        <v>2</v>
      </c>
      <c r="AQ458" s="282" t="s">
        <v>2</v>
      </c>
      <c r="AW458" s="64"/>
    </row>
    <row r="459" spans="1:49" ht="15" customHeight="1">
      <c r="B459" s="280" t="e">
        <v>#REF!</v>
      </c>
      <c r="C459" s="64"/>
      <c r="D459" s="272">
        <v>31189</v>
      </c>
      <c r="E459" s="315">
        <v>897564</v>
      </c>
      <c r="F459" s="313">
        <v>17153</v>
      </c>
      <c r="G459" s="314" t="s">
        <v>2334</v>
      </c>
      <c r="H459" s="314" t="s">
        <v>418</v>
      </c>
      <c r="I459" s="314" t="s">
        <v>9</v>
      </c>
      <c r="J459" s="314" t="s">
        <v>403</v>
      </c>
      <c r="K459" s="275">
        <v>0.33333333333333331</v>
      </c>
      <c r="L459" s="275">
        <v>0.59722222222222221</v>
      </c>
      <c r="M459" s="275">
        <v>0.2638888888888889</v>
      </c>
      <c r="N459" s="275">
        <v>0.38194444444444442</v>
      </c>
      <c r="O459" s="275">
        <v>0.43055555555555558</v>
      </c>
      <c r="P459" s="275">
        <v>0.54166666666666663</v>
      </c>
      <c r="Q459" s="276">
        <v>42256</v>
      </c>
      <c r="R459" s="284" t="s">
        <v>72</v>
      </c>
      <c r="S459" s="276">
        <v>42282</v>
      </c>
      <c r="T459" s="284">
        <v>301</v>
      </c>
      <c r="U459" s="314" t="s">
        <v>2218</v>
      </c>
      <c r="V459" s="276">
        <v>42615</v>
      </c>
      <c r="W459" s="276">
        <v>42614</v>
      </c>
      <c r="X459" s="276" t="s">
        <v>2</v>
      </c>
      <c r="Y459" s="314" t="s">
        <v>2245</v>
      </c>
      <c r="Z459" s="314" t="s">
        <v>2</v>
      </c>
      <c r="AA459" s="314" t="s">
        <v>2</v>
      </c>
      <c r="AB459" s="276" t="s">
        <v>2</v>
      </c>
      <c r="AC459" s="314" t="s">
        <v>2</v>
      </c>
      <c r="AD459" s="277">
        <v>7122270</v>
      </c>
      <c r="AE459" s="276">
        <v>34216</v>
      </c>
      <c r="AF459" s="314" t="s">
        <v>2196</v>
      </c>
      <c r="AG459" s="314" t="s">
        <v>775</v>
      </c>
      <c r="AH459" s="314" t="s">
        <v>68</v>
      </c>
      <c r="AI459" s="314" t="s">
        <v>89</v>
      </c>
      <c r="AJ459" s="281" t="s">
        <v>2</v>
      </c>
      <c r="AK459" s="221" t="s">
        <v>951</v>
      </c>
      <c r="AL459" s="316" t="s">
        <v>600</v>
      </c>
      <c r="AM459" s="316" t="s">
        <v>2</v>
      </c>
      <c r="AN459" s="316" t="s">
        <v>413</v>
      </c>
      <c r="AO459" s="316" t="s">
        <v>2572</v>
      </c>
      <c r="AP459" s="316" t="s">
        <v>1249</v>
      </c>
      <c r="AQ459" s="282" t="s">
        <v>2</v>
      </c>
      <c r="AW459" s="64"/>
    </row>
    <row r="460" spans="1:49" ht="15" customHeight="1">
      <c r="B460" s="280" t="e">
        <v>#REF!</v>
      </c>
      <c r="C460" s="64"/>
      <c r="D460" s="272">
        <v>30689</v>
      </c>
      <c r="E460" s="315">
        <v>882110</v>
      </c>
      <c r="F460" s="313">
        <v>17197</v>
      </c>
      <c r="G460" s="314" t="s">
        <v>341</v>
      </c>
      <c r="H460" s="314" t="s">
        <v>418</v>
      </c>
      <c r="I460" s="314" t="s">
        <v>9</v>
      </c>
      <c r="J460" s="314" t="s">
        <v>403</v>
      </c>
      <c r="K460" s="275">
        <v>0.375</v>
      </c>
      <c r="L460" s="275">
        <v>0.63888888888888895</v>
      </c>
      <c r="M460" s="275">
        <v>0.2638888888888889</v>
      </c>
      <c r="N460" s="275">
        <v>0.44444444444444442</v>
      </c>
      <c r="O460" s="275">
        <v>0.52083333333333337</v>
      </c>
      <c r="P460" s="275">
        <v>0.58333333333333337</v>
      </c>
      <c r="Q460" s="276">
        <v>42131</v>
      </c>
      <c r="R460" s="284" t="s">
        <v>72</v>
      </c>
      <c r="S460" s="276">
        <v>42156</v>
      </c>
      <c r="T460" s="284">
        <v>427</v>
      </c>
      <c r="U460" s="314" t="s">
        <v>2218</v>
      </c>
      <c r="V460" s="276">
        <v>42627</v>
      </c>
      <c r="W460" s="276">
        <v>42627</v>
      </c>
      <c r="X460" s="276" t="s">
        <v>2</v>
      </c>
      <c r="Y460" s="314" t="s">
        <v>2246</v>
      </c>
      <c r="Z460" s="314" t="s">
        <v>2</v>
      </c>
      <c r="AA460" s="314" t="s">
        <v>2</v>
      </c>
      <c r="AB460" s="276" t="s">
        <v>2</v>
      </c>
      <c r="AC460" s="314" t="s">
        <v>2248</v>
      </c>
      <c r="AD460" s="277" t="s">
        <v>2</v>
      </c>
      <c r="AE460" s="276">
        <v>33651</v>
      </c>
      <c r="AF460" s="314" t="s">
        <v>2</v>
      </c>
      <c r="AG460" s="314" t="s">
        <v>775</v>
      </c>
      <c r="AH460" s="314" t="s">
        <v>68</v>
      </c>
      <c r="AI460" s="314" t="s">
        <v>89</v>
      </c>
      <c r="AJ460" s="281">
        <v>23677</v>
      </c>
      <c r="AK460" s="221" t="s">
        <v>2371</v>
      </c>
      <c r="AL460" s="316" t="s">
        <v>2355</v>
      </c>
      <c r="AM460" s="316" t="s">
        <v>2</v>
      </c>
      <c r="AN460" s="316" t="s">
        <v>414</v>
      </c>
      <c r="AO460" s="316" t="s">
        <v>2607</v>
      </c>
      <c r="AP460" s="316" t="s">
        <v>2</v>
      </c>
      <c r="AQ460" s="282" t="s">
        <v>2</v>
      </c>
      <c r="AW460" s="64"/>
    </row>
    <row r="461" spans="1:49" ht="15" customHeight="1">
      <c r="B461" s="280" t="e">
        <v>#REF!</v>
      </c>
      <c r="C461" s="64"/>
      <c r="D461" s="272">
        <v>23418</v>
      </c>
      <c r="E461" s="315">
        <v>786549</v>
      </c>
      <c r="F461" s="313">
        <v>12443</v>
      </c>
      <c r="G461" s="314" t="s">
        <v>379</v>
      </c>
      <c r="H461" s="314" t="s">
        <v>424</v>
      </c>
      <c r="I461" s="314" t="s">
        <v>9</v>
      </c>
      <c r="J461" s="314" t="s">
        <v>405</v>
      </c>
      <c r="K461" s="275">
        <v>0.4916666666666667</v>
      </c>
      <c r="L461" s="275">
        <v>0.75</v>
      </c>
      <c r="M461" s="275">
        <v>0.25833333333333336</v>
      </c>
      <c r="N461" s="275" t="s">
        <v>2</v>
      </c>
      <c r="O461" s="275" t="s">
        <v>2</v>
      </c>
      <c r="P461" s="275" t="s">
        <v>2</v>
      </c>
      <c r="Q461" s="276">
        <v>41219</v>
      </c>
      <c r="R461" s="284" t="s">
        <v>72</v>
      </c>
      <c r="S461" s="276">
        <v>41242</v>
      </c>
      <c r="T461" s="284">
        <v>1341</v>
      </c>
      <c r="U461" s="314" t="s">
        <v>2217</v>
      </c>
      <c r="V461" s="276">
        <v>42628</v>
      </c>
      <c r="W461" s="276">
        <v>42628</v>
      </c>
      <c r="X461" s="276" t="s">
        <v>2</v>
      </c>
      <c r="Y461" s="314" t="s">
        <v>2245</v>
      </c>
      <c r="Z461" s="314" t="s">
        <v>2</v>
      </c>
      <c r="AA461" s="314" t="s">
        <v>2</v>
      </c>
      <c r="AB461" s="276" t="s">
        <v>2</v>
      </c>
      <c r="AC461" s="314" t="s">
        <v>1251</v>
      </c>
      <c r="AD461" s="277" t="s">
        <v>2</v>
      </c>
      <c r="AE461" s="276">
        <v>31153</v>
      </c>
      <c r="AF461" s="314" t="s">
        <v>2</v>
      </c>
      <c r="AG461" s="314" t="s">
        <v>775</v>
      </c>
      <c r="AH461" s="314" t="s">
        <v>68</v>
      </c>
      <c r="AI461" s="314" t="s">
        <v>89</v>
      </c>
      <c r="AJ461" s="281">
        <v>810351</v>
      </c>
      <c r="AK461" s="221" t="s">
        <v>1019</v>
      </c>
      <c r="AL461" s="316" t="s">
        <v>668</v>
      </c>
      <c r="AM461" s="316" t="s">
        <v>2</v>
      </c>
      <c r="AN461" s="316" t="s">
        <v>414</v>
      </c>
      <c r="AO461" s="316" t="s">
        <v>2614</v>
      </c>
      <c r="AP461" s="316" t="s">
        <v>2</v>
      </c>
      <c r="AQ461" s="282" t="s">
        <v>2</v>
      </c>
      <c r="AR461" s="64"/>
      <c r="AS461" s="64"/>
      <c r="AT461" s="64"/>
      <c r="AU461" s="64"/>
      <c r="AV461" s="64"/>
      <c r="AW461" s="64"/>
    </row>
    <row r="462" spans="1:49" ht="15" customHeight="1">
      <c r="B462" s="280" t="s">
        <v>8</v>
      </c>
      <c r="C462" s="64"/>
      <c r="D462" s="272">
        <v>22519</v>
      </c>
      <c r="E462" s="315">
        <v>773797</v>
      </c>
      <c r="F462" s="313">
        <v>12041</v>
      </c>
      <c r="G462" s="314" t="s">
        <v>271</v>
      </c>
      <c r="H462" s="314" t="s">
        <v>418</v>
      </c>
      <c r="I462" s="314" t="s">
        <v>9</v>
      </c>
      <c r="J462" s="314" t="s">
        <v>399</v>
      </c>
      <c r="K462" s="275">
        <v>2.3333333333333335</v>
      </c>
      <c r="L462" s="275">
        <v>0.70833333333333337</v>
      </c>
      <c r="M462" s="275">
        <v>0.375</v>
      </c>
      <c r="N462" s="275" t="s">
        <v>2</v>
      </c>
      <c r="O462" s="275">
        <v>0.54166666666666663</v>
      </c>
      <c r="P462" s="275" t="s">
        <v>2</v>
      </c>
      <c r="Q462" s="276">
        <v>41102</v>
      </c>
      <c r="R462" s="284" t="s">
        <v>72</v>
      </c>
      <c r="S462" s="276">
        <v>41125</v>
      </c>
      <c r="T462" s="284">
        <v>1458</v>
      </c>
      <c r="U462" s="314" t="s">
        <v>2221</v>
      </c>
      <c r="V462" s="276">
        <v>42634</v>
      </c>
      <c r="W462" s="276">
        <v>42634</v>
      </c>
      <c r="X462" s="276" t="s">
        <v>2</v>
      </c>
      <c r="Y462" s="314" t="s">
        <v>2245</v>
      </c>
      <c r="Z462" s="314" t="s">
        <v>2</v>
      </c>
      <c r="AA462" s="314" t="s">
        <v>2</v>
      </c>
      <c r="AB462" s="276" t="s">
        <v>2</v>
      </c>
      <c r="AC462" s="314">
        <v>372</v>
      </c>
      <c r="AD462" s="277">
        <v>6864300</v>
      </c>
      <c r="AE462" s="276">
        <v>29940</v>
      </c>
      <c r="AF462" s="314" t="s">
        <v>2193</v>
      </c>
      <c r="AG462" s="314" t="s">
        <v>775</v>
      </c>
      <c r="AH462" s="314" t="s">
        <v>68</v>
      </c>
      <c r="AI462" s="314" t="s">
        <v>89</v>
      </c>
      <c r="AJ462" s="281" t="s">
        <v>2</v>
      </c>
      <c r="AK462" s="221" t="s">
        <v>1053</v>
      </c>
      <c r="AL462" s="316" t="s">
        <v>704</v>
      </c>
      <c r="AM462" s="316" t="s">
        <v>2</v>
      </c>
      <c r="AN462" s="316" t="s">
        <v>413</v>
      </c>
      <c r="AO462" s="316" t="s">
        <v>1236</v>
      </c>
      <c r="AP462" s="316" t="s">
        <v>1249</v>
      </c>
      <c r="AQ462" s="282" t="s">
        <v>2</v>
      </c>
      <c r="AR462" s="64"/>
      <c r="AS462" s="64"/>
      <c r="AT462" s="64"/>
      <c r="AU462" s="64"/>
      <c r="AV462" s="64"/>
      <c r="AW462" s="64"/>
    </row>
    <row r="463" spans="1:49" ht="15" customHeight="1">
      <c r="A463" s="72"/>
      <c r="B463" s="280" t="str">
        <f t="shared" ref="B463" si="25">IF(B462="x","","x")</f>
        <v/>
      </c>
      <c r="C463" s="91"/>
      <c r="D463" s="272">
        <v>9625</v>
      </c>
      <c r="E463" s="312">
        <v>688905</v>
      </c>
      <c r="F463" s="313">
        <v>10176</v>
      </c>
      <c r="G463" s="314" t="s">
        <v>410</v>
      </c>
      <c r="H463" s="314" t="s">
        <v>413</v>
      </c>
      <c r="I463" s="314" t="s">
        <v>16</v>
      </c>
      <c r="J463" s="314" t="s">
        <v>1273</v>
      </c>
      <c r="K463" s="275">
        <v>0.33333333333333331</v>
      </c>
      <c r="L463" s="275">
        <v>0.70833333333333337</v>
      </c>
      <c r="M463" s="275">
        <f t="shared" ref="M463" si="26">IFERROR(IF(L463&gt;K463,TIMEVALUE(TEXT(L463-K463,"hh:mm")),TIMEVALUE(TEXT("24:00"-K463+L463,"hh:mm"))),"-")</f>
        <v>0.375</v>
      </c>
      <c r="N463" s="275" t="s">
        <v>2</v>
      </c>
      <c r="O463" s="275" t="s">
        <v>2</v>
      </c>
      <c r="P463" s="275" t="s">
        <v>2</v>
      </c>
      <c r="Q463" s="276">
        <v>39755</v>
      </c>
      <c r="R463" s="276" t="str">
        <f t="shared" ref="R463" si="27">IF(Q463&lt;12,"TRN",IF(AND(Q463&gt;=12,Q463&lt;=19),"OCP W1",IF(AND(Q463&gt;19,Q463&lt;=26),"OCP W2",IF(AND(Q463&gt;26,Q463&lt;=32),"OCP W3",IF(Q463&gt;32,"W4+")))))</f>
        <v>W4+</v>
      </c>
      <c r="S463" s="276" t="s">
        <v>2</v>
      </c>
      <c r="T463" s="284">
        <f t="shared" ref="T463" si="28">$T$6-Q463</f>
        <v>2706</v>
      </c>
      <c r="U463" s="314" t="s">
        <v>2228</v>
      </c>
      <c r="V463" s="276">
        <v>42639</v>
      </c>
      <c r="W463" s="276">
        <v>42639</v>
      </c>
      <c r="X463" s="276">
        <v>42639</v>
      </c>
      <c r="Y463" s="314" t="s">
        <v>2</v>
      </c>
      <c r="Z463" s="314" t="s">
        <v>2</v>
      </c>
      <c r="AA463" s="314" t="s">
        <v>2</v>
      </c>
      <c r="AB463" s="314" t="s">
        <v>2</v>
      </c>
      <c r="AC463" s="314" t="s">
        <v>2</v>
      </c>
      <c r="AD463" s="277">
        <v>5860020</v>
      </c>
      <c r="AE463" s="52">
        <v>30770</v>
      </c>
      <c r="AF463" s="314" t="str">
        <f>IFERROR(IF($AD463="-","-",IF(LEFT(RIGHT($AD463,7),1)*1=1,"Região Central",IF(LEFT(RIGHT($AD463,7),1)*1=2,"Região Norte",IF(LEFT(RIGHT($AD463,7),1)*1=3,"Região Leste",IF(LEFT(RIGHT($AD463,7),1)*1=4,"Região Sul",IF(LEFT(RIGHT($AD463,7),1)*1=5,"Região Oeste",IF(LEFT(RIGHT($AD463,7),1)*1=6,"Osasco e Região",IF(LEFT(RIGHT($AD463,7),1)*1=7,"Guarulhos e Região",IF(LEFT(RIGHT($AD463,7),1)*1=8,"Mogi das Cruzes e Região","Santo André e Região"))))))))),"")</f>
        <v>Região Oeste</v>
      </c>
      <c r="AG463" s="314" t="s">
        <v>775</v>
      </c>
      <c r="AH463" s="314" t="s">
        <v>1275</v>
      </c>
      <c r="AI463" s="314" t="s">
        <v>89</v>
      </c>
      <c r="AJ463" s="281" t="s">
        <v>2</v>
      </c>
      <c r="AK463" s="281" t="s">
        <v>1277</v>
      </c>
      <c r="AL463" s="281" t="s">
        <v>2857</v>
      </c>
      <c r="AM463" s="281" t="s">
        <v>2</v>
      </c>
      <c r="AN463" s="281" t="s">
        <v>2</v>
      </c>
      <c r="AO463" s="281" t="s">
        <v>1319</v>
      </c>
      <c r="AP463" s="281" t="s">
        <v>2</v>
      </c>
      <c r="AQ463" s="282" t="s">
        <v>2</v>
      </c>
      <c r="AW463" s="64"/>
    </row>
    <row r="464" spans="1:49" ht="15" customHeight="1">
      <c r="D464" s="272">
        <v>29658</v>
      </c>
      <c r="E464" s="312">
        <v>866760</v>
      </c>
      <c r="F464" s="313" t="s">
        <v>2</v>
      </c>
      <c r="G464" s="314" t="s">
        <v>2872</v>
      </c>
      <c r="H464" s="314" t="s">
        <v>1357</v>
      </c>
      <c r="I464" s="314" t="s">
        <v>9</v>
      </c>
      <c r="J464" s="314" t="s">
        <v>1361</v>
      </c>
      <c r="K464" s="275">
        <v>0.33333333333333331</v>
      </c>
      <c r="L464" s="275">
        <v>0.70833333333333337</v>
      </c>
      <c r="M464" s="275">
        <f>IFERROR(IF(L464&gt;K464,TIMEVALUE(TEXT(L464-K464,"hh:mm")),TIMEVALUE(TEXT("24:00"-K464+L464,"hh:mm"))),"-")</f>
        <v>0.375</v>
      </c>
      <c r="N464" s="275" t="s">
        <v>2</v>
      </c>
      <c r="O464" s="275" t="s">
        <v>2</v>
      </c>
      <c r="P464" s="275" t="s">
        <v>2</v>
      </c>
      <c r="Q464" s="276">
        <v>41974</v>
      </c>
      <c r="R464" s="276" t="s">
        <v>72</v>
      </c>
      <c r="T464" s="284">
        <v>640</v>
      </c>
      <c r="U464" s="314" t="s">
        <v>2873</v>
      </c>
      <c r="V464" s="276">
        <v>42615</v>
      </c>
      <c r="W464" s="276">
        <v>42615</v>
      </c>
      <c r="X464" s="276">
        <v>42615</v>
      </c>
      <c r="Y464" s="314" t="s">
        <v>2245</v>
      </c>
      <c r="Z464" s="314" t="s">
        <v>2874</v>
      </c>
      <c r="AA464" s="314" t="s">
        <v>2875</v>
      </c>
      <c r="AB464" s="276">
        <v>42599</v>
      </c>
      <c r="AC464" s="314" t="s">
        <v>2</v>
      </c>
      <c r="AD464" s="277" t="s">
        <v>2</v>
      </c>
      <c r="AE464" s="52">
        <v>29107</v>
      </c>
      <c r="AF464" s="314" t="s">
        <v>2</v>
      </c>
      <c r="AG464" s="314" t="s">
        <v>2288</v>
      </c>
      <c r="AH464" s="314" t="s">
        <v>69</v>
      </c>
      <c r="AI464" s="314" t="s">
        <v>89</v>
      </c>
      <c r="AJ464" s="281" t="s">
        <v>2</v>
      </c>
      <c r="AK464" s="281" t="s">
        <v>2</v>
      </c>
      <c r="AL464" s="281" t="s">
        <v>2876</v>
      </c>
      <c r="AM464" s="281" t="s">
        <v>2</v>
      </c>
      <c r="AN464" s="281" t="s">
        <v>2</v>
      </c>
      <c r="AO464" s="281">
        <v>310240132</v>
      </c>
      <c r="AP464" s="281" t="s">
        <v>2</v>
      </c>
      <c r="AQ464" s="282" t="s">
        <v>2</v>
      </c>
      <c r="AW464" s="64"/>
    </row>
    <row r="465" spans="1:49" ht="15" customHeight="1">
      <c r="B465" s="280" t="str">
        <f t="shared" ref="B465:B472" si="29">IF(B464="x","","x")</f>
        <v>x</v>
      </c>
      <c r="C465" s="64"/>
      <c r="D465" s="272">
        <v>28281</v>
      </c>
      <c r="E465" s="312">
        <v>839986</v>
      </c>
      <c r="F465" s="313">
        <v>12801</v>
      </c>
      <c r="G465" s="314" t="s">
        <v>152</v>
      </c>
      <c r="H465" s="314" t="s">
        <v>412</v>
      </c>
      <c r="I465" s="314" t="s">
        <v>9</v>
      </c>
      <c r="J465" s="314" t="s">
        <v>395</v>
      </c>
      <c r="K465" s="275">
        <v>0.54166666666666663</v>
      </c>
      <c r="L465" s="275">
        <v>0.80555555555555558</v>
      </c>
      <c r="M465" s="275">
        <v>0.2638888888888889</v>
      </c>
      <c r="N465" s="275" t="s">
        <v>2</v>
      </c>
      <c r="O465" s="275" t="s">
        <v>2</v>
      </c>
      <c r="P465" s="275" t="s">
        <v>2</v>
      </c>
      <c r="Q465" s="276">
        <v>41765</v>
      </c>
      <c r="R465" s="284" t="s">
        <v>72</v>
      </c>
      <c r="S465" s="276">
        <v>41796</v>
      </c>
      <c r="T465" s="284">
        <v>787</v>
      </c>
      <c r="U465" s="314" t="s">
        <v>2218</v>
      </c>
      <c r="V465" s="276">
        <v>42641</v>
      </c>
      <c r="W465" s="276">
        <v>42635</v>
      </c>
      <c r="X465" s="276" t="s">
        <v>2</v>
      </c>
      <c r="Y465" s="314" t="s">
        <v>2245</v>
      </c>
      <c r="Z465" s="314" t="s">
        <v>2</v>
      </c>
      <c r="AA465" s="314" t="s">
        <v>2</v>
      </c>
      <c r="AB465" s="276" t="s">
        <v>2</v>
      </c>
      <c r="AC465" s="314">
        <v>171</v>
      </c>
      <c r="AD465" s="277" t="s">
        <v>711</v>
      </c>
      <c r="AE465" s="276" t="s">
        <v>2</v>
      </c>
      <c r="AF465" s="314" t="s">
        <v>2189</v>
      </c>
      <c r="AG465" s="314" t="s">
        <v>775</v>
      </c>
      <c r="AH465" s="314" t="s">
        <v>68</v>
      </c>
      <c r="AI465" s="314" t="s">
        <v>89</v>
      </c>
      <c r="AJ465" s="281" t="s">
        <v>2</v>
      </c>
      <c r="AK465" s="281" t="s">
        <v>839</v>
      </c>
      <c r="AL465" s="281" t="s">
        <v>486</v>
      </c>
      <c r="AM465" s="281" t="s">
        <v>2</v>
      </c>
      <c r="AN465" s="281" t="s">
        <v>413</v>
      </c>
      <c r="AO465" s="281" t="s">
        <v>1127</v>
      </c>
      <c r="AP465" s="281" t="s">
        <v>2</v>
      </c>
      <c r="AQ465" s="282" t="s">
        <v>2</v>
      </c>
      <c r="AW465" s="64"/>
    </row>
    <row r="466" spans="1:49" ht="15" customHeight="1">
      <c r="B466" s="280" t="str">
        <f t="shared" si="29"/>
        <v/>
      </c>
      <c r="C466" s="64"/>
      <c r="D466" s="272">
        <v>29859</v>
      </c>
      <c r="E466" s="312">
        <v>868175</v>
      </c>
      <c r="F466" s="313">
        <v>12471</v>
      </c>
      <c r="G466" s="314" t="s">
        <v>162</v>
      </c>
      <c r="H466" s="314" t="s">
        <v>412</v>
      </c>
      <c r="I466" s="314" t="s">
        <v>9</v>
      </c>
      <c r="J466" s="314" t="s">
        <v>395</v>
      </c>
      <c r="K466" s="275">
        <v>0.54166666666666663</v>
      </c>
      <c r="L466" s="275">
        <v>0.80555555555555558</v>
      </c>
      <c r="M466" s="275">
        <v>0.2638888888888889</v>
      </c>
      <c r="N466" s="275" t="s">
        <v>2</v>
      </c>
      <c r="O466" s="275" t="s">
        <v>2</v>
      </c>
      <c r="P466" s="275" t="s">
        <v>2</v>
      </c>
      <c r="Q466" s="276">
        <v>41983</v>
      </c>
      <c r="R466" s="284" t="s">
        <v>72</v>
      </c>
      <c r="S466" s="276">
        <v>42009</v>
      </c>
      <c r="T466" s="284">
        <v>574</v>
      </c>
      <c r="U466" s="314" t="s">
        <v>2218</v>
      </c>
      <c r="V466" s="276">
        <v>42641</v>
      </c>
      <c r="W466" s="276">
        <v>42636</v>
      </c>
      <c r="X466" s="276" t="s">
        <v>2</v>
      </c>
      <c r="Y466" s="314" t="s">
        <v>2245</v>
      </c>
      <c r="Z466" s="314" t="s">
        <v>2</v>
      </c>
      <c r="AA466" s="314" t="s">
        <v>2</v>
      </c>
      <c r="AB466" s="314" t="s">
        <v>2</v>
      </c>
      <c r="AC466" s="314">
        <v>171</v>
      </c>
      <c r="AD466" s="277" t="s">
        <v>713</v>
      </c>
      <c r="AE466" s="276">
        <v>29522</v>
      </c>
      <c r="AF466" s="314" t="s">
        <v>2194</v>
      </c>
      <c r="AG466" s="314" t="s">
        <v>775</v>
      </c>
      <c r="AH466" s="314" t="s">
        <v>68</v>
      </c>
      <c r="AI466" s="314" t="s">
        <v>89</v>
      </c>
      <c r="AJ466" s="281" t="s">
        <v>2</v>
      </c>
      <c r="AK466" s="281" t="s">
        <v>848</v>
      </c>
      <c r="AL466" s="281" t="s">
        <v>496</v>
      </c>
      <c r="AM466" s="281" t="s">
        <v>2</v>
      </c>
      <c r="AN466" s="281" t="s">
        <v>413</v>
      </c>
      <c r="AO466" s="281" t="s">
        <v>1136</v>
      </c>
      <c r="AP466" s="281" t="s">
        <v>2</v>
      </c>
      <c r="AQ466" s="282" t="s">
        <v>2</v>
      </c>
      <c r="AW466" s="64"/>
    </row>
    <row r="467" spans="1:49" ht="15" customHeight="1">
      <c r="B467" s="280" t="str">
        <f t="shared" si="29"/>
        <v>x</v>
      </c>
      <c r="C467" s="64"/>
      <c r="D467" s="272">
        <v>25023</v>
      </c>
      <c r="E467" s="312">
        <v>800540</v>
      </c>
      <c r="F467" s="313">
        <v>12403</v>
      </c>
      <c r="G467" s="314" t="s">
        <v>157</v>
      </c>
      <c r="H467" s="314" t="s">
        <v>412</v>
      </c>
      <c r="I467" s="314" t="s">
        <v>9</v>
      </c>
      <c r="J467" s="314" t="s">
        <v>395</v>
      </c>
      <c r="K467" s="275">
        <v>0.39583333333333331</v>
      </c>
      <c r="L467" s="275">
        <v>0.73749999999999993</v>
      </c>
      <c r="M467" s="275">
        <v>0.34166666666666662</v>
      </c>
      <c r="N467" s="275" t="s">
        <v>2</v>
      </c>
      <c r="O467" s="275" t="s">
        <v>2</v>
      </c>
      <c r="P467" s="275" t="s">
        <v>2</v>
      </c>
      <c r="Q467" s="276">
        <v>41368</v>
      </c>
      <c r="R467" s="284" t="s">
        <v>72</v>
      </c>
      <c r="S467" s="276">
        <v>41391</v>
      </c>
      <c r="T467" s="284">
        <v>1192</v>
      </c>
      <c r="U467" s="314" t="s">
        <v>2218</v>
      </c>
      <c r="V467" s="276">
        <v>42641</v>
      </c>
      <c r="W467" s="276">
        <v>42636</v>
      </c>
      <c r="X467" s="276" t="s">
        <v>2</v>
      </c>
      <c r="Y467" s="314" t="s">
        <v>2245</v>
      </c>
      <c r="Z467" s="314" t="s">
        <v>2</v>
      </c>
      <c r="AA467" s="314" t="s">
        <v>2</v>
      </c>
      <c r="AB467" s="276" t="s">
        <v>2</v>
      </c>
      <c r="AC467" s="314">
        <v>171</v>
      </c>
      <c r="AD467" s="277">
        <v>5833350</v>
      </c>
      <c r="AE467" s="276">
        <v>33671</v>
      </c>
      <c r="AF467" s="314" t="s">
        <v>2191</v>
      </c>
      <c r="AG467" s="314" t="s">
        <v>775</v>
      </c>
      <c r="AH467" s="314" t="s">
        <v>68</v>
      </c>
      <c r="AI467" s="314" t="s">
        <v>89</v>
      </c>
      <c r="AJ467" s="281" t="s">
        <v>2</v>
      </c>
      <c r="AK467" s="281" t="s">
        <v>2395</v>
      </c>
      <c r="AL467" s="281" t="s">
        <v>491</v>
      </c>
      <c r="AM467" s="281" t="s">
        <v>2</v>
      </c>
      <c r="AN467" s="281" t="s">
        <v>413</v>
      </c>
      <c r="AO467" s="281" t="s">
        <v>1131</v>
      </c>
      <c r="AP467" s="281" t="s">
        <v>1249</v>
      </c>
      <c r="AQ467" s="282" t="s">
        <v>2</v>
      </c>
      <c r="AW467" s="64"/>
    </row>
    <row r="468" spans="1:49" ht="15" customHeight="1">
      <c r="A468" s="72"/>
      <c r="B468" s="280" t="str">
        <f t="shared" si="29"/>
        <v/>
      </c>
      <c r="C468" s="91"/>
      <c r="D468" s="272">
        <v>13161</v>
      </c>
      <c r="E468" s="312">
        <v>702284</v>
      </c>
      <c r="F468" s="313">
        <v>12099</v>
      </c>
      <c r="G468" s="314" t="s">
        <v>1352</v>
      </c>
      <c r="H468" s="314" t="s">
        <v>2801</v>
      </c>
      <c r="I468" s="314" t="s">
        <v>9</v>
      </c>
      <c r="J468" s="314" t="s">
        <v>7</v>
      </c>
      <c r="K468" s="275">
        <v>0.4861111111111111</v>
      </c>
      <c r="L468" s="275">
        <v>0.83333333333333337</v>
      </c>
      <c r="M468" s="275">
        <v>0.34722222222222227</v>
      </c>
      <c r="N468" s="275" t="s">
        <v>2</v>
      </c>
      <c r="O468" s="275" t="s">
        <v>2</v>
      </c>
      <c r="P468" s="275" t="s">
        <v>2</v>
      </c>
      <c r="Q468" s="276">
        <v>40371</v>
      </c>
      <c r="R468" s="276" t="s">
        <v>72</v>
      </c>
      <c r="S468" s="276" t="s">
        <v>2</v>
      </c>
      <c r="T468" s="284">
        <v>2212</v>
      </c>
      <c r="U468" s="314" t="s">
        <v>2242</v>
      </c>
      <c r="V468" s="276">
        <v>42641</v>
      </c>
      <c r="W468" s="276">
        <v>42641</v>
      </c>
      <c r="X468" s="276" t="s">
        <v>2</v>
      </c>
      <c r="Y468" s="276" t="s">
        <v>2199</v>
      </c>
      <c r="Z468" s="314" t="s">
        <v>2</v>
      </c>
      <c r="AA468" s="314" t="s">
        <v>2</v>
      </c>
      <c r="AB468" s="314" t="s">
        <v>2</v>
      </c>
      <c r="AC468" s="314" t="s">
        <v>2</v>
      </c>
      <c r="AD468" s="277">
        <v>1329010</v>
      </c>
      <c r="AE468" s="52">
        <v>26935</v>
      </c>
      <c r="AF468" s="314" t="s">
        <v>2192</v>
      </c>
      <c r="AG468" s="314" t="s">
        <v>2801</v>
      </c>
      <c r="AH468" s="314" t="s">
        <v>69</v>
      </c>
      <c r="AI468" s="314" t="s">
        <v>89</v>
      </c>
      <c r="AJ468" s="281" t="s">
        <v>2</v>
      </c>
      <c r="AK468" s="281" t="s">
        <v>1410</v>
      </c>
      <c r="AL468" s="281" t="s">
        <v>1386</v>
      </c>
      <c r="AM468" s="281" t="s">
        <v>2</v>
      </c>
      <c r="AN468" s="281" t="s">
        <v>2</v>
      </c>
      <c r="AO468" s="281" t="s">
        <v>1432</v>
      </c>
      <c r="AP468" s="281" t="s">
        <v>2</v>
      </c>
      <c r="AQ468" s="282" t="s">
        <v>2</v>
      </c>
      <c r="AR468" s="64"/>
      <c r="AS468" s="64"/>
      <c r="AT468" s="64"/>
      <c r="AU468" s="64"/>
      <c r="AV468" s="64"/>
      <c r="AW468" s="64"/>
    </row>
    <row r="469" spans="1:49" ht="15" customHeight="1">
      <c r="A469" s="72"/>
      <c r="B469" s="280" t="str">
        <f t="shared" si="29"/>
        <v>x</v>
      </c>
      <c r="C469" s="91"/>
      <c r="D469" s="272">
        <v>9323</v>
      </c>
      <c r="E469" s="312">
        <v>687805</v>
      </c>
      <c r="F469" s="313">
        <v>12100</v>
      </c>
      <c r="G469" s="314" t="s">
        <v>1355</v>
      </c>
      <c r="H469" s="314" t="s">
        <v>2801</v>
      </c>
      <c r="I469" s="314" t="s">
        <v>16</v>
      </c>
      <c r="J469" s="314" t="s">
        <v>7</v>
      </c>
      <c r="K469" s="275">
        <v>0.4861111111111111</v>
      </c>
      <c r="L469" s="275">
        <v>0.83333333333333337</v>
      </c>
      <c r="M469" s="275">
        <v>0.34722222222222227</v>
      </c>
      <c r="N469" s="275" t="s">
        <v>2</v>
      </c>
      <c r="O469" s="275" t="s">
        <v>2</v>
      </c>
      <c r="P469" s="275" t="s">
        <v>2</v>
      </c>
      <c r="Q469" s="276">
        <v>39753</v>
      </c>
      <c r="R469" s="276" t="s">
        <v>72</v>
      </c>
      <c r="S469" s="276" t="s">
        <v>2</v>
      </c>
      <c r="T469" s="284">
        <v>2830</v>
      </c>
      <c r="U469" s="314" t="s">
        <v>2243</v>
      </c>
      <c r="V469" s="276">
        <v>42641</v>
      </c>
      <c r="W469" s="276">
        <v>42641</v>
      </c>
      <c r="X469" s="276" t="s">
        <v>2</v>
      </c>
      <c r="Y469" s="276" t="s">
        <v>2</v>
      </c>
      <c r="Z469" s="314" t="s">
        <v>89</v>
      </c>
      <c r="AA469" s="314" t="s">
        <v>2212</v>
      </c>
      <c r="AB469" s="276">
        <v>42641</v>
      </c>
      <c r="AC469" s="314" t="s">
        <v>2</v>
      </c>
      <c r="AD469" s="277">
        <v>7152750</v>
      </c>
      <c r="AE469" s="52">
        <v>32767</v>
      </c>
      <c r="AF469" s="314" t="s">
        <v>2196</v>
      </c>
      <c r="AG469" s="314" t="s">
        <v>2801</v>
      </c>
      <c r="AH469" s="314" t="s">
        <v>69</v>
      </c>
      <c r="AI469" s="314" t="s">
        <v>89</v>
      </c>
      <c r="AJ469" s="281" t="s">
        <v>2</v>
      </c>
      <c r="AK469" s="281" t="s">
        <v>1413</v>
      </c>
      <c r="AL469" s="281" t="s">
        <v>1389</v>
      </c>
      <c r="AM469" s="281" t="s">
        <v>2</v>
      </c>
      <c r="AN469" s="281" t="s">
        <v>2</v>
      </c>
      <c r="AO469" s="281" t="s">
        <v>1434</v>
      </c>
      <c r="AP469" s="281" t="s">
        <v>2</v>
      </c>
      <c r="AQ469" s="282" t="s">
        <v>2</v>
      </c>
      <c r="AR469" s="64"/>
      <c r="AS469" s="64"/>
      <c r="AT469" s="64"/>
      <c r="AU469" s="64"/>
      <c r="AV469" s="64"/>
      <c r="AW469" s="64"/>
    </row>
    <row r="470" spans="1:49" ht="15" customHeight="1">
      <c r="A470" s="90"/>
      <c r="B470" s="280" t="str">
        <f t="shared" si="29"/>
        <v/>
      </c>
      <c r="C470" s="64"/>
      <c r="D470" s="272">
        <v>21336</v>
      </c>
      <c r="E470" s="312">
        <v>765557</v>
      </c>
      <c r="F470" s="313">
        <v>12380</v>
      </c>
      <c r="G470" s="314" t="s">
        <v>129</v>
      </c>
      <c r="H470" s="314" t="s">
        <v>410</v>
      </c>
      <c r="I470" s="314" t="s">
        <v>9</v>
      </c>
      <c r="J470" s="314" t="s">
        <v>393</v>
      </c>
      <c r="K470" s="275">
        <v>0.33333333333333331</v>
      </c>
      <c r="L470" s="275">
        <v>0.59722222222222221</v>
      </c>
      <c r="M470" s="275">
        <v>0.2638888888888889</v>
      </c>
      <c r="N470" s="275">
        <v>0.375</v>
      </c>
      <c r="O470" s="275">
        <v>0.47916666666666669</v>
      </c>
      <c r="P470" s="275">
        <v>0.54861111111111105</v>
      </c>
      <c r="Q470" s="276">
        <v>41001</v>
      </c>
      <c r="R470" s="284" t="s">
        <v>72</v>
      </c>
      <c r="S470" s="276">
        <v>41024</v>
      </c>
      <c r="T470" s="284">
        <v>1559</v>
      </c>
      <c r="U470" s="314" t="s">
        <v>2216</v>
      </c>
      <c r="V470" s="276">
        <v>42642</v>
      </c>
      <c r="W470" s="276">
        <v>42636</v>
      </c>
      <c r="X470" s="276" t="s">
        <v>2</v>
      </c>
      <c r="Y470" s="314" t="s">
        <v>2245</v>
      </c>
      <c r="Z470" s="314" t="s">
        <v>2</v>
      </c>
      <c r="AA470" s="314" t="s">
        <v>2</v>
      </c>
      <c r="AB470" s="276" t="s">
        <v>2</v>
      </c>
      <c r="AC470" s="314" t="s">
        <v>2</v>
      </c>
      <c r="AD470" s="277">
        <v>2820070</v>
      </c>
      <c r="AE470" s="276">
        <v>34074</v>
      </c>
      <c r="AF470" s="314" t="s">
        <v>2189</v>
      </c>
      <c r="AG470" s="314" t="s">
        <v>775</v>
      </c>
      <c r="AH470" s="314" t="s">
        <v>68</v>
      </c>
      <c r="AI470" s="314" t="s">
        <v>89</v>
      </c>
      <c r="AJ470" s="281" t="s">
        <v>2</v>
      </c>
      <c r="AK470" s="281" t="s">
        <v>816</v>
      </c>
      <c r="AL470" s="281" t="s">
        <v>464</v>
      </c>
      <c r="AM470" s="281" t="s">
        <v>2</v>
      </c>
      <c r="AN470" s="281" t="s">
        <v>413</v>
      </c>
      <c r="AO470" s="281" t="s">
        <v>1106</v>
      </c>
      <c r="AP470" s="281" t="s">
        <v>1249</v>
      </c>
      <c r="AQ470" s="282" t="s">
        <v>1249</v>
      </c>
      <c r="AW470" s="64"/>
    </row>
    <row r="471" spans="1:49" ht="15" customHeight="1">
      <c r="A471" s="90"/>
      <c r="B471" s="280" t="str">
        <f t="shared" si="29"/>
        <v>x</v>
      </c>
      <c r="C471" s="64"/>
      <c r="D471" s="272">
        <v>21657</v>
      </c>
      <c r="E471" s="312">
        <v>767825</v>
      </c>
      <c r="F471" s="313">
        <v>17058</v>
      </c>
      <c r="G471" s="314" t="s">
        <v>131</v>
      </c>
      <c r="H471" s="314" t="s">
        <v>410</v>
      </c>
      <c r="I471" s="314" t="s">
        <v>9</v>
      </c>
      <c r="J471" s="314" t="s">
        <v>393</v>
      </c>
      <c r="K471" s="275">
        <v>0.375</v>
      </c>
      <c r="L471" s="275">
        <v>0.63888888888888895</v>
      </c>
      <c r="M471" s="275">
        <v>0.2638888888888889</v>
      </c>
      <c r="N471" s="275">
        <v>0.4236111111111111</v>
      </c>
      <c r="O471" s="275">
        <v>0.4861111111111111</v>
      </c>
      <c r="P471" s="275">
        <v>0.55555555555555558</v>
      </c>
      <c r="Q471" s="276">
        <v>41032</v>
      </c>
      <c r="R471" s="284" t="s">
        <v>72</v>
      </c>
      <c r="S471" s="276">
        <v>41055</v>
      </c>
      <c r="T471" s="284">
        <v>1528</v>
      </c>
      <c r="U471" s="314" t="s">
        <v>2216</v>
      </c>
      <c r="V471" s="276">
        <v>42642</v>
      </c>
      <c r="W471" s="276">
        <v>42636</v>
      </c>
      <c r="X471" s="227" t="s">
        <v>2</v>
      </c>
      <c r="Y471" s="314" t="s">
        <v>2245</v>
      </c>
      <c r="Z471" s="314" t="s">
        <v>2</v>
      </c>
      <c r="AA471" s="314" t="s">
        <v>2</v>
      </c>
      <c r="AB471" s="276" t="s">
        <v>2</v>
      </c>
      <c r="AC471" s="314" t="s">
        <v>2</v>
      </c>
      <c r="AD471" s="277">
        <v>6720250</v>
      </c>
      <c r="AE471" s="276">
        <v>33690</v>
      </c>
      <c r="AF471" s="314" t="s">
        <v>2193</v>
      </c>
      <c r="AG471" s="314" t="s">
        <v>775</v>
      </c>
      <c r="AH471" s="314" t="s">
        <v>68</v>
      </c>
      <c r="AI471" s="314" t="s">
        <v>89</v>
      </c>
      <c r="AJ471" s="281" t="s">
        <v>2</v>
      </c>
      <c r="AK471" s="281" t="s">
        <v>818</v>
      </c>
      <c r="AL471" s="281" t="s">
        <v>466</v>
      </c>
      <c r="AM471" s="281" t="s">
        <v>2</v>
      </c>
      <c r="AN471" s="281" t="s">
        <v>413</v>
      </c>
      <c r="AO471" s="281" t="s">
        <v>1108</v>
      </c>
      <c r="AP471" s="281" t="s">
        <v>2</v>
      </c>
      <c r="AQ471" s="282" t="s">
        <v>1249</v>
      </c>
      <c r="AW471" s="64"/>
    </row>
    <row r="472" spans="1:49" ht="15" customHeight="1">
      <c r="A472" s="90"/>
      <c r="B472" s="280" t="str">
        <f t="shared" si="29"/>
        <v/>
      </c>
      <c r="C472" s="64"/>
      <c r="D472" s="272">
        <v>26929</v>
      </c>
      <c r="E472" s="312">
        <v>823979</v>
      </c>
      <c r="F472" s="313">
        <v>17051</v>
      </c>
      <c r="G472" s="314" t="s">
        <v>121</v>
      </c>
      <c r="H472" s="314" t="s">
        <v>410</v>
      </c>
      <c r="I472" s="314" t="s">
        <v>9</v>
      </c>
      <c r="J472" s="314" t="s">
        <v>393</v>
      </c>
      <c r="K472" s="275">
        <v>0.44444444444444442</v>
      </c>
      <c r="L472" s="275">
        <v>0.70833333333333337</v>
      </c>
      <c r="M472" s="275">
        <v>0.2638888888888889</v>
      </c>
      <c r="N472" s="275">
        <v>0.5</v>
      </c>
      <c r="O472" s="275">
        <v>0.58333333333333337</v>
      </c>
      <c r="P472" s="275">
        <v>0.65972222222222221</v>
      </c>
      <c r="Q472" s="276">
        <v>41584</v>
      </c>
      <c r="R472" s="284" t="s">
        <v>72</v>
      </c>
      <c r="S472" s="276">
        <v>41619</v>
      </c>
      <c r="T472" s="284">
        <v>964</v>
      </c>
      <c r="U472" s="314" t="s">
        <v>2216</v>
      </c>
      <c r="V472" s="276">
        <v>42642</v>
      </c>
      <c r="W472" s="276">
        <v>42636</v>
      </c>
      <c r="X472" s="276" t="s">
        <v>2</v>
      </c>
      <c r="Y472" s="314" t="s">
        <v>2245</v>
      </c>
      <c r="Z472" s="314" t="s">
        <v>2</v>
      </c>
      <c r="AA472" s="314" t="s">
        <v>2</v>
      </c>
      <c r="AB472" s="276" t="s">
        <v>2</v>
      </c>
      <c r="AC472" s="314" t="s">
        <v>2</v>
      </c>
      <c r="AD472" s="277" t="s">
        <v>2</v>
      </c>
      <c r="AE472" s="276">
        <v>33739</v>
      </c>
      <c r="AF472" s="314" t="s">
        <v>2</v>
      </c>
      <c r="AG472" s="314" t="s">
        <v>775</v>
      </c>
      <c r="AH472" s="314" t="s">
        <v>68</v>
      </c>
      <c r="AI472" s="314" t="s">
        <v>89</v>
      </c>
      <c r="AJ472" s="281" t="s">
        <v>2</v>
      </c>
      <c r="AK472" s="281" t="s">
        <v>808</v>
      </c>
      <c r="AL472" s="281" t="s">
        <v>456</v>
      </c>
      <c r="AM472" s="281" t="s">
        <v>2</v>
      </c>
      <c r="AN472" s="281" t="s">
        <v>413</v>
      </c>
      <c r="AO472" s="281" t="s">
        <v>1098</v>
      </c>
      <c r="AP472" s="281" t="s">
        <v>2</v>
      </c>
      <c r="AQ472" s="282" t="s">
        <v>2</v>
      </c>
      <c r="AW472" s="64"/>
    </row>
    <row r="473" spans="1:49" ht="15" customHeight="1">
      <c r="A473" s="90"/>
      <c r="B473" s="280" t="s">
        <v>8</v>
      </c>
      <c r="C473" s="64"/>
      <c r="D473" s="272">
        <v>24109</v>
      </c>
      <c r="E473" s="312">
        <v>794743</v>
      </c>
      <c r="F473" s="313">
        <v>12488</v>
      </c>
      <c r="G473" s="314" t="s">
        <v>120</v>
      </c>
      <c r="H473" s="314" t="s">
        <v>410</v>
      </c>
      <c r="I473" s="314" t="s">
        <v>9</v>
      </c>
      <c r="J473" s="314" t="s">
        <v>392</v>
      </c>
      <c r="K473" s="275">
        <v>0.33333333333333331</v>
      </c>
      <c r="L473" s="275">
        <v>0.51388888888888895</v>
      </c>
      <c r="M473" s="275">
        <v>0.18055555555555555</v>
      </c>
      <c r="N473" s="275">
        <v>0.38194444444444442</v>
      </c>
      <c r="O473" s="275">
        <v>0.54166666666666663</v>
      </c>
      <c r="P473" s="275">
        <v>0.61805555555555558</v>
      </c>
      <c r="Q473" s="276">
        <v>41306</v>
      </c>
      <c r="R473" s="284" t="s">
        <v>72</v>
      </c>
      <c r="S473" s="276">
        <v>41329</v>
      </c>
      <c r="T473" s="284">
        <v>1333</v>
      </c>
      <c r="U473" s="314" t="s">
        <v>2216</v>
      </c>
      <c r="V473" s="276">
        <v>42646</v>
      </c>
      <c r="W473" s="276">
        <v>42643</v>
      </c>
      <c r="X473" s="276" t="s">
        <v>2</v>
      </c>
      <c r="Y473" s="314" t="s">
        <v>2245</v>
      </c>
      <c r="Z473" s="314" t="s">
        <v>2</v>
      </c>
      <c r="AA473" s="314" t="s">
        <v>2</v>
      </c>
      <c r="AB473" s="276" t="s">
        <v>2</v>
      </c>
      <c r="AC473" s="314" t="s">
        <v>2</v>
      </c>
      <c r="AD473" s="277">
        <v>3650020</v>
      </c>
      <c r="AE473" s="276">
        <v>34208</v>
      </c>
      <c r="AF473" s="314" t="s">
        <v>2195</v>
      </c>
      <c r="AG473" s="314" t="s">
        <v>775</v>
      </c>
      <c r="AH473" s="314" t="s">
        <v>68</v>
      </c>
      <c r="AI473" s="314" t="s">
        <v>89</v>
      </c>
      <c r="AJ473" s="281">
        <v>810010</v>
      </c>
      <c r="AK473" s="281" t="s">
        <v>807</v>
      </c>
      <c r="AL473" s="281" t="s">
        <v>455</v>
      </c>
      <c r="AM473" s="281" t="s">
        <v>2</v>
      </c>
      <c r="AN473" s="281" t="s">
        <v>413</v>
      </c>
      <c r="AO473" s="281" t="s">
        <v>1097</v>
      </c>
      <c r="AP473" s="281" t="s">
        <v>1249</v>
      </c>
      <c r="AQ473" s="282" t="s">
        <v>2</v>
      </c>
      <c r="AW473" s="64"/>
    </row>
    <row r="474" spans="1:49" ht="15" customHeight="1">
      <c r="A474" s="90"/>
      <c r="B474" s="280" t="s">
        <v>26</v>
      </c>
      <c r="C474" s="64"/>
      <c r="D474" s="272">
        <v>22039</v>
      </c>
      <c r="E474" s="312">
        <v>770416</v>
      </c>
      <c r="F474" s="313">
        <v>17052</v>
      </c>
      <c r="G474" s="314" t="s">
        <v>126</v>
      </c>
      <c r="H474" s="314" t="s">
        <v>410</v>
      </c>
      <c r="I474" s="314" t="s">
        <v>16</v>
      </c>
      <c r="J474" s="314" t="s">
        <v>393</v>
      </c>
      <c r="K474" s="275">
        <v>0.33333333333333331</v>
      </c>
      <c r="L474" s="275">
        <v>0.51388888888888895</v>
      </c>
      <c r="M474" s="275">
        <v>0.18055555555555555</v>
      </c>
      <c r="N474" s="275">
        <v>0.39583333333333331</v>
      </c>
      <c r="O474" s="275">
        <v>0.4861111111111111</v>
      </c>
      <c r="P474" s="275">
        <v>0.54861111111111105</v>
      </c>
      <c r="Q474" s="276">
        <v>41065</v>
      </c>
      <c r="R474" s="284" t="s">
        <v>72</v>
      </c>
      <c r="S474" s="276">
        <v>41088</v>
      </c>
      <c r="T474" s="284">
        <v>1574</v>
      </c>
      <c r="U474" s="314" t="s">
        <v>2216</v>
      </c>
      <c r="V474" s="276">
        <v>42646</v>
      </c>
      <c r="W474" s="276">
        <v>42646</v>
      </c>
      <c r="X474" s="276" t="s">
        <v>2</v>
      </c>
      <c r="Y474" s="314" t="s">
        <v>2</v>
      </c>
      <c r="Z474" s="131" t="s">
        <v>89</v>
      </c>
      <c r="AA474" s="131" t="s">
        <v>2874</v>
      </c>
      <c r="AB474" s="276">
        <v>42646</v>
      </c>
      <c r="AC474" s="131" t="s">
        <v>2</v>
      </c>
      <c r="AD474" s="277">
        <v>8542100</v>
      </c>
      <c r="AE474" s="276">
        <v>33576</v>
      </c>
      <c r="AF474" s="131" t="s">
        <v>2194</v>
      </c>
      <c r="AG474" s="314" t="s">
        <v>775</v>
      </c>
      <c r="AH474" s="314" t="s">
        <v>68</v>
      </c>
      <c r="AI474" s="314" t="s">
        <v>89</v>
      </c>
      <c r="AJ474" s="281" t="s">
        <v>2</v>
      </c>
      <c r="AK474" s="281" t="s">
        <v>813</v>
      </c>
      <c r="AL474" s="281" t="s">
        <v>461</v>
      </c>
      <c r="AM474" s="281" t="s">
        <v>2</v>
      </c>
      <c r="AN474" s="281" t="s">
        <v>413</v>
      </c>
      <c r="AO474" s="281" t="s">
        <v>1103</v>
      </c>
      <c r="AP474" s="281" t="s">
        <v>2</v>
      </c>
      <c r="AQ474" s="282" t="s">
        <v>1249</v>
      </c>
      <c r="AW474" s="64"/>
    </row>
    <row r="475" spans="1:49" ht="15" customHeight="1">
      <c r="A475" s="90"/>
      <c r="B475" s="280" t="e">
        <v>#REF!</v>
      </c>
      <c r="C475" s="64"/>
      <c r="D475" s="272">
        <v>21448</v>
      </c>
      <c r="E475" s="312">
        <v>766120</v>
      </c>
      <c r="F475" s="313">
        <v>12570</v>
      </c>
      <c r="G475" s="314" t="s">
        <v>130</v>
      </c>
      <c r="H475" s="314" t="s">
        <v>410</v>
      </c>
      <c r="I475" s="314" t="s">
        <v>9</v>
      </c>
      <c r="J475" s="314" t="s">
        <v>393</v>
      </c>
      <c r="K475" s="275">
        <v>0.375</v>
      </c>
      <c r="L475" s="275">
        <v>0.63888888888888895</v>
      </c>
      <c r="M475" s="275">
        <v>0.2638888888888889</v>
      </c>
      <c r="N475" s="275">
        <v>0.41666666666666669</v>
      </c>
      <c r="O475" s="275">
        <v>0.5</v>
      </c>
      <c r="P475" s="275">
        <v>0.54861111111111105</v>
      </c>
      <c r="Q475" s="276">
        <v>41008</v>
      </c>
      <c r="R475" s="284" t="s">
        <v>72</v>
      </c>
      <c r="S475" s="276">
        <v>41031</v>
      </c>
      <c r="T475" s="284">
        <v>1631</v>
      </c>
      <c r="U475" s="314" t="s">
        <v>2216</v>
      </c>
      <c r="V475" s="276">
        <v>42646</v>
      </c>
      <c r="W475" s="276">
        <v>42643</v>
      </c>
      <c r="X475" s="227" t="s">
        <v>2</v>
      </c>
      <c r="Y475" s="314" t="s">
        <v>2245</v>
      </c>
      <c r="Z475" s="131" t="s">
        <v>2</v>
      </c>
      <c r="AA475" s="131" t="s">
        <v>2</v>
      </c>
      <c r="AB475" s="276" t="s">
        <v>2</v>
      </c>
      <c r="AC475" s="131" t="s">
        <v>2</v>
      </c>
      <c r="AD475" s="277">
        <v>2856060</v>
      </c>
      <c r="AE475" s="276">
        <v>33716</v>
      </c>
      <c r="AF475" s="131" t="s">
        <v>2189</v>
      </c>
      <c r="AG475" s="314" t="s">
        <v>775</v>
      </c>
      <c r="AH475" s="314" t="s">
        <v>68</v>
      </c>
      <c r="AI475" s="314" t="s">
        <v>89</v>
      </c>
      <c r="AJ475" s="281" t="s">
        <v>2</v>
      </c>
      <c r="AK475" s="281" t="s">
        <v>817</v>
      </c>
      <c r="AL475" s="281" t="s">
        <v>465</v>
      </c>
      <c r="AM475" s="281" t="s">
        <v>2</v>
      </c>
      <c r="AN475" s="281" t="s">
        <v>413</v>
      </c>
      <c r="AO475" s="281" t="s">
        <v>1107</v>
      </c>
      <c r="AP475" s="281" t="s">
        <v>1249</v>
      </c>
      <c r="AQ475" s="282" t="s">
        <v>2</v>
      </c>
      <c r="AW475" s="64"/>
    </row>
    <row r="476" spans="1:49" ht="15" customHeight="1">
      <c r="A476" s="90"/>
      <c r="B476" s="280" t="e">
        <v>#REF!</v>
      </c>
      <c r="C476" s="64"/>
      <c r="D476" s="272">
        <v>25622</v>
      </c>
      <c r="E476" s="312">
        <v>807837</v>
      </c>
      <c r="F476" s="313">
        <v>12086</v>
      </c>
      <c r="G476" s="314" t="s">
        <v>123</v>
      </c>
      <c r="H476" s="314" t="s">
        <v>410</v>
      </c>
      <c r="I476" s="314" t="s">
        <v>16</v>
      </c>
      <c r="J476" s="314" t="s">
        <v>393</v>
      </c>
      <c r="K476" s="275">
        <v>0.61111111111111105</v>
      </c>
      <c r="L476" s="275">
        <v>0.875</v>
      </c>
      <c r="M476" s="275">
        <v>0.2638888888888889</v>
      </c>
      <c r="N476" s="275">
        <v>0.65277777777777779</v>
      </c>
      <c r="O476" s="275">
        <v>0.70833333333333337</v>
      </c>
      <c r="P476" s="275">
        <v>0.82638888888888884</v>
      </c>
      <c r="Q476" s="276">
        <v>41429</v>
      </c>
      <c r="R476" s="284" t="s">
        <v>72</v>
      </c>
      <c r="S476" s="276">
        <v>41452</v>
      </c>
      <c r="T476" s="284">
        <v>1210</v>
      </c>
      <c r="U476" s="314" t="s">
        <v>2216</v>
      </c>
      <c r="V476" s="276">
        <v>42646</v>
      </c>
      <c r="W476" s="276">
        <v>42646</v>
      </c>
      <c r="X476" s="276" t="s">
        <v>2</v>
      </c>
      <c r="Y476" s="314" t="s">
        <v>2</v>
      </c>
      <c r="Z476" s="314" t="s">
        <v>89</v>
      </c>
      <c r="AA476" s="314" t="s">
        <v>2714</v>
      </c>
      <c r="AB476" s="276">
        <v>42646</v>
      </c>
      <c r="AC476" s="314" t="s">
        <v>2</v>
      </c>
      <c r="AD476" s="277">
        <v>8347650</v>
      </c>
      <c r="AE476" s="276">
        <v>34027</v>
      </c>
      <c r="AF476" s="314" t="s">
        <v>2194</v>
      </c>
      <c r="AG476" s="314" t="s">
        <v>775</v>
      </c>
      <c r="AH476" s="314" t="s">
        <v>68</v>
      </c>
      <c r="AI476" s="314" t="s">
        <v>89</v>
      </c>
      <c r="AJ476" s="281" t="s">
        <v>2</v>
      </c>
      <c r="AK476" s="281" t="s">
        <v>810</v>
      </c>
      <c r="AL476" s="281" t="s">
        <v>458</v>
      </c>
      <c r="AM476" s="281" t="s">
        <v>2</v>
      </c>
      <c r="AN476" s="281" t="s">
        <v>413</v>
      </c>
      <c r="AO476" s="281" t="s">
        <v>1100</v>
      </c>
      <c r="AP476" s="281" t="s">
        <v>2</v>
      </c>
      <c r="AQ476" s="282" t="s">
        <v>2</v>
      </c>
      <c r="AW476" s="64"/>
    </row>
    <row r="477" spans="1:49" ht="15" customHeight="1">
      <c r="A477" s="90"/>
      <c r="B477" s="280" t="e">
        <v>#REF!</v>
      </c>
      <c r="C477" s="64"/>
      <c r="D477" s="132">
        <v>23421</v>
      </c>
      <c r="E477" s="232">
        <v>786552</v>
      </c>
      <c r="F477" s="313">
        <v>12035</v>
      </c>
      <c r="G477" s="314" t="s">
        <v>2786</v>
      </c>
      <c r="H477" s="314" t="s">
        <v>410</v>
      </c>
      <c r="I477" s="314" t="s">
        <v>16</v>
      </c>
      <c r="J477" s="314" t="s">
        <v>393</v>
      </c>
      <c r="K477" s="275">
        <v>0.65277777777777779</v>
      </c>
      <c r="L477" s="275">
        <v>0.91666666666666663</v>
      </c>
      <c r="M477" s="275">
        <v>0.2638888888888889</v>
      </c>
      <c r="N477" s="275">
        <v>0.70833333333333337</v>
      </c>
      <c r="O477" s="275">
        <v>0.80555555555555547</v>
      </c>
      <c r="P477" s="275">
        <v>0.86805555555555547</v>
      </c>
      <c r="Q477" s="276">
        <v>41219</v>
      </c>
      <c r="R477" s="284" t="s">
        <v>72</v>
      </c>
      <c r="S477" s="276">
        <v>41242</v>
      </c>
      <c r="T477" s="284">
        <v>1420</v>
      </c>
      <c r="U477" s="314" t="s">
        <v>2216</v>
      </c>
      <c r="V477" s="276">
        <v>42646</v>
      </c>
      <c r="W477" s="276">
        <v>42646</v>
      </c>
      <c r="X477" s="276" t="s">
        <v>2</v>
      </c>
      <c r="Y477" s="314" t="s">
        <v>2</v>
      </c>
      <c r="Z477" s="131" t="s">
        <v>89</v>
      </c>
      <c r="AA477" s="131" t="s">
        <v>2714</v>
      </c>
      <c r="AB477" s="276">
        <v>42646</v>
      </c>
      <c r="AC477" s="314" t="s">
        <v>2</v>
      </c>
      <c r="AD477" s="277">
        <v>4168010</v>
      </c>
      <c r="AE477" s="276">
        <v>30819</v>
      </c>
      <c r="AF477" s="314" t="s">
        <v>2188</v>
      </c>
      <c r="AG477" s="314" t="s">
        <v>775</v>
      </c>
      <c r="AH477" s="314" t="s">
        <v>68</v>
      </c>
      <c r="AI477" s="314" t="s">
        <v>89</v>
      </c>
      <c r="AJ477" s="281" t="s">
        <v>2</v>
      </c>
      <c r="AK477" s="281" t="s">
        <v>2787</v>
      </c>
      <c r="AL477" s="281" t="s">
        <v>2788</v>
      </c>
      <c r="AM477" s="233" t="s">
        <v>2</v>
      </c>
      <c r="AN477" s="233" t="s">
        <v>413</v>
      </c>
      <c r="AO477" s="233" t="s">
        <v>2789</v>
      </c>
      <c r="AP477" s="233" t="s">
        <v>1249</v>
      </c>
      <c r="AQ477" s="234" t="s">
        <v>2</v>
      </c>
      <c r="AW477" s="64"/>
    </row>
    <row r="478" spans="1:49" ht="15" customHeight="1">
      <c r="A478" s="90"/>
      <c r="B478" s="280" t="e">
        <v>#REF!</v>
      </c>
      <c r="C478" s="64"/>
      <c r="D478" s="272">
        <v>30446</v>
      </c>
      <c r="E478" s="315">
        <v>876651</v>
      </c>
      <c r="F478" s="313">
        <v>12961</v>
      </c>
      <c r="G478" s="314" t="s">
        <v>197</v>
      </c>
      <c r="H478" s="314" t="s">
        <v>411</v>
      </c>
      <c r="I478" s="314" t="s">
        <v>9</v>
      </c>
      <c r="J478" s="314" t="s">
        <v>394</v>
      </c>
      <c r="K478" s="275">
        <v>0.33333333333333331</v>
      </c>
      <c r="L478" s="275">
        <v>0.67499999999999993</v>
      </c>
      <c r="M478" s="275">
        <v>0.34166666666666662</v>
      </c>
      <c r="N478" s="275">
        <v>0.4375</v>
      </c>
      <c r="O478" s="275">
        <v>0.54166666666666663</v>
      </c>
      <c r="P478" s="275">
        <v>0.66666666666666663</v>
      </c>
      <c r="Q478" s="276">
        <v>42079</v>
      </c>
      <c r="R478" s="284" t="s">
        <v>72</v>
      </c>
      <c r="S478" s="276">
        <v>42100</v>
      </c>
      <c r="T478" s="284">
        <v>562</v>
      </c>
      <c r="U478" s="314" t="s">
        <v>2217</v>
      </c>
      <c r="V478" s="276">
        <v>42654</v>
      </c>
      <c r="W478" s="276">
        <v>42654</v>
      </c>
      <c r="X478" s="276" t="s">
        <v>2</v>
      </c>
      <c r="Y478" s="314" t="s">
        <v>2245</v>
      </c>
      <c r="Z478" s="314" t="s">
        <v>398</v>
      </c>
      <c r="AA478" s="314" t="s">
        <v>394</v>
      </c>
      <c r="AB478" s="276">
        <v>42403</v>
      </c>
      <c r="AC478" s="314" t="s">
        <v>1251</v>
      </c>
      <c r="AD478" s="277" t="s">
        <v>724</v>
      </c>
      <c r="AE478" s="276">
        <v>34972</v>
      </c>
      <c r="AF478" s="314" t="s">
        <v>2195</v>
      </c>
      <c r="AG478" s="314" t="s">
        <v>775</v>
      </c>
      <c r="AH478" s="314" t="s">
        <v>68</v>
      </c>
      <c r="AI478" s="314" t="s">
        <v>89</v>
      </c>
      <c r="AJ478" s="281" t="s">
        <v>2</v>
      </c>
      <c r="AK478" s="281" t="s">
        <v>881</v>
      </c>
      <c r="AL478" s="281" t="s">
        <v>530</v>
      </c>
      <c r="AM478" s="281" t="s">
        <v>2</v>
      </c>
      <c r="AN478" s="281" t="s">
        <v>413</v>
      </c>
      <c r="AO478" s="281" t="s">
        <v>2527</v>
      </c>
      <c r="AP478" s="281" t="s">
        <v>2</v>
      </c>
      <c r="AQ478" s="282" t="s">
        <v>2</v>
      </c>
      <c r="AW478" s="64"/>
    </row>
    <row r="479" spans="1:49" ht="15" customHeight="1">
      <c r="B479" s="280" t="e">
        <v>#REF!</v>
      </c>
      <c r="C479" s="64"/>
      <c r="D479" s="272">
        <v>24588</v>
      </c>
      <c r="E479" s="312">
        <v>797813</v>
      </c>
      <c r="F479" s="313">
        <v>12414</v>
      </c>
      <c r="G479" s="314" t="s">
        <v>177</v>
      </c>
      <c r="H479" s="314" t="s">
        <v>410</v>
      </c>
      <c r="I479" s="314" t="s">
        <v>9</v>
      </c>
      <c r="J479" s="314" t="s">
        <v>397</v>
      </c>
      <c r="K479" s="275">
        <v>0.375</v>
      </c>
      <c r="L479" s="275">
        <v>0.6333333333333333</v>
      </c>
      <c r="M479" s="275">
        <v>0.25833333333333336</v>
      </c>
      <c r="N479" s="275" t="s">
        <v>2</v>
      </c>
      <c r="O479" s="275" t="s">
        <v>2</v>
      </c>
      <c r="P479" s="275" t="s">
        <v>2</v>
      </c>
      <c r="Q479" s="276">
        <v>41334</v>
      </c>
      <c r="R479" s="284" t="s">
        <v>72</v>
      </c>
      <c r="S479" s="276">
        <v>41357</v>
      </c>
      <c r="T479" s="284">
        <v>1305</v>
      </c>
      <c r="U479" s="314" t="s">
        <v>2220</v>
      </c>
      <c r="V479" s="276">
        <v>42646</v>
      </c>
      <c r="W479" s="276">
        <v>42643</v>
      </c>
      <c r="X479" s="276" t="s">
        <v>2</v>
      </c>
      <c r="Y479" s="314" t="s">
        <v>2245</v>
      </c>
      <c r="Z479" s="314" t="s">
        <v>2</v>
      </c>
      <c r="AA479" s="314" t="s">
        <v>2</v>
      </c>
      <c r="AB479" s="276" t="s">
        <v>2</v>
      </c>
      <c r="AC479" s="314" t="s">
        <v>2</v>
      </c>
      <c r="AD479" s="277">
        <v>2367081</v>
      </c>
      <c r="AE479" s="276">
        <v>33864</v>
      </c>
      <c r="AF479" s="314" t="s">
        <v>2189</v>
      </c>
      <c r="AG479" s="314" t="s">
        <v>775</v>
      </c>
      <c r="AH479" s="314" t="s">
        <v>68</v>
      </c>
      <c r="AI479" s="314" t="s">
        <v>89</v>
      </c>
      <c r="AJ479" s="281" t="s">
        <v>2</v>
      </c>
      <c r="AK479" s="281" t="s">
        <v>863</v>
      </c>
      <c r="AL479" s="281" t="s">
        <v>511</v>
      </c>
      <c r="AM479" s="281" t="s">
        <v>2</v>
      </c>
      <c r="AN479" s="281" t="s">
        <v>413</v>
      </c>
      <c r="AO479" s="281" t="s">
        <v>1149</v>
      </c>
      <c r="AP479" s="281" t="s">
        <v>1249</v>
      </c>
      <c r="AQ479" s="282" t="s">
        <v>1249</v>
      </c>
      <c r="AW479" s="64"/>
    </row>
    <row r="480" spans="1:49" ht="15" customHeight="1">
      <c r="B480" s="280" t="e">
        <v>#REF!</v>
      </c>
      <c r="C480" s="64"/>
      <c r="D480" s="272">
        <v>20738</v>
      </c>
      <c r="E480" s="312">
        <v>761493</v>
      </c>
      <c r="F480" s="313">
        <v>12584</v>
      </c>
      <c r="G480" s="314" t="s">
        <v>2392</v>
      </c>
      <c r="H480" s="314" t="s">
        <v>410</v>
      </c>
      <c r="I480" s="314" t="s">
        <v>16</v>
      </c>
      <c r="J480" s="314" t="s">
        <v>397</v>
      </c>
      <c r="K480" s="275">
        <v>0.61111111111111105</v>
      </c>
      <c r="L480" s="275">
        <v>0.79166666666666663</v>
      </c>
      <c r="M480" s="275">
        <v>0.18055555555555555</v>
      </c>
      <c r="N480" s="275" t="s">
        <v>2</v>
      </c>
      <c r="O480" s="275" t="s">
        <v>2</v>
      </c>
      <c r="P480" s="275" t="s">
        <v>2</v>
      </c>
      <c r="Q480" s="276">
        <v>40952</v>
      </c>
      <c r="R480" s="284" t="s">
        <v>72</v>
      </c>
      <c r="S480" s="276">
        <v>40975</v>
      </c>
      <c r="T480" s="284">
        <v>1687</v>
      </c>
      <c r="U480" s="314" t="s">
        <v>2220</v>
      </c>
      <c r="V480" s="276">
        <v>42646</v>
      </c>
      <c r="W480" s="276">
        <v>42646</v>
      </c>
      <c r="X480" s="276" t="s">
        <v>2</v>
      </c>
      <c r="Y480" s="314" t="s">
        <v>2</v>
      </c>
      <c r="Z480" s="131" t="s">
        <v>89</v>
      </c>
      <c r="AA480" s="131" t="s">
        <v>2714</v>
      </c>
      <c r="AB480" s="276">
        <v>42646</v>
      </c>
      <c r="AC480" s="314" t="s">
        <v>2</v>
      </c>
      <c r="AD480" s="277">
        <v>3729000</v>
      </c>
      <c r="AE480" s="276">
        <v>26398</v>
      </c>
      <c r="AF480" s="278" t="s">
        <v>2195</v>
      </c>
      <c r="AG480" s="314" t="s">
        <v>775</v>
      </c>
      <c r="AH480" s="314" t="s">
        <v>68</v>
      </c>
      <c r="AI480" s="314" t="s">
        <v>89</v>
      </c>
      <c r="AJ480" s="281" t="s">
        <v>2</v>
      </c>
      <c r="AK480" s="281" t="s">
        <v>862</v>
      </c>
      <c r="AL480" s="281" t="s">
        <v>510</v>
      </c>
      <c r="AM480" s="281" t="s">
        <v>2</v>
      </c>
      <c r="AN480" s="281" t="s">
        <v>413</v>
      </c>
      <c r="AO480" s="281" t="s">
        <v>1148</v>
      </c>
      <c r="AP480" s="281" t="s">
        <v>1249</v>
      </c>
      <c r="AQ480" s="282" t="s">
        <v>1249</v>
      </c>
      <c r="AW480" s="64"/>
    </row>
    <row r="481" spans="1:49" ht="15" customHeight="1">
      <c r="B481" s="280" t="e">
        <v>#REF!</v>
      </c>
      <c r="C481" s="64"/>
      <c r="D481" s="272">
        <v>31438</v>
      </c>
      <c r="E481" s="312">
        <v>911890</v>
      </c>
      <c r="F481" s="313">
        <v>17111</v>
      </c>
      <c r="G481" s="314" t="s">
        <v>2644</v>
      </c>
      <c r="H481" s="314" t="s">
        <v>420</v>
      </c>
      <c r="I481" s="314" t="s">
        <v>9</v>
      </c>
      <c r="J481" s="314" t="s">
        <v>398</v>
      </c>
      <c r="K481" s="275">
        <v>0.57500000000000007</v>
      </c>
      <c r="L481" s="275">
        <v>0.91666666666666663</v>
      </c>
      <c r="M481" s="275">
        <v>0.34166666666666662</v>
      </c>
      <c r="N481" s="275">
        <v>0.63194444444444442</v>
      </c>
      <c r="O481" s="275">
        <v>0.75</v>
      </c>
      <c r="P481" s="275">
        <v>0.84027777777777779</v>
      </c>
      <c r="Q481" s="276">
        <v>42373</v>
      </c>
      <c r="R481" s="284" t="s">
        <v>72</v>
      </c>
      <c r="S481" s="276">
        <v>42401</v>
      </c>
      <c r="T481" s="284">
        <v>261</v>
      </c>
      <c r="U481" s="314" t="s">
        <v>2218</v>
      </c>
      <c r="V481" s="276">
        <v>42647</v>
      </c>
      <c r="W481" s="276">
        <v>42647</v>
      </c>
      <c r="X481" s="227" t="s">
        <v>2</v>
      </c>
      <c r="Y481" s="314" t="s">
        <v>2246</v>
      </c>
      <c r="Z481" s="314" t="s">
        <v>2</v>
      </c>
      <c r="AA481" s="314" t="s">
        <v>2</v>
      </c>
      <c r="AB481" s="276" t="s">
        <v>2</v>
      </c>
      <c r="AC481" s="314" t="s">
        <v>1257</v>
      </c>
      <c r="AD481" s="277" t="s">
        <v>2</v>
      </c>
      <c r="AE481" s="276">
        <v>33525</v>
      </c>
      <c r="AF481" s="314" t="s">
        <v>2</v>
      </c>
      <c r="AG481" s="314" t="s">
        <v>775</v>
      </c>
      <c r="AH481" s="314" t="s">
        <v>68</v>
      </c>
      <c r="AI481" s="314" t="s">
        <v>89</v>
      </c>
      <c r="AJ481" s="281">
        <v>410395</v>
      </c>
      <c r="AK481" s="316" t="s">
        <v>2653</v>
      </c>
      <c r="AL481" s="316" t="s">
        <v>2660</v>
      </c>
      <c r="AM481" s="316" t="s">
        <v>2</v>
      </c>
      <c r="AN481" s="316" t="s">
        <v>414</v>
      </c>
      <c r="AO481" s="316" t="s">
        <v>2668</v>
      </c>
      <c r="AP481" s="316" t="s">
        <v>1249</v>
      </c>
      <c r="AQ481" s="282" t="s">
        <v>1249</v>
      </c>
      <c r="AW481" s="64"/>
    </row>
    <row r="482" spans="1:49" ht="15" customHeight="1">
      <c r="B482" s="280" t="e">
        <v>#REF!</v>
      </c>
      <c r="C482" s="64"/>
      <c r="D482" s="272">
        <v>30476</v>
      </c>
      <c r="E482" s="315">
        <v>876823</v>
      </c>
      <c r="F482" s="313">
        <v>12508</v>
      </c>
      <c r="G482" s="314" t="s">
        <v>360</v>
      </c>
      <c r="H482" s="314" t="s">
        <v>414</v>
      </c>
      <c r="I482" s="314" t="s">
        <v>9</v>
      </c>
      <c r="J482" s="314" t="s">
        <v>404</v>
      </c>
      <c r="K482" s="275">
        <v>0.54166666666666663</v>
      </c>
      <c r="L482" s="275">
        <v>0.80555555555555547</v>
      </c>
      <c r="M482" s="275">
        <v>0.2638888888888889</v>
      </c>
      <c r="N482" s="275">
        <v>0.58333333333333337</v>
      </c>
      <c r="O482" s="275">
        <v>0.66666666666666663</v>
      </c>
      <c r="P482" s="275">
        <v>0.75</v>
      </c>
      <c r="Q482" s="276">
        <v>42079</v>
      </c>
      <c r="R482" s="284" t="s">
        <v>72</v>
      </c>
      <c r="S482" s="276">
        <v>42086</v>
      </c>
      <c r="T482" s="284">
        <v>576</v>
      </c>
      <c r="U482" s="314" t="s">
        <v>2219</v>
      </c>
      <c r="V482" s="276">
        <v>42653</v>
      </c>
      <c r="W482" s="276">
        <v>42653</v>
      </c>
      <c r="X482" s="276" t="s">
        <v>2</v>
      </c>
      <c r="Y482" s="314" t="s">
        <v>2245</v>
      </c>
      <c r="Z482" s="314" t="s">
        <v>2</v>
      </c>
      <c r="AA482" s="314" t="s">
        <v>2</v>
      </c>
      <c r="AB482" s="276" t="s">
        <v>2</v>
      </c>
      <c r="AC482" s="314" t="s">
        <v>2</v>
      </c>
      <c r="AD482" s="277" t="s">
        <v>2</v>
      </c>
      <c r="AE482" s="276">
        <v>35259</v>
      </c>
      <c r="AF482" s="314" t="s">
        <v>2</v>
      </c>
      <c r="AG482" s="314" t="s">
        <v>775</v>
      </c>
      <c r="AH482" s="314" t="s">
        <v>68</v>
      </c>
      <c r="AI482" s="314" t="s">
        <v>89</v>
      </c>
      <c r="AJ482" s="281" t="s">
        <v>2</v>
      </c>
      <c r="AK482" s="221" t="s">
        <v>1038</v>
      </c>
      <c r="AL482" s="316" t="s">
        <v>688</v>
      </c>
      <c r="AM482" s="316" t="s">
        <v>2</v>
      </c>
      <c r="AN482" s="316" t="s">
        <v>413</v>
      </c>
      <c r="AO482" s="316" t="s">
        <v>1218</v>
      </c>
      <c r="AP482" s="281" t="s">
        <v>2</v>
      </c>
      <c r="AQ482" s="282" t="s">
        <v>2</v>
      </c>
      <c r="AW482" s="64"/>
    </row>
    <row r="483" spans="1:49" ht="15" customHeight="1">
      <c r="A483" s="72"/>
      <c r="B483" s="280" t="e">
        <v>#REF!</v>
      </c>
      <c r="C483" s="91"/>
      <c r="D483" s="272">
        <v>20236</v>
      </c>
      <c r="E483" s="312">
        <v>758424</v>
      </c>
      <c r="F483" s="313">
        <v>17164</v>
      </c>
      <c r="G483" s="314" t="s">
        <v>1347</v>
      </c>
      <c r="H483" s="314" t="s">
        <v>413</v>
      </c>
      <c r="I483" s="314" t="s">
        <v>9</v>
      </c>
      <c r="J483" s="314" t="s">
        <v>1274</v>
      </c>
      <c r="K483" s="275">
        <v>0.29166666666666669</v>
      </c>
      <c r="L483" s="275">
        <v>0.55555555555555558</v>
      </c>
      <c r="M483" s="275">
        <v>0.2638888888888889</v>
      </c>
      <c r="N483" s="275" t="s">
        <v>2</v>
      </c>
      <c r="O483" s="275" t="s">
        <v>2</v>
      </c>
      <c r="P483" s="275" t="s">
        <v>2</v>
      </c>
      <c r="Q483" s="276">
        <v>40919</v>
      </c>
      <c r="R483" s="276" t="s">
        <v>72</v>
      </c>
      <c r="S483" s="284" t="s">
        <v>2</v>
      </c>
      <c r="T483" s="314">
        <v>1664</v>
      </c>
      <c r="U483" s="276" t="s">
        <v>2241</v>
      </c>
      <c r="V483" s="276">
        <v>42649</v>
      </c>
      <c r="W483" s="276">
        <v>42646</v>
      </c>
      <c r="X483" s="276" t="s">
        <v>2</v>
      </c>
      <c r="Y483" s="314" t="s">
        <v>2199</v>
      </c>
      <c r="Z483" s="314" t="s">
        <v>2</v>
      </c>
      <c r="AA483" s="314" t="s">
        <v>2</v>
      </c>
      <c r="AB483" s="314" t="s">
        <v>2</v>
      </c>
      <c r="AC483" s="277" t="s">
        <v>2</v>
      </c>
      <c r="AD483" s="277">
        <v>8530130</v>
      </c>
      <c r="AE483" s="276">
        <v>24129</v>
      </c>
      <c r="AF483" s="281" t="s">
        <v>2194</v>
      </c>
      <c r="AG483" s="281" t="s">
        <v>776</v>
      </c>
      <c r="AH483" s="314" t="s">
        <v>69</v>
      </c>
      <c r="AI483" s="281" t="s">
        <v>89</v>
      </c>
      <c r="AJ483" s="281" t="s">
        <v>2</v>
      </c>
      <c r="AK483" s="281" t="s">
        <v>1405</v>
      </c>
      <c r="AL483" s="281" t="s">
        <v>1381</v>
      </c>
      <c r="AM483" s="316" t="s">
        <v>2</v>
      </c>
      <c r="AN483" s="316" t="s">
        <v>2</v>
      </c>
      <c r="AO483" s="316" t="s">
        <v>1428</v>
      </c>
      <c r="AP483" s="281" t="s">
        <v>2</v>
      </c>
      <c r="AQ483" s="282" t="s">
        <v>2</v>
      </c>
      <c r="AR483" s="64"/>
      <c r="AS483" s="64"/>
      <c r="AT483" s="64"/>
      <c r="AU483" s="64"/>
      <c r="AV483" s="64"/>
      <c r="AW483" s="64"/>
    </row>
    <row r="484" spans="1:49" ht="15" customHeight="1">
      <c r="A484" s="72"/>
      <c r="B484" s="280" t="e">
        <v>#REF!</v>
      </c>
      <c r="C484" s="91"/>
      <c r="D484" s="272">
        <v>20603</v>
      </c>
      <c r="E484" s="312">
        <v>760691</v>
      </c>
      <c r="F484" s="313">
        <v>12232</v>
      </c>
      <c r="G484" s="314" t="s">
        <v>1350</v>
      </c>
      <c r="H484" s="314" t="s">
        <v>2801</v>
      </c>
      <c r="I484" s="314" t="s">
        <v>9</v>
      </c>
      <c r="J484" s="314" t="s">
        <v>7</v>
      </c>
      <c r="K484" s="275">
        <v>0.375</v>
      </c>
      <c r="L484" s="275">
        <v>0.75</v>
      </c>
      <c r="M484" s="275">
        <v>0.375</v>
      </c>
      <c r="N484" s="275" t="s">
        <v>2</v>
      </c>
      <c r="O484" s="275" t="s">
        <v>2</v>
      </c>
      <c r="P484" s="275" t="s">
        <v>2</v>
      </c>
      <c r="Q484" s="276">
        <v>40945</v>
      </c>
      <c r="R484" s="276" t="s">
        <v>72</v>
      </c>
      <c r="S484" s="276" t="s">
        <v>2</v>
      </c>
      <c r="T484" s="284">
        <v>1638</v>
      </c>
      <c r="U484" s="314" t="s">
        <v>2225</v>
      </c>
      <c r="V484" s="276">
        <v>42667</v>
      </c>
      <c r="W484" s="276">
        <v>42664</v>
      </c>
      <c r="X484" s="276" t="s">
        <v>2</v>
      </c>
      <c r="Y484" s="276" t="s">
        <v>2199</v>
      </c>
      <c r="Z484" s="314" t="s">
        <v>2</v>
      </c>
      <c r="AA484" s="314" t="s">
        <v>2</v>
      </c>
      <c r="AB484" s="314" t="s">
        <v>2</v>
      </c>
      <c r="AC484" s="314" t="s">
        <v>2</v>
      </c>
      <c r="AD484" s="277">
        <v>6186010</v>
      </c>
      <c r="AE484" s="276">
        <v>33728</v>
      </c>
      <c r="AF484" s="314" t="s">
        <v>2193</v>
      </c>
      <c r="AG484" s="314" t="s">
        <v>2801</v>
      </c>
      <c r="AH484" s="52" t="s">
        <v>69</v>
      </c>
      <c r="AI484" s="314" t="s">
        <v>89</v>
      </c>
      <c r="AJ484" s="278" t="s">
        <v>2</v>
      </c>
      <c r="AK484" s="113" t="s">
        <v>1408</v>
      </c>
      <c r="AL484" s="314" t="s">
        <v>1384</v>
      </c>
      <c r="AM484" s="316" t="s">
        <v>2</v>
      </c>
      <c r="AN484" s="316" t="s">
        <v>2</v>
      </c>
      <c r="AO484" s="316" t="s">
        <v>1430</v>
      </c>
      <c r="AP484" s="281" t="s">
        <v>2</v>
      </c>
      <c r="AQ484" s="282" t="s">
        <v>2</v>
      </c>
      <c r="AR484" s="64"/>
      <c r="AS484" s="64"/>
      <c r="AT484" s="64"/>
      <c r="AU484" s="64"/>
      <c r="AV484" s="64"/>
      <c r="AW484" s="64"/>
    </row>
    <row r="485" spans="1:49" ht="15" customHeight="1">
      <c r="A485" s="72"/>
      <c r="B485" s="280" t="e">
        <v>#REF!</v>
      </c>
      <c r="C485" s="91"/>
      <c r="D485" s="272">
        <v>19993</v>
      </c>
      <c r="E485" s="312">
        <v>755811</v>
      </c>
      <c r="F485" s="313">
        <v>12274</v>
      </c>
      <c r="G485" s="314" t="s">
        <v>1351</v>
      </c>
      <c r="H485" s="314" t="s">
        <v>2801</v>
      </c>
      <c r="I485" s="314" t="s">
        <v>9</v>
      </c>
      <c r="J485" s="314" t="s">
        <v>7</v>
      </c>
      <c r="K485" s="275">
        <v>0.33333333333333331</v>
      </c>
      <c r="L485" s="275">
        <v>0.70833333333333337</v>
      </c>
      <c r="M485" s="275">
        <v>0.375</v>
      </c>
      <c r="N485" s="275" t="s">
        <v>2</v>
      </c>
      <c r="O485" s="275" t="s">
        <v>2</v>
      </c>
      <c r="P485" s="275" t="s">
        <v>2</v>
      </c>
      <c r="Q485" s="276">
        <v>40889</v>
      </c>
      <c r="R485" s="276" t="s">
        <v>72</v>
      </c>
      <c r="S485" s="276" t="s">
        <v>2</v>
      </c>
      <c r="T485" s="284">
        <v>1694</v>
      </c>
      <c r="U485" s="314" t="s">
        <v>2225</v>
      </c>
      <c r="V485" s="276">
        <v>42667</v>
      </c>
      <c r="W485" s="276">
        <v>42664</v>
      </c>
      <c r="X485" s="276" t="s">
        <v>2</v>
      </c>
      <c r="Y485" s="276" t="s">
        <v>2199</v>
      </c>
      <c r="Z485" s="314" t="s">
        <v>2</v>
      </c>
      <c r="AA485" s="314" t="s">
        <v>2</v>
      </c>
      <c r="AB485" s="314" t="s">
        <v>2</v>
      </c>
      <c r="AC485" s="314" t="s">
        <v>2</v>
      </c>
      <c r="AD485" s="277">
        <v>2467010</v>
      </c>
      <c r="AE485" s="276">
        <v>32385</v>
      </c>
      <c r="AF485" s="314" t="s">
        <v>2189</v>
      </c>
      <c r="AG485" s="314" t="s">
        <v>2801</v>
      </c>
      <c r="AH485" s="314" t="s">
        <v>69</v>
      </c>
      <c r="AI485" s="314" t="s">
        <v>89</v>
      </c>
      <c r="AJ485" s="281" t="s">
        <v>2</v>
      </c>
      <c r="AK485" s="281" t="s">
        <v>1409</v>
      </c>
      <c r="AL485" s="281" t="s">
        <v>1385</v>
      </c>
      <c r="AM485" s="281" t="s">
        <v>2</v>
      </c>
      <c r="AN485" s="281" t="s">
        <v>2</v>
      </c>
      <c r="AO485" s="281" t="s">
        <v>1431</v>
      </c>
      <c r="AP485" s="281" t="s">
        <v>2</v>
      </c>
      <c r="AQ485" s="282" t="s">
        <v>2</v>
      </c>
      <c r="AR485" s="64"/>
      <c r="AS485" s="64"/>
      <c r="AT485" s="64"/>
      <c r="AU485" s="64"/>
      <c r="AV485" s="64"/>
      <c r="AW485" s="64"/>
    </row>
    <row r="486" spans="1:49" ht="15" customHeight="1">
      <c r="B486" s="280" t="str">
        <f>IF(Production!B27="x","","x")</f>
        <v/>
      </c>
      <c r="C486" s="64"/>
      <c r="D486" s="46">
        <v>29900</v>
      </c>
      <c r="E486" s="101">
        <v>868216</v>
      </c>
      <c r="F486" s="47">
        <v>12413</v>
      </c>
      <c r="G486" s="48" t="s">
        <v>153</v>
      </c>
      <c r="H486" s="48" t="s">
        <v>412</v>
      </c>
      <c r="I486" s="48" t="s">
        <v>9</v>
      </c>
      <c r="J486" s="48" t="s">
        <v>395</v>
      </c>
      <c r="K486" s="275">
        <v>0.40277777777777773</v>
      </c>
      <c r="L486" s="275">
        <v>0.66666666666666663</v>
      </c>
      <c r="M486" s="275">
        <v>0.2638888888888889</v>
      </c>
      <c r="N486" s="275" t="s">
        <v>2</v>
      </c>
      <c r="O486" s="275" t="s">
        <v>2</v>
      </c>
      <c r="P486" s="275" t="s">
        <v>2</v>
      </c>
      <c r="Q486" s="50">
        <v>41983</v>
      </c>
      <c r="R486" s="245" t="s">
        <v>72</v>
      </c>
      <c r="S486" s="50">
        <v>42009</v>
      </c>
      <c r="T486" s="245">
        <f t="shared" ref="T486:T492" ca="1" si="30">TODAY()-S486</f>
        <v>711</v>
      </c>
      <c r="U486" s="48" t="s">
        <v>2218</v>
      </c>
      <c r="V486" s="50">
        <v>42684</v>
      </c>
      <c r="W486" s="50">
        <v>42684</v>
      </c>
      <c r="X486" s="50" t="s">
        <v>2</v>
      </c>
      <c r="Y486" s="48" t="s">
        <v>2245</v>
      </c>
      <c r="Z486" s="274" t="s">
        <v>2</v>
      </c>
      <c r="AA486" s="274" t="s">
        <v>2</v>
      </c>
      <c r="AB486" s="241" t="s">
        <v>2</v>
      </c>
      <c r="AC486" s="48">
        <v>171</v>
      </c>
      <c r="AD486" s="51">
        <v>9371604</v>
      </c>
      <c r="AE486" s="50" t="s">
        <v>2</v>
      </c>
      <c r="AF486" s="48" t="s">
        <v>2190</v>
      </c>
      <c r="AG486" s="48" t="s">
        <v>775</v>
      </c>
      <c r="AH486" s="48" t="s">
        <v>68</v>
      </c>
      <c r="AI486" s="48" t="s">
        <v>89</v>
      </c>
      <c r="AJ486" s="96" t="s">
        <v>2</v>
      </c>
      <c r="AK486" s="281" t="s">
        <v>840</v>
      </c>
      <c r="AL486" s="281" t="s">
        <v>487</v>
      </c>
      <c r="AM486" s="281" t="s">
        <v>2</v>
      </c>
      <c r="AN486" s="281" t="s">
        <v>413</v>
      </c>
      <c r="AO486" s="281" t="s">
        <v>1128</v>
      </c>
      <c r="AP486" s="281" t="s">
        <v>2</v>
      </c>
      <c r="AQ486" s="97" t="s">
        <v>2</v>
      </c>
      <c r="AR486" s="64"/>
      <c r="AS486" s="64"/>
      <c r="AT486" s="64"/>
      <c r="AU486" s="64"/>
      <c r="AV486" s="64"/>
      <c r="AW486" s="64"/>
    </row>
    <row r="487" spans="1:49" ht="15" customHeight="1">
      <c r="B487" s="280" t="str">
        <f>IF(Production!B32="x","","x")</f>
        <v/>
      </c>
      <c r="C487" s="64"/>
      <c r="D487" s="46">
        <v>30681</v>
      </c>
      <c r="E487" s="101">
        <v>882102</v>
      </c>
      <c r="F487" s="238">
        <v>12653</v>
      </c>
      <c r="G487" s="48" t="s">
        <v>209</v>
      </c>
      <c r="H487" s="48" t="s">
        <v>414</v>
      </c>
      <c r="I487" s="48" t="s">
        <v>16</v>
      </c>
      <c r="J487" s="48" t="s">
        <v>396</v>
      </c>
      <c r="K487" s="275">
        <v>0.375</v>
      </c>
      <c r="L487" s="275">
        <v>0.71666666666666667</v>
      </c>
      <c r="M487" s="275">
        <v>0.34166666666666662</v>
      </c>
      <c r="N487" s="275">
        <v>0.4236111111111111</v>
      </c>
      <c r="O487" s="275">
        <v>0.52083333333333337</v>
      </c>
      <c r="P487" s="275">
        <v>0.625</v>
      </c>
      <c r="Q487" s="50">
        <v>42131</v>
      </c>
      <c r="R487" s="245" t="s">
        <v>72</v>
      </c>
      <c r="S487" s="50">
        <v>42156</v>
      </c>
      <c r="T487" s="245">
        <f t="shared" ca="1" si="30"/>
        <v>564</v>
      </c>
      <c r="U487" s="48" t="s">
        <v>2218</v>
      </c>
      <c r="V487" s="50">
        <v>42683</v>
      </c>
      <c r="W487" s="50">
        <v>42682</v>
      </c>
      <c r="X487" s="276" t="s">
        <v>2</v>
      </c>
      <c r="Y487" s="48" t="s">
        <v>2</v>
      </c>
      <c r="Z487" s="239" t="s">
        <v>89</v>
      </c>
      <c r="AA487" s="274" t="s">
        <v>2714</v>
      </c>
      <c r="AB487" s="276">
        <v>42682</v>
      </c>
      <c r="AC487" s="48">
        <v>264</v>
      </c>
      <c r="AD487" s="51" t="s">
        <v>2</v>
      </c>
      <c r="AE487" s="50">
        <v>34956</v>
      </c>
      <c r="AF487" s="239" t="s">
        <v>2</v>
      </c>
      <c r="AG487" s="48" t="s">
        <v>775</v>
      </c>
      <c r="AH487" s="48" t="s">
        <v>68</v>
      </c>
      <c r="AI487" s="48" t="s">
        <v>89</v>
      </c>
      <c r="AJ487" s="96">
        <v>810332</v>
      </c>
      <c r="AK487" s="281" t="s">
        <v>893</v>
      </c>
      <c r="AL487" s="281" t="s">
        <v>542</v>
      </c>
      <c r="AM487" s="281" t="s">
        <v>2854</v>
      </c>
      <c r="AN487" s="281" t="s">
        <v>414</v>
      </c>
      <c r="AO487" s="281" t="s">
        <v>2539</v>
      </c>
      <c r="AP487" s="281" t="s">
        <v>2</v>
      </c>
      <c r="AQ487" s="97" t="s">
        <v>2</v>
      </c>
      <c r="AR487" s="64"/>
      <c r="AS487" s="64"/>
      <c r="AT487" s="64"/>
      <c r="AU487" s="64"/>
      <c r="AV487" s="64"/>
      <c r="AW487" s="64"/>
    </row>
    <row r="488" spans="1:49" ht="15" customHeight="1">
      <c r="B488" s="280" t="str">
        <f>IF(Production!B37="x","","x")</f>
        <v/>
      </c>
      <c r="C488" s="64"/>
      <c r="D488" s="237">
        <v>29836</v>
      </c>
      <c r="E488" s="244">
        <v>868150</v>
      </c>
      <c r="F488" s="238">
        <v>12581</v>
      </c>
      <c r="G488" s="239" t="s">
        <v>322</v>
      </c>
      <c r="H488" s="239" t="s">
        <v>417</v>
      </c>
      <c r="I488" s="239" t="s">
        <v>16</v>
      </c>
      <c r="J488" s="239" t="s">
        <v>396</v>
      </c>
      <c r="K488" s="275">
        <v>0.53333333333333333</v>
      </c>
      <c r="L488" s="275">
        <v>0.875</v>
      </c>
      <c r="M488" s="275">
        <v>0.34166666666666662</v>
      </c>
      <c r="N488" s="275">
        <v>0.625</v>
      </c>
      <c r="O488" s="275">
        <v>0.72916666666666663</v>
      </c>
      <c r="P488" s="275">
        <v>0.84027777777777779</v>
      </c>
      <c r="Q488" s="241">
        <v>41983</v>
      </c>
      <c r="R488" s="245" t="s">
        <v>72</v>
      </c>
      <c r="S488" s="241">
        <v>42009</v>
      </c>
      <c r="T488" s="245">
        <f t="shared" ca="1" si="30"/>
        <v>711</v>
      </c>
      <c r="U488" s="239" t="s">
        <v>2218</v>
      </c>
      <c r="V488" s="241">
        <v>42683</v>
      </c>
      <c r="W488" s="241">
        <v>42682</v>
      </c>
      <c r="X488" s="241" t="s">
        <v>2</v>
      </c>
      <c r="Y488" s="239" t="s">
        <v>2</v>
      </c>
      <c r="Z488" s="239" t="s">
        <v>89</v>
      </c>
      <c r="AA488" s="239" t="s">
        <v>2714</v>
      </c>
      <c r="AB488" s="241">
        <v>42682</v>
      </c>
      <c r="AC488" s="239">
        <v>264</v>
      </c>
      <c r="AD488" s="51">
        <v>2866080</v>
      </c>
      <c r="AE488" s="241" t="s">
        <v>2</v>
      </c>
      <c r="AF488" s="239" t="s">
        <v>2189</v>
      </c>
      <c r="AG488" s="239" t="s">
        <v>775</v>
      </c>
      <c r="AH488" s="239" t="s">
        <v>68</v>
      </c>
      <c r="AI488" s="239" t="s">
        <v>89</v>
      </c>
      <c r="AJ488" s="242">
        <v>810256</v>
      </c>
      <c r="AK488" s="281" t="s">
        <v>1000</v>
      </c>
      <c r="AL488" s="281" t="s">
        <v>649</v>
      </c>
      <c r="AM488" s="281" t="s">
        <v>2</v>
      </c>
      <c r="AN488" s="281" t="s">
        <v>414</v>
      </c>
      <c r="AO488" s="281" t="s">
        <v>2631</v>
      </c>
      <c r="AP488" s="281" t="s">
        <v>1249</v>
      </c>
      <c r="AQ488" s="243" t="s">
        <v>2</v>
      </c>
      <c r="AR488" s="64"/>
      <c r="AS488" s="64"/>
      <c r="AT488" s="64"/>
      <c r="AU488" s="64"/>
      <c r="AV488" s="64"/>
      <c r="AW488" s="64"/>
    </row>
    <row r="489" spans="1:49" ht="15" customHeight="1">
      <c r="B489" s="280" t="str">
        <f>IF(Production!B42="x","","x")</f>
        <v/>
      </c>
      <c r="C489" s="64"/>
      <c r="D489" s="46">
        <v>30684</v>
      </c>
      <c r="E489" s="312">
        <v>882105</v>
      </c>
      <c r="F489" s="47">
        <v>17166</v>
      </c>
      <c r="G489" s="48" t="s">
        <v>204</v>
      </c>
      <c r="H489" s="314" t="s">
        <v>416</v>
      </c>
      <c r="I489" s="48" t="s">
        <v>9</v>
      </c>
      <c r="J489" s="48" t="s">
        <v>398</v>
      </c>
      <c r="K489" s="275">
        <v>0.33333333333333331</v>
      </c>
      <c r="L489" s="275">
        <v>0.59722222222222221</v>
      </c>
      <c r="M489" s="275">
        <v>0.2638888888888889</v>
      </c>
      <c r="N489" s="275">
        <v>0.3888888888888889</v>
      </c>
      <c r="O489" s="275">
        <v>0.45833333333333331</v>
      </c>
      <c r="P489" s="275">
        <v>0.54166666666666663</v>
      </c>
      <c r="Q489" s="50">
        <v>42131</v>
      </c>
      <c r="R489" s="245" t="s">
        <v>72</v>
      </c>
      <c r="S489" s="50">
        <v>42156</v>
      </c>
      <c r="T489" s="245">
        <f t="shared" ca="1" si="30"/>
        <v>564</v>
      </c>
      <c r="U489" s="48" t="s">
        <v>2218</v>
      </c>
      <c r="V489" s="276">
        <v>42688</v>
      </c>
      <c r="W489" s="276">
        <v>42688</v>
      </c>
      <c r="X489" s="227" t="s">
        <v>2</v>
      </c>
      <c r="Y489" s="48" t="s">
        <v>2246</v>
      </c>
      <c r="Z489" s="48" t="s">
        <v>2</v>
      </c>
      <c r="AA489" s="48" t="s">
        <v>2</v>
      </c>
      <c r="AB489" s="50" t="s">
        <v>2</v>
      </c>
      <c r="AC489" s="48" t="s">
        <v>1257</v>
      </c>
      <c r="AD489" s="51" t="s">
        <v>2</v>
      </c>
      <c r="AE489" s="50">
        <v>31295</v>
      </c>
      <c r="AF489" s="48" t="s">
        <v>2</v>
      </c>
      <c r="AG489" s="48" t="s">
        <v>775</v>
      </c>
      <c r="AH489" s="48" t="s">
        <v>68</v>
      </c>
      <c r="AI489" s="48" t="s">
        <v>89</v>
      </c>
      <c r="AJ489" s="96">
        <v>23465</v>
      </c>
      <c r="AK489" s="152" t="s">
        <v>888</v>
      </c>
      <c r="AL489" s="152" t="s">
        <v>537</v>
      </c>
      <c r="AM489" s="152" t="s">
        <v>2</v>
      </c>
      <c r="AN489" s="152" t="s">
        <v>414</v>
      </c>
      <c r="AO489" s="152" t="s">
        <v>1164</v>
      </c>
      <c r="AP489" s="152" t="s">
        <v>2</v>
      </c>
      <c r="AQ489" s="282" t="s">
        <v>1249</v>
      </c>
      <c r="AR489" s="64"/>
      <c r="AS489" s="64"/>
      <c r="AT489" s="64"/>
      <c r="AU489" s="64"/>
      <c r="AV489" s="64"/>
      <c r="AW489" s="64"/>
    </row>
    <row r="490" spans="1:49" ht="15" customHeight="1">
      <c r="B490" s="280" t="str">
        <f>IF(Termed!B495="x","","x")</f>
        <v>x</v>
      </c>
      <c r="C490" s="64"/>
      <c r="D490" s="46">
        <v>30469</v>
      </c>
      <c r="E490" s="283">
        <v>876682</v>
      </c>
      <c r="F490" s="313">
        <v>17079</v>
      </c>
      <c r="G490" s="48" t="s">
        <v>221</v>
      </c>
      <c r="H490" s="314" t="s">
        <v>417</v>
      </c>
      <c r="I490" s="48" t="s">
        <v>9</v>
      </c>
      <c r="J490" s="48" t="s">
        <v>398</v>
      </c>
      <c r="K490" s="275">
        <v>0.33333333333333331</v>
      </c>
      <c r="L490" s="275">
        <v>0.59722222222222221</v>
      </c>
      <c r="M490" s="275">
        <v>0.2638888888888889</v>
      </c>
      <c r="N490" s="275">
        <v>0.3888888888888889</v>
      </c>
      <c r="O490" s="275">
        <v>0.47916666666666669</v>
      </c>
      <c r="P490" s="275">
        <v>0.54166666666666663</v>
      </c>
      <c r="Q490" s="50">
        <v>42079</v>
      </c>
      <c r="R490" s="245" t="s">
        <v>72</v>
      </c>
      <c r="S490" s="50">
        <v>42100</v>
      </c>
      <c r="T490" s="245">
        <f t="shared" ca="1" si="30"/>
        <v>620</v>
      </c>
      <c r="U490" s="48" t="s">
        <v>2218</v>
      </c>
      <c r="V490" s="50">
        <v>42681</v>
      </c>
      <c r="W490" s="50">
        <v>42681</v>
      </c>
      <c r="X490" s="276" t="s">
        <v>2</v>
      </c>
      <c r="Y490" s="48" t="s">
        <v>2246</v>
      </c>
      <c r="Z490" s="48" t="s">
        <v>2</v>
      </c>
      <c r="AA490" s="239" t="s">
        <v>2</v>
      </c>
      <c r="AB490" s="50" t="s">
        <v>2</v>
      </c>
      <c r="AC490" s="48" t="s">
        <v>1257</v>
      </c>
      <c r="AD490" s="51" t="s">
        <v>733</v>
      </c>
      <c r="AE490" s="50">
        <v>35051</v>
      </c>
      <c r="AF490" s="48" t="s">
        <v>2188</v>
      </c>
      <c r="AG490" s="48" t="s">
        <v>775</v>
      </c>
      <c r="AH490" s="48" t="s">
        <v>68</v>
      </c>
      <c r="AI490" s="48" t="s">
        <v>89</v>
      </c>
      <c r="AJ490" s="96">
        <v>810327</v>
      </c>
      <c r="AK490" s="152" t="s">
        <v>904</v>
      </c>
      <c r="AL490" s="152" t="s">
        <v>553</v>
      </c>
      <c r="AM490" s="152" t="s">
        <v>2</v>
      </c>
      <c r="AN490" s="152" t="s">
        <v>414</v>
      </c>
      <c r="AO490" s="152" t="s">
        <v>2546</v>
      </c>
      <c r="AP490" s="152" t="s">
        <v>2</v>
      </c>
      <c r="AQ490" s="282" t="s">
        <v>1249</v>
      </c>
      <c r="AR490" s="64"/>
      <c r="AS490" s="64"/>
      <c r="AT490" s="64"/>
      <c r="AU490" s="64"/>
      <c r="AV490" s="64"/>
      <c r="AW490" s="64"/>
    </row>
    <row r="491" spans="1:49" ht="15" customHeight="1">
      <c r="B491" s="280" t="e">
        <f>IF(#REF!="x","","x")</f>
        <v>#REF!</v>
      </c>
      <c r="C491" s="64"/>
      <c r="D491" s="272">
        <v>25607</v>
      </c>
      <c r="E491" s="229">
        <v>807820</v>
      </c>
      <c r="F491" s="47">
        <v>12094</v>
      </c>
      <c r="G491" s="48" t="s">
        <v>260</v>
      </c>
      <c r="H491" s="314" t="s">
        <v>414</v>
      </c>
      <c r="I491" s="48" t="s">
        <v>9</v>
      </c>
      <c r="J491" s="48" t="s">
        <v>399</v>
      </c>
      <c r="K491" s="275">
        <v>2.3333333333333335</v>
      </c>
      <c r="L491" s="275">
        <v>0.70833333333333337</v>
      </c>
      <c r="M491" s="275">
        <v>0.375</v>
      </c>
      <c r="N491" s="275" t="s">
        <v>2</v>
      </c>
      <c r="O491" s="275">
        <v>0.5</v>
      </c>
      <c r="P491" s="275" t="s">
        <v>2</v>
      </c>
      <c r="Q491" s="50">
        <v>41429</v>
      </c>
      <c r="R491" s="245" t="s">
        <v>72</v>
      </c>
      <c r="S491" s="50">
        <v>41452</v>
      </c>
      <c r="T491" s="245">
        <f t="shared" ca="1" si="30"/>
        <v>1268</v>
      </c>
      <c r="U491" s="48" t="s">
        <v>2220</v>
      </c>
      <c r="V491" s="50">
        <v>42677</v>
      </c>
      <c r="W491" s="50">
        <v>42678</v>
      </c>
      <c r="X491" s="50" t="s">
        <v>2</v>
      </c>
      <c r="Y491" s="48" t="s">
        <v>2245</v>
      </c>
      <c r="Z491" s="48" t="s">
        <v>2</v>
      </c>
      <c r="AA491" s="48" t="s">
        <v>2</v>
      </c>
      <c r="AB491" s="50" t="s">
        <v>2</v>
      </c>
      <c r="AC491" s="48">
        <v>372</v>
      </c>
      <c r="AD491" s="277">
        <v>8062490</v>
      </c>
      <c r="AE491" s="276">
        <v>34099</v>
      </c>
      <c r="AF491" s="48" t="s">
        <v>2194</v>
      </c>
      <c r="AG491" s="48" t="s">
        <v>775</v>
      </c>
      <c r="AH491" s="48" t="s">
        <v>68</v>
      </c>
      <c r="AI491" s="48" t="s">
        <v>89</v>
      </c>
      <c r="AJ491" s="281" t="s">
        <v>2</v>
      </c>
      <c r="AK491" s="221" t="s">
        <v>943</v>
      </c>
      <c r="AL491" s="152" t="s">
        <v>592</v>
      </c>
      <c r="AM491" s="152" t="s">
        <v>2</v>
      </c>
      <c r="AN491" s="152" t="s">
        <v>414</v>
      </c>
      <c r="AO491" s="152" t="s">
        <v>2563</v>
      </c>
      <c r="AP491" s="152" t="s">
        <v>1249</v>
      </c>
      <c r="AQ491" s="97" t="s">
        <v>2</v>
      </c>
      <c r="AR491" s="64"/>
      <c r="AS491" s="64"/>
      <c r="AT491" s="64"/>
      <c r="AU491" s="64"/>
      <c r="AV491" s="64"/>
      <c r="AW491" s="64"/>
    </row>
    <row r="492" spans="1:49" ht="15" customHeight="1">
      <c r="B492" s="280" t="e">
        <f>IF(Production!B107="x","","x")</f>
        <v>#REF!</v>
      </c>
      <c r="C492" s="64"/>
      <c r="D492" s="272">
        <v>31512</v>
      </c>
      <c r="E492" s="229">
        <v>915112</v>
      </c>
      <c r="F492" s="47">
        <v>17027</v>
      </c>
      <c r="G492" s="239" t="s">
        <v>2679</v>
      </c>
      <c r="H492" s="314" t="s">
        <v>418</v>
      </c>
      <c r="I492" s="239" t="s">
        <v>9</v>
      </c>
      <c r="J492" s="239" t="s">
        <v>403</v>
      </c>
      <c r="K492" s="275">
        <v>0.375</v>
      </c>
      <c r="L492" s="275">
        <v>0.63888888888888895</v>
      </c>
      <c r="M492" s="275">
        <v>0.2638888888888889</v>
      </c>
      <c r="N492" s="275">
        <v>0.3888888888888889</v>
      </c>
      <c r="O492" s="275">
        <v>0.44444444444444442</v>
      </c>
      <c r="P492" s="275">
        <v>0.52777777777777779</v>
      </c>
      <c r="Q492" s="241">
        <v>42404</v>
      </c>
      <c r="R492" s="245" t="s">
        <v>72</v>
      </c>
      <c r="S492" s="241">
        <v>42429</v>
      </c>
      <c r="T492" s="245">
        <f t="shared" ca="1" si="30"/>
        <v>291</v>
      </c>
      <c r="U492" s="239" t="s">
        <v>2218</v>
      </c>
      <c r="V492" s="241">
        <v>42690</v>
      </c>
      <c r="W492" s="241">
        <v>42690</v>
      </c>
      <c r="X492" s="276" t="s">
        <v>2</v>
      </c>
      <c r="Y492" s="239" t="s">
        <v>2245</v>
      </c>
      <c r="Z492" s="274" t="s">
        <v>2</v>
      </c>
      <c r="AA492" s="239" t="s">
        <v>2</v>
      </c>
      <c r="AB492" s="241" t="s">
        <v>2</v>
      </c>
      <c r="AC492" s="274" t="s">
        <v>2248</v>
      </c>
      <c r="AD492" s="51" t="s">
        <v>2</v>
      </c>
      <c r="AE492" s="241" t="s">
        <v>2</v>
      </c>
      <c r="AF492" s="274" t="s">
        <v>2</v>
      </c>
      <c r="AG492" s="239" t="s">
        <v>775</v>
      </c>
      <c r="AH492" s="239" t="s">
        <v>68</v>
      </c>
      <c r="AI492" s="239" t="s">
        <v>89</v>
      </c>
      <c r="AJ492" s="96">
        <v>810403</v>
      </c>
      <c r="AK492" s="221" t="s">
        <v>2696</v>
      </c>
      <c r="AL492" s="152" t="s">
        <v>2740</v>
      </c>
      <c r="AM492" s="152" t="s">
        <v>2</v>
      </c>
      <c r="AN492" s="152" t="s">
        <v>414</v>
      </c>
      <c r="AO492" s="152" t="s">
        <v>2741</v>
      </c>
      <c r="AP492" s="152" t="s">
        <v>2</v>
      </c>
      <c r="AQ492" s="282" t="s">
        <v>1249</v>
      </c>
      <c r="AR492" s="64"/>
      <c r="AS492" s="64"/>
      <c r="AT492" s="64"/>
      <c r="AU492" s="64"/>
      <c r="AV492" s="64"/>
      <c r="AW492" s="64"/>
    </row>
    <row r="493" spans="1:49" ht="15" customHeight="1">
      <c r="A493" s="72"/>
      <c r="B493" s="280" t="str">
        <f>IF(Staff!B16="x","","x")</f>
        <v>x</v>
      </c>
      <c r="C493" s="91"/>
      <c r="D493" s="272">
        <v>23087</v>
      </c>
      <c r="E493" s="283">
        <v>780439</v>
      </c>
      <c r="F493" s="273">
        <v>12920</v>
      </c>
      <c r="G493" s="274" t="s">
        <v>359</v>
      </c>
      <c r="H493" s="274" t="s">
        <v>776</v>
      </c>
      <c r="I493" s="274" t="s">
        <v>16</v>
      </c>
      <c r="J493" s="274" t="s">
        <v>1359</v>
      </c>
      <c r="K493" s="275">
        <v>0.35416666666666669</v>
      </c>
      <c r="L493" s="275">
        <v>0.72916666666666663</v>
      </c>
      <c r="M493" s="275">
        <v>0.375</v>
      </c>
      <c r="N493" s="275" t="s">
        <v>2</v>
      </c>
      <c r="O493" s="275" t="s">
        <v>2</v>
      </c>
      <c r="P493" s="275" t="s">
        <v>2</v>
      </c>
      <c r="Q493" s="276">
        <v>41169</v>
      </c>
      <c r="R493" s="276" t="s">
        <v>72</v>
      </c>
      <c r="S493" s="276">
        <v>41192</v>
      </c>
      <c r="T493" s="284">
        <v>1414</v>
      </c>
      <c r="U493" s="274" t="s">
        <v>2217</v>
      </c>
      <c r="V493" s="276">
        <v>42690</v>
      </c>
      <c r="W493" s="276">
        <v>42658</v>
      </c>
      <c r="X493" s="276" t="s">
        <v>2</v>
      </c>
      <c r="Y493" s="276" t="s">
        <v>2</v>
      </c>
      <c r="Z493" s="274" t="s">
        <v>89</v>
      </c>
      <c r="AA493" s="274" t="s">
        <v>3046</v>
      </c>
      <c r="AB493" s="276">
        <v>42658</v>
      </c>
      <c r="AC493" s="274" t="s">
        <v>2</v>
      </c>
      <c r="AD493" s="277">
        <v>8280190</v>
      </c>
      <c r="AE493" s="276">
        <v>33088</v>
      </c>
      <c r="AF493" s="314" t="s">
        <v>2194</v>
      </c>
      <c r="AG493" s="314" t="s">
        <v>776</v>
      </c>
      <c r="AH493" s="314" t="s">
        <v>69</v>
      </c>
      <c r="AI493" s="314" t="s">
        <v>89</v>
      </c>
      <c r="AJ493" s="281">
        <v>810361</v>
      </c>
      <c r="AK493" s="281" t="s">
        <v>2877</v>
      </c>
      <c r="AL493" s="281" t="s">
        <v>687</v>
      </c>
      <c r="AM493" s="274" t="s">
        <v>2</v>
      </c>
      <c r="AN493" s="281" t="s">
        <v>2</v>
      </c>
      <c r="AO493" s="281" t="s">
        <v>1217</v>
      </c>
      <c r="AP493" s="281" t="s">
        <v>2</v>
      </c>
      <c r="AQ493" s="282" t="s">
        <v>2</v>
      </c>
      <c r="AR493" s="64"/>
      <c r="AS493" s="64"/>
      <c r="AT493" s="64"/>
      <c r="AU493" s="64"/>
      <c r="AV493" s="64"/>
      <c r="AW493" s="64"/>
    </row>
    <row r="494" spans="1:49" ht="15" customHeight="1">
      <c r="B494" s="280" t="str">
        <f>IF(Production!B74="x","","x")</f>
        <v>x</v>
      </c>
      <c r="C494" s="64"/>
      <c r="D494" s="272">
        <v>32621</v>
      </c>
      <c r="E494" s="312">
        <v>930892</v>
      </c>
      <c r="F494" s="313">
        <v>17176</v>
      </c>
      <c r="G494" s="314" t="s">
        <v>2811</v>
      </c>
      <c r="H494" s="314" t="s">
        <v>420</v>
      </c>
      <c r="I494" s="314" t="s">
        <v>9</v>
      </c>
      <c r="J494" s="314" t="s">
        <v>398</v>
      </c>
      <c r="K494" s="275">
        <v>0.59722222222222221</v>
      </c>
      <c r="L494" s="275">
        <v>0.86111111111111116</v>
      </c>
      <c r="M494" s="275">
        <v>0.26388888888888895</v>
      </c>
      <c r="N494" s="275">
        <v>0.65277777777777779</v>
      </c>
      <c r="O494" s="275">
        <v>0.72916666666666663</v>
      </c>
      <c r="P494" s="275">
        <v>0.79861111111111116</v>
      </c>
      <c r="Q494" s="276">
        <v>42529</v>
      </c>
      <c r="R494" s="284" t="s">
        <v>72</v>
      </c>
      <c r="S494" s="276">
        <v>42555</v>
      </c>
      <c r="T494" s="284">
        <f ca="1">TODAY()-S494</f>
        <v>165</v>
      </c>
      <c r="U494" s="314" t="s">
        <v>2218</v>
      </c>
      <c r="V494" s="276">
        <v>42699</v>
      </c>
      <c r="W494" s="276">
        <v>42698</v>
      </c>
      <c r="X494" s="227" t="s">
        <v>2</v>
      </c>
      <c r="Y494" s="314" t="s">
        <v>2246</v>
      </c>
      <c r="Z494" s="314" t="s">
        <v>2</v>
      </c>
      <c r="AA494" s="314" t="s">
        <v>2</v>
      </c>
      <c r="AB494" s="276" t="s">
        <v>2</v>
      </c>
      <c r="AC494" s="314" t="s">
        <v>2</v>
      </c>
      <c r="AD494" s="314" t="s">
        <v>2</v>
      </c>
      <c r="AE494" s="277" t="s">
        <v>2</v>
      </c>
      <c r="AF494" s="314" t="s">
        <v>2</v>
      </c>
      <c r="AG494" s="314" t="s">
        <v>775</v>
      </c>
      <c r="AH494" s="314" t="s">
        <v>68</v>
      </c>
      <c r="AI494" s="314" t="s">
        <v>89</v>
      </c>
      <c r="AJ494" s="281">
        <v>24665</v>
      </c>
      <c r="AK494" s="316" t="s">
        <v>2822</v>
      </c>
      <c r="AL494" s="316" t="s">
        <v>2844</v>
      </c>
      <c r="AM494" s="316" t="s">
        <v>2</v>
      </c>
      <c r="AN494" s="316" t="s">
        <v>414</v>
      </c>
      <c r="AO494" s="316" t="s">
        <v>2833</v>
      </c>
      <c r="AP494" s="316" t="s">
        <v>2</v>
      </c>
      <c r="AQ494" s="282" t="s">
        <v>1249</v>
      </c>
      <c r="AR494" s="64"/>
      <c r="AS494" s="64"/>
      <c r="AT494" s="64"/>
      <c r="AU494" s="64"/>
      <c r="AV494" s="64"/>
      <c r="AW494" s="64"/>
    </row>
    <row r="495" spans="1:49" ht="15" customHeight="1">
      <c r="B495" s="280" t="str">
        <f>IF(Production!B43="x","","x")</f>
        <v/>
      </c>
      <c r="C495" s="64"/>
      <c r="D495" s="272">
        <v>31431</v>
      </c>
      <c r="E495" s="315">
        <v>911878</v>
      </c>
      <c r="F495" s="313">
        <v>17089</v>
      </c>
      <c r="G495" s="314" t="s">
        <v>2637</v>
      </c>
      <c r="H495" s="314" t="s">
        <v>416</v>
      </c>
      <c r="I495" s="314" t="s">
        <v>16</v>
      </c>
      <c r="J495" s="314" t="s">
        <v>398</v>
      </c>
      <c r="K495" s="275">
        <v>0.33333333333333331</v>
      </c>
      <c r="L495" s="275">
        <v>0.59722222222222221</v>
      </c>
      <c r="M495" s="275">
        <v>0.2638888888888889</v>
      </c>
      <c r="N495" s="275">
        <v>0.40277777777777773</v>
      </c>
      <c r="O495" s="275">
        <v>0.47916666666666669</v>
      </c>
      <c r="P495" s="275">
        <v>0.54861111111111105</v>
      </c>
      <c r="Q495" s="276">
        <v>42373</v>
      </c>
      <c r="R495" s="284" t="s">
        <v>72</v>
      </c>
      <c r="S495" s="276">
        <v>42401</v>
      </c>
      <c r="T495" s="284">
        <f ca="1">TODAY()-S495</f>
        <v>319</v>
      </c>
      <c r="U495" s="314" t="s">
        <v>2218</v>
      </c>
      <c r="V495" s="276">
        <v>42702</v>
      </c>
      <c r="W495" s="276">
        <v>42702</v>
      </c>
      <c r="X495" s="276" t="s">
        <v>2</v>
      </c>
      <c r="Y495" s="314" t="s">
        <v>2</v>
      </c>
      <c r="Z495" s="314" t="s">
        <v>89</v>
      </c>
      <c r="AA495" s="314" t="s">
        <v>2714</v>
      </c>
      <c r="AB495" s="276">
        <v>42702</v>
      </c>
      <c r="AC495" s="314" t="s">
        <v>1257</v>
      </c>
      <c r="AD495" s="314"/>
      <c r="AE495" s="277" t="s">
        <v>2</v>
      </c>
      <c r="AF495" s="314" t="s">
        <v>2</v>
      </c>
      <c r="AG495" s="314" t="s">
        <v>775</v>
      </c>
      <c r="AH495" s="314" t="s">
        <v>68</v>
      </c>
      <c r="AI495" s="314" t="s">
        <v>89</v>
      </c>
      <c r="AJ495" s="281">
        <v>810393</v>
      </c>
      <c r="AK495" s="316" t="s">
        <v>2647</v>
      </c>
      <c r="AL495" s="316" t="s">
        <v>2654</v>
      </c>
      <c r="AM495" s="316" t="s">
        <v>2</v>
      </c>
      <c r="AN495" s="316" t="s">
        <v>414</v>
      </c>
      <c r="AO495" s="316" t="s">
        <v>2661</v>
      </c>
      <c r="AP495" s="316" t="s">
        <v>2</v>
      </c>
      <c r="AQ495" s="282" t="s">
        <v>1249</v>
      </c>
      <c r="AR495" s="64"/>
      <c r="AS495" s="64"/>
      <c r="AT495" s="64"/>
      <c r="AU495" s="64"/>
      <c r="AV495" s="64"/>
      <c r="AW495" s="64"/>
    </row>
  </sheetData>
  <mergeCells count="2">
    <mergeCell ref="Z6:AB6"/>
    <mergeCell ref="AD6:AF6"/>
  </mergeCells>
  <conditionalFormatting sqref="J5:O5 D210:AQ213 U223:AN223 T8:AN222 AN8:AQ67 AO89:AQ315 T224:AN315 D8:S315 D270:AQ320 U330:AO330 D321:AK330 D339:M347 N339:AK339 Q340:AO340 N341:R347 S342:AM347 T341:AN341 AH326:AH347 D235:AQ236 D368:AM411 D434:AD434 AD468:AP468 D469:AQ469 AD485 AF485:AM485">
    <cfRule type="expression" dxfId="2395" priority="3213">
      <formula>$I5&lt;&gt;"Ativo"</formula>
    </cfRule>
    <cfRule type="expression" dxfId="2394" priority="3214">
      <formula>$B5="x"</formula>
    </cfRule>
  </conditionalFormatting>
  <conditionalFormatting sqref="H15 D15:F15">
    <cfRule type="expression" dxfId="2393" priority="3095">
      <formula>$I15&lt;&gt;"Ativo"</formula>
    </cfRule>
    <cfRule type="expression" dxfId="2392" priority="3096">
      <formula>$B15="x"</formula>
    </cfRule>
  </conditionalFormatting>
  <conditionalFormatting sqref="J14">
    <cfRule type="expression" dxfId="2391" priority="3093">
      <formula>$I14&lt;&gt;"Ativo"</formula>
    </cfRule>
    <cfRule type="expression" dxfId="2390" priority="3094">
      <formula>$B14="x"</formula>
    </cfRule>
  </conditionalFormatting>
  <conditionalFormatting sqref="J15">
    <cfRule type="expression" dxfId="2389" priority="3091">
      <formula>$I15&lt;&gt;"Ativo"</formula>
    </cfRule>
    <cfRule type="expression" dxfId="2388" priority="3092">
      <formula>$B15="x"</formula>
    </cfRule>
  </conditionalFormatting>
  <conditionalFormatting sqref="J16">
    <cfRule type="expression" dxfId="2387" priority="3089">
      <formula>$I16&lt;&gt;"Ativo"</formula>
    </cfRule>
    <cfRule type="expression" dxfId="2386" priority="3090">
      <formula>$B16="x"</formula>
    </cfRule>
  </conditionalFormatting>
  <conditionalFormatting sqref="J13">
    <cfRule type="expression" dxfId="2385" priority="3087">
      <formula>$I13&lt;&gt;"Ativo"</formula>
    </cfRule>
    <cfRule type="expression" dxfId="2384" priority="3088">
      <formula>$B13="x"</formula>
    </cfRule>
  </conditionalFormatting>
  <conditionalFormatting sqref="AG13:AI13">
    <cfRule type="expression" dxfId="2383" priority="3081">
      <formula>$I13&lt;&gt;"Ativo"</formula>
    </cfRule>
    <cfRule type="expression" dxfId="2382" priority="3082">
      <formula>$B13="x"</formula>
    </cfRule>
  </conditionalFormatting>
  <conditionalFormatting sqref="I13">
    <cfRule type="expression" dxfId="2381" priority="3077">
      <formula>$I13&lt;&gt;"Ativo"</formula>
    </cfRule>
    <cfRule type="expression" dxfId="2380" priority="3078">
      <formula>$B13="x"</formula>
    </cfRule>
  </conditionalFormatting>
  <conditionalFormatting sqref="D14">
    <cfRule type="expression" dxfId="2379" priority="3075">
      <formula>$I14&lt;&gt;"Ativo"</formula>
    </cfRule>
    <cfRule type="expression" dxfId="2378" priority="3076">
      <formula>$B14="x"</formula>
    </cfRule>
  </conditionalFormatting>
  <conditionalFormatting sqref="G15">
    <cfRule type="expression" dxfId="2377" priority="3073">
      <formula>$I15&lt;&gt;"Ativo"</formula>
    </cfRule>
    <cfRule type="expression" dxfId="2376" priority="3074">
      <formula>$B15="x"</formula>
    </cfRule>
  </conditionalFormatting>
  <conditionalFormatting sqref="H15">
    <cfRule type="expression" dxfId="2375" priority="3071">
      <formula>$I15&lt;&gt;"Ativo"</formula>
    </cfRule>
    <cfRule type="expression" dxfId="2374" priority="3072">
      <formula>$B15="x"</formula>
    </cfRule>
  </conditionalFormatting>
  <conditionalFormatting sqref="J15">
    <cfRule type="expression" dxfId="2373" priority="3069">
      <formula>$I15&lt;&gt;"Ativo"</formula>
    </cfRule>
    <cfRule type="expression" dxfId="2372" priority="3070">
      <formula>$B15="x"</formula>
    </cfRule>
  </conditionalFormatting>
  <conditionalFormatting sqref="U15">
    <cfRule type="expression" dxfId="2371" priority="3067">
      <formula>$I15&lt;&gt;"Ativo"</formula>
    </cfRule>
    <cfRule type="expression" dxfId="2370" priority="3068">
      <formula>$B15="x"</formula>
    </cfRule>
  </conditionalFormatting>
  <conditionalFormatting sqref="AG15:AH16">
    <cfRule type="expression" dxfId="2369" priority="3065">
      <formula>$I15&lt;&gt;"Ativo"</formula>
    </cfRule>
    <cfRule type="expression" dxfId="2368" priority="3066">
      <formula>$B15="x"</formula>
    </cfRule>
  </conditionalFormatting>
  <conditionalFormatting sqref="AG15:AH16">
    <cfRule type="expression" dxfId="2367" priority="3063">
      <formula>$I15&lt;&gt;"Ativo"</formula>
    </cfRule>
    <cfRule type="expression" dxfId="2366" priority="3064">
      <formula>$B15="x"</formula>
    </cfRule>
  </conditionalFormatting>
  <conditionalFormatting sqref="AI15">
    <cfRule type="expression" dxfId="2365" priority="3061">
      <formula>$I15&lt;&gt;"Ativo"</formula>
    </cfRule>
    <cfRule type="expression" dxfId="2364" priority="3062">
      <formula>$B15="x"</formula>
    </cfRule>
  </conditionalFormatting>
  <conditionalFormatting sqref="AI15">
    <cfRule type="expression" dxfId="2363" priority="3059">
      <formula>$I15&lt;&gt;"Ativo"</formula>
    </cfRule>
    <cfRule type="expression" dxfId="2362" priority="3060">
      <formula>$B15="x"</formula>
    </cfRule>
  </conditionalFormatting>
  <conditionalFormatting sqref="J13">
    <cfRule type="expression" dxfId="2361" priority="3057">
      <formula>$I13&lt;&gt;"Ativo"</formula>
    </cfRule>
    <cfRule type="expression" dxfId="2360" priority="3058">
      <formula>$B13="x"</formula>
    </cfRule>
  </conditionalFormatting>
  <conditionalFormatting sqref="H16">
    <cfRule type="expression" dxfId="2359" priority="3055">
      <formula>$I16&lt;&gt;"Ativo"</formula>
    </cfRule>
    <cfRule type="expression" dxfId="2358" priority="3056">
      <formula>$B16="x"</formula>
    </cfRule>
  </conditionalFormatting>
  <conditionalFormatting sqref="H16">
    <cfRule type="expression" dxfId="2357" priority="3053">
      <formula>$I16&lt;&gt;"Ativo"</formula>
    </cfRule>
    <cfRule type="expression" dxfId="2356" priority="3054">
      <formula>$B16="x"</formula>
    </cfRule>
  </conditionalFormatting>
  <conditionalFormatting sqref="H16 D16:F16">
    <cfRule type="expression" dxfId="2355" priority="3051">
      <formula>$I16&lt;&gt;"Ativo"</formula>
    </cfRule>
    <cfRule type="expression" dxfId="2354" priority="3052">
      <formula>$B16="x"</formula>
    </cfRule>
  </conditionalFormatting>
  <conditionalFormatting sqref="J16">
    <cfRule type="expression" dxfId="2353" priority="3049">
      <formula>$I16&lt;&gt;"Ativo"</formula>
    </cfRule>
    <cfRule type="expression" dxfId="2352" priority="3050">
      <formula>$B16="x"</formula>
    </cfRule>
  </conditionalFormatting>
  <conditionalFormatting sqref="G16">
    <cfRule type="expression" dxfId="2351" priority="3047">
      <formula>$I16&lt;&gt;"Ativo"</formula>
    </cfRule>
    <cfRule type="expression" dxfId="2350" priority="3048">
      <formula>$B16="x"</formula>
    </cfRule>
  </conditionalFormatting>
  <conditionalFormatting sqref="H16">
    <cfRule type="expression" dxfId="2349" priority="3045">
      <formula>$I16&lt;&gt;"Ativo"</formula>
    </cfRule>
    <cfRule type="expression" dxfId="2348" priority="3046">
      <formula>$B16="x"</formula>
    </cfRule>
  </conditionalFormatting>
  <conditionalFormatting sqref="J16">
    <cfRule type="expression" dxfId="2347" priority="3043">
      <formula>$I16&lt;&gt;"Ativo"</formula>
    </cfRule>
    <cfRule type="expression" dxfId="2346" priority="3044">
      <formula>$B16="x"</formula>
    </cfRule>
  </conditionalFormatting>
  <conditionalFormatting sqref="U16">
    <cfRule type="expression" dxfId="2345" priority="3041">
      <formula>$I16&lt;&gt;"Ativo"</formula>
    </cfRule>
    <cfRule type="expression" dxfId="2344" priority="3042">
      <formula>$B16="x"</formula>
    </cfRule>
  </conditionalFormatting>
  <conditionalFormatting sqref="AG16:AH16">
    <cfRule type="expression" dxfId="2343" priority="3039">
      <formula>$I16&lt;&gt;"Ativo"</formula>
    </cfRule>
    <cfRule type="expression" dxfId="2342" priority="3040">
      <formula>$B16="x"</formula>
    </cfRule>
  </conditionalFormatting>
  <conditionalFormatting sqref="AG16:AH16">
    <cfRule type="expression" dxfId="2341" priority="3037">
      <formula>$I16&lt;&gt;"Ativo"</formula>
    </cfRule>
    <cfRule type="expression" dxfId="2340" priority="3038">
      <formula>$B16="x"</formula>
    </cfRule>
  </conditionalFormatting>
  <conditionalFormatting sqref="AI16">
    <cfRule type="expression" dxfId="2339" priority="3035">
      <formula>$I16&lt;&gt;"Ativo"</formula>
    </cfRule>
    <cfRule type="expression" dxfId="2338" priority="3036">
      <formula>$B16="x"</formula>
    </cfRule>
  </conditionalFormatting>
  <conditionalFormatting sqref="AI16">
    <cfRule type="expression" dxfId="2337" priority="3033">
      <formula>$I16&lt;&gt;"Ativo"</formula>
    </cfRule>
    <cfRule type="expression" dxfId="2336" priority="3034">
      <formula>$B16="x"</formula>
    </cfRule>
  </conditionalFormatting>
  <conditionalFormatting sqref="U16">
    <cfRule type="expression" dxfId="2335" priority="3031">
      <formula>$I16&lt;&gt;"Ativo"</formula>
    </cfRule>
    <cfRule type="expression" dxfId="2334" priority="3032">
      <formula>$B16="x"</formula>
    </cfRule>
  </conditionalFormatting>
  <conditionalFormatting sqref="AM18:AN18">
    <cfRule type="expression" dxfId="2333" priority="3021">
      <formula>$I18&lt;&gt;"Ativo"</formula>
    </cfRule>
    <cfRule type="expression" dxfId="2332" priority="3022">
      <formula>$B18="x"</formula>
    </cfRule>
  </conditionalFormatting>
  <conditionalFormatting sqref="AM18:AN18">
    <cfRule type="expression" dxfId="2331" priority="3019">
      <formula>$I18&lt;&gt;"Ativo"</formula>
    </cfRule>
    <cfRule type="expression" dxfId="2330" priority="3020">
      <formula>$B18="x"</formula>
    </cfRule>
  </conditionalFormatting>
  <conditionalFormatting sqref="BT28:BT67 DR28:DR67 FP28:FP67 HN28:HN67 JL28:JL67 LJ28:LJ67 NH28:NH67 PF28:PF67 RD28:RD67 TB28:TB67 UZ28:UZ67 WX28:WX67 YV28:YV67 AAT28:AAT67 ACR28:ACR67 AEP28:AEP67 AGN28:AGN67 AIL28:AIL67 AKJ28:AKJ67 AMH28:AMH67 AOF28:AOF67 AQD28:AQD67 ASB28:ASB67 ATZ28:ATZ67 AVX28:AVX67 AXV28:AXV67 AZT28:AZT67 BBR28:BBR67 BDP28:BDP67 BFN28:BFN67 BHL28:BHL67 BJJ28:BJJ67 BLH28:BLH67 BNF28:BNF67 BPD28:BPD67 BRB28:BRB67 BSZ28:BSZ67 BUX28:BUX67 BWV28:BWV67 BYT28:BYT67 CAR28:CAR67 CCP28:CCP67 CEN28:CEN67 CGL28:CGL67 CIJ28:CIJ67 CKH28:CKH67 CMF28:CMF67 COD28:COD67 CQB28:CQB67 CRZ28:CRZ67 CTX28:CTX67 CVV28:CVV67 CXT28:CXT67 CZR28:CZR67 DBP28:DBP67 DDN28:DDN67 DFL28:DFL67 DHJ28:DHJ67 DJH28:DJH67 DLF28:DLF67 DND28:DND67 DPB28:DPB67 DQZ28:DQZ67 DSX28:DSX67 DUV28:DUV67 DWT28:DWT67 DYR28:DYR67 EAP28:EAP67 ECN28:ECN67 EEL28:EEL67 EGJ28:EGJ67 EIH28:EIH67 EKF28:EKF67 EMD28:EMD67 EOB28:EOB67 EPZ28:EPZ67 ERX28:ERX67 ETV28:ETV67 EVT28:EVT67 EXR28:EXR67 EZP28:EZP67 FBN28:FBN67 FDL28:FDL67 FFJ28:FFJ67 FHH28:FHH67 FJF28:FJF67 FLD28:FLD67 FNB28:FNB67 FOZ28:FOZ67 FQX28:FQX67 FSV28:FSV67 FUT28:FUT67 FWR28:FWR67 FYP28:FYP67 GAN28:GAN67 GCL28:GCL67 GEJ28:GEJ67 GGH28:GGH67 GIF28:GIF67 GKD28:GKD67 GMB28:GMB67 GNZ28:GNZ67 GPX28:GPX67 GRV28:GRV67 GTT28:GTT67 GVR28:GVR67 GXP28:GXP67 GZN28:GZN67 HBL28:HBL67 HDJ28:HDJ67 HFH28:HFH67 HHF28:HHF67 HJD28:HJD67 HLB28:HLB67 HMZ28:HMZ67 HOX28:HOX67 HQV28:HQV67 HST28:HST67 HUR28:HUR67 HWP28:HWP67 HYN28:HYN67 IAL28:IAL67 ICJ28:ICJ67 IEH28:IEH67 IGF28:IGF67 IID28:IID67 IKB28:IKB67 ILZ28:ILZ67 INX28:INX67 IPV28:IPV67 IRT28:IRT67 ITR28:ITR67 IVP28:IVP67 IXN28:IXN67 IZL28:IZL67 JBJ28:JBJ67 JDH28:JDH67 JFF28:JFF67 JHD28:JHD67 JJB28:JJB67 JKZ28:JKZ67 JMX28:JMX67 JOV28:JOV67 JQT28:JQT67 JSR28:JSR67 JUP28:JUP67 JWN28:JWN67 JYL28:JYL67 KAJ28:KAJ67 KCH28:KCH67 KEF28:KEF67 KGD28:KGD67 KIB28:KIB67 KJZ28:KJZ67 KLX28:KLX67 KNV28:KNV67 KPT28:KPT67 KRR28:KRR67 KTP28:KTP67 KVN28:KVN67 KXL28:KXL67 KZJ28:KZJ67 LBH28:LBH67 LDF28:LDF67 LFD28:LFD67 LHB28:LHB67 LIZ28:LIZ67 LKX28:LKX67 LMV28:LMV67 LOT28:LOT67 LQR28:LQR67 LSP28:LSP67 LUN28:LUN67 LWL28:LWL67 LYJ28:LYJ67 MAH28:MAH67 MCF28:MCF67 MED28:MED67 MGB28:MGB67 MHZ28:MHZ67 MJX28:MJX67 MLV28:MLV67 MNT28:MNT67 MPR28:MPR67 MRP28:MRP67 MTN28:MTN67 MVL28:MVL67 MXJ28:MXJ67 MZH28:MZH67 NBF28:NBF67 NDD28:NDD67 NFB28:NFB67 NGZ28:NGZ67 NIX28:NIX67 NKV28:NKV67 NMT28:NMT67 NOR28:NOR67 NQP28:NQP67 NSN28:NSN67 NUL28:NUL67 NWJ28:NWJ67 NYH28:NYH67 OAF28:OAF67 OCD28:OCD67 OEB28:OEB67 OFZ28:OFZ67 OHX28:OHX67 OJV28:OJV67 OLT28:OLT67 ONR28:ONR67 OPP28:OPP67 ORN28:ORN67 OTL28:OTL67 OVJ28:OVJ67 OXH28:OXH67 OZF28:OZF67 PBD28:PBD67 PDB28:PDB67 PEZ28:PEZ67 PGX28:PGX67 PIV28:PIV67 PKT28:PKT67 PMR28:PMR67 POP28:POP67 PQN28:PQN67 PSL28:PSL67 PUJ28:PUJ67 PWH28:PWH67 PYF28:PYF67 QAD28:QAD67 QCB28:QCB67 QDZ28:QDZ67 QFX28:QFX67 QHV28:QHV67 QJT28:QJT67 QLR28:QLR67 QNP28:QNP67 QPN28:QPN67 QRL28:QRL67 QTJ28:QTJ67 QVH28:QVH67 QXF28:QXF67 QZD28:QZD67 RBB28:RBB67 RCZ28:RCZ67 REX28:REX67 RGV28:RGV67 RIT28:RIT67 RKR28:RKR67 RMP28:RMP67 RON28:RON67 RQL28:RQL67 RSJ28:RSJ67 RUH28:RUH67 RWF28:RWF67 RYD28:RYD67 SAB28:SAB67 SBZ28:SBZ67 SDX28:SDX67 SFV28:SFV67 SHT28:SHT67 SJR28:SJR67 SLP28:SLP67 SNN28:SNN67 SPL28:SPL67 SRJ28:SRJ67 STH28:STH67 SVF28:SVF67 SXD28:SXD67 SZB28:SZB67 TAZ28:TAZ67 TCX28:TCX67 TEV28:TEV67 TGT28:TGT67 TIR28:TIR67 TKP28:TKP67 TMN28:TMN67 TOL28:TOL67 TQJ28:TQJ67 TSH28:TSH67 TUF28:TUF67 TWD28:TWD67 TYB28:TYB67 TZZ28:TZZ67 UBX28:UBX67 UDV28:UDV67 UFT28:UFT67 UHR28:UHR67 UJP28:UJP67 ULN28:ULN67 UNL28:UNL67 UPJ28:UPJ67 URH28:URH67 UTF28:UTF67 UVD28:UVD67 UXB28:UXB67 UYZ28:UYZ67 VAX28:VAX67 VCV28:VCV67 VET28:VET67 VGR28:VGR67 VIP28:VIP67 VKN28:VKN67 VML28:VML67 VOJ28:VOJ67 VQH28:VQH67 VSF28:VSF67 VUD28:VUD67 VWB28:VWB67 VXZ28:VXZ67 VZX28:VZX67 WBV28:WBV67 WDT28:WDT67 WFR28:WFR67 WHP28:WHP67 WJN28:WJN67 WLL28:WLL67 WNJ28:WNJ67 WPH28:WPH67 WRF28:WRF67 WTD28:WTD67 WVB28:WVB67 WWZ28:WWZ67 WYX28:WYX67 XAV28:XAV67 XCT28:XCT67">
    <cfRule type="expression" dxfId="2329" priority="3017">
      <formula>$I28&lt;&gt;"Ativo"</formula>
    </cfRule>
    <cfRule type="expression" dxfId="2328" priority="3018">
      <formula>$B28="x"</formula>
    </cfRule>
  </conditionalFormatting>
  <conditionalFormatting sqref="BT28:BT67 DR28:DR67 FP28:FP67 HN28:HN67 JL28:JL67 LJ28:LJ67 NH28:NH67 PF28:PF67 RD28:RD67 TB28:TB67 UZ28:UZ67 WX28:WX67 YV28:YV67 AAT28:AAT67 ACR28:ACR67 AEP28:AEP67 AGN28:AGN67 AIL28:AIL67 AKJ28:AKJ67 AMH28:AMH67 AOF28:AOF67 AQD28:AQD67 ASB28:ASB67 ATZ28:ATZ67 AVX28:AVX67 AXV28:AXV67 AZT28:AZT67 BBR28:BBR67 BDP28:BDP67 BFN28:BFN67 BHL28:BHL67 BJJ28:BJJ67 BLH28:BLH67 BNF28:BNF67 BPD28:BPD67 BRB28:BRB67 BSZ28:BSZ67 BUX28:BUX67 BWV28:BWV67 BYT28:BYT67 CAR28:CAR67 CCP28:CCP67 CEN28:CEN67 CGL28:CGL67 CIJ28:CIJ67 CKH28:CKH67 CMF28:CMF67 COD28:COD67 CQB28:CQB67 CRZ28:CRZ67 CTX28:CTX67 CVV28:CVV67 CXT28:CXT67 CZR28:CZR67 DBP28:DBP67 DDN28:DDN67 DFL28:DFL67 DHJ28:DHJ67 DJH28:DJH67 DLF28:DLF67 DND28:DND67 DPB28:DPB67 DQZ28:DQZ67 DSX28:DSX67 DUV28:DUV67 DWT28:DWT67 DYR28:DYR67 EAP28:EAP67 ECN28:ECN67 EEL28:EEL67 EGJ28:EGJ67 EIH28:EIH67 EKF28:EKF67 EMD28:EMD67 EOB28:EOB67 EPZ28:EPZ67 ERX28:ERX67 ETV28:ETV67 EVT28:EVT67 EXR28:EXR67 EZP28:EZP67 FBN28:FBN67 FDL28:FDL67 FFJ28:FFJ67 FHH28:FHH67 FJF28:FJF67 FLD28:FLD67 FNB28:FNB67 FOZ28:FOZ67 FQX28:FQX67 FSV28:FSV67 FUT28:FUT67 FWR28:FWR67 FYP28:FYP67 GAN28:GAN67 GCL28:GCL67 GEJ28:GEJ67 GGH28:GGH67 GIF28:GIF67 GKD28:GKD67 GMB28:GMB67 GNZ28:GNZ67 GPX28:GPX67 GRV28:GRV67 GTT28:GTT67 GVR28:GVR67 GXP28:GXP67 GZN28:GZN67 HBL28:HBL67 HDJ28:HDJ67 HFH28:HFH67 HHF28:HHF67 HJD28:HJD67 HLB28:HLB67 HMZ28:HMZ67 HOX28:HOX67 HQV28:HQV67 HST28:HST67 HUR28:HUR67 HWP28:HWP67 HYN28:HYN67 IAL28:IAL67 ICJ28:ICJ67 IEH28:IEH67 IGF28:IGF67 IID28:IID67 IKB28:IKB67 ILZ28:ILZ67 INX28:INX67 IPV28:IPV67 IRT28:IRT67 ITR28:ITR67 IVP28:IVP67 IXN28:IXN67 IZL28:IZL67 JBJ28:JBJ67 JDH28:JDH67 JFF28:JFF67 JHD28:JHD67 JJB28:JJB67 JKZ28:JKZ67 JMX28:JMX67 JOV28:JOV67 JQT28:JQT67 JSR28:JSR67 JUP28:JUP67 JWN28:JWN67 JYL28:JYL67 KAJ28:KAJ67 KCH28:KCH67 KEF28:KEF67 KGD28:KGD67 KIB28:KIB67 KJZ28:KJZ67 KLX28:KLX67 KNV28:KNV67 KPT28:KPT67 KRR28:KRR67 KTP28:KTP67 KVN28:KVN67 KXL28:KXL67 KZJ28:KZJ67 LBH28:LBH67 LDF28:LDF67 LFD28:LFD67 LHB28:LHB67 LIZ28:LIZ67 LKX28:LKX67 LMV28:LMV67 LOT28:LOT67 LQR28:LQR67 LSP28:LSP67 LUN28:LUN67 LWL28:LWL67 LYJ28:LYJ67 MAH28:MAH67 MCF28:MCF67 MED28:MED67 MGB28:MGB67 MHZ28:MHZ67 MJX28:MJX67 MLV28:MLV67 MNT28:MNT67 MPR28:MPR67 MRP28:MRP67 MTN28:MTN67 MVL28:MVL67 MXJ28:MXJ67 MZH28:MZH67 NBF28:NBF67 NDD28:NDD67 NFB28:NFB67 NGZ28:NGZ67 NIX28:NIX67 NKV28:NKV67 NMT28:NMT67 NOR28:NOR67 NQP28:NQP67 NSN28:NSN67 NUL28:NUL67 NWJ28:NWJ67 NYH28:NYH67 OAF28:OAF67 OCD28:OCD67 OEB28:OEB67 OFZ28:OFZ67 OHX28:OHX67 OJV28:OJV67 OLT28:OLT67 ONR28:ONR67 OPP28:OPP67 ORN28:ORN67 OTL28:OTL67 OVJ28:OVJ67 OXH28:OXH67 OZF28:OZF67 PBD28:PBD67 PDB28:PDB67 PEZ28:PEZ67 PGX28:PGX67 PIV28:PIV67 PKT28:PKT67 PMR28:PMR67 POP28:POP67 PQN28:PQN67 PSL28:PSL67 PUJ28:PUJ67 PWH28:PWH67 PYF28:PYF67 QAD28:QAD67 QCB28:QCB67 QDZ28:QDZ67 QFX28:QFX67 QHV28:QHV67 QJT28:QJT67 QLR28:QLR67 QNP28:QNP67 QPN28:QPN67 QRL28:QRL67 QTJ28:QTJ67 QVH28:QVH67 QXF28:QXF67 QZD28:QZD67 RBB28:RBB67 RCZ28:RCZ67 REX28:REX67 RGV28:RGV67 RIT28:RIT67 RKR28:RKR67 RMP28:RMP67 RON28:RON67 RQL28:RQL67 RSJ28:RSJ67 RUH28:RUH67 RWF28:RWF67 RYD28:RYD67 SAB28:SAB67 SBZ28:SBZ67 SDX28:SDX67 SFV28:SFV67 SHT28:SHT67 SJR28:SJR67 SLP28:SLP67 SNN28:SNN67 SPL28:SPL67 SRJ28:SRJ67 STH28:STH67 SVF28:SVF67 SXD28:SXD67 SZB28:SZB67 TAZ28:TAZ67 TCX28:TCX67 TEV28:TEV67 TGT28:TGT67 TIR28:TIR67 TKP28:TKP67 TMN28:TMN67 TOL28:TOL67 TQJ28:TQJ67 TSH28:TSH67 TUF28:TUF67 TWD28:TWD67 TYB28:TYB67 TZZ28:TZZ67 UBX28:UBX67 UDV28:UDV67 UFT28:UFT67 UHR28:UHR67 UJP28:UJP67 ULN28:ULN67 UNL28:UNL67 UPJ28:UPJ67 URH28:URH67 UTF28:UTF67 UVD28:UVD67 UXB28:UXB67 UYZ28:UYZ67 VAX28:VAX67 VCV28:VCV67 VET28:VET67 VGR28:VGR67 VIP28:VIP67 VKN28:VKN67 VML28:VML67 VOJ28:VOJ67 VQH28:VQH67 VSF28:VSF67 VUD28:VUD67 VWB28:VWB67 VXZ28:VXZ67 VZX28:VZX67 WBV28:WBV67 WDT28:WDT67 WFR28:WFR67 WHP28:WHP67 WJN28:WJN67 WLL28:WLL67 WNJ28:WNJ67 WPH28:WPH67 WRF28:WRF67 WTD28:WTD67 WVB28:WVB67 WWZ28:WWZ67 WYX28:WYX67 XAV28:XAV67 XCT28:XCT67">
    <cfRule type="expression" dxfId="2327" priority="3011">
      <formula>$I28&lt;&gt;"Ativo"</formula>
    </cfRule>
    <cfRule type="expression" dxfId="2326" priority="3012">
      <formula>$B28="x"</formula>
    </cfRule>
  </conditionalFormatting>
  <conditionalFormatting sqref="V223:Z223 D8:AQ67 V8:Y222 V224:Y315 V317:Y318">
    <cfRule type="expression" dxfId="2325" priority="3217">
      <formula>$I8&lt;&gt;"Ativo"</formula>
    </cfRule>
    <cfRule type="expression" dxfId="2324" priority="3218">
      <formula>#REF!="x"</formula>
    </cfRule>
  </conditionalFormatting>
  <conditionalFormatting sqref="D29:E29">
    <cfRule type="expression" dxfId="2323" priority="2995">
      <formula>$I29&lt;&gt;"Ativo"</formula>
    </cfRule>
    <cfRule type="expression" dxfId="2322" priority="2996">
      <formula>$B29="x"</formula>
    </cfRule>
  </conditionalFormatting>
  <conditionalFormatting sqref="D29:E29">
    <cfRule type="expression" dxfId="2321" priority="2993">
      <formula>$I29&lt;&gt;"Ativo"</formula>
    </cfRule>
    <cfRule type="expression" dxfId="2320" priority="2994">
      <formula>$B29="x"</formula>
    </cfRule>
  </conditionalFormatting>
  <conditionalFormatting sqref="AM30:AN30">
    <cfRule type="expression" dxfId="2319" priority="2987">
      <formula>$I30&lt;&gt;"Ativo"</formula>
    </cfRule>
    <cfRule type="expression" dxfId="2318" priority="2988">
      <formula>$B30="x"</formula>
    </cfRule>
  </conditionalFormatting>
  <conditionalFormatting sqref="AM31:AN31">
    <cfRule type="expression" dxfId="2317" priority="2981">
      <formula>$I31&lt;&gt;"Ativo"</formula>
    </cfRule>
    <cfRule type="expression" dxfId="2316" priority="2982">
      <formula>$B31="x"</formula>
    </cfRule>
  </conditionalFormatting>
  <conditionalFormatting sqref="N31:P31 AJ31 AM31:AN31 D31:G31 V31">
    <cfRule type="expression" dxfId="2315" priority="2979">
      <formula>$I31&lt;&gt;"Ativo"</formula>
    </cfRule>
    <cfRule type="expression" dxfId="2314" priority="2980">
      <formula>$B31="x"</formula>
    </cfRule>
  </conditionalFormatting>
  <conditionalFormatting sqref="H31">
    <cfRule type="expression" dxfId="2313" priority="2977">
      <formula>$I31&lt;&gt;"Ativo"</formula>
    </cfRule>
    <cfRule type="expression" dxfId="2312" priority="2978">
      <formula>$B31="x"</formula>
    </cfRule>
  </conditionalFormatting>
  <conditionalFormatting sqref="I31">
    <cfRule type="expression" dxfId="2311" priority="2975">
      <formula>$I31&lt;&gt;"Ativo"</formula>
    </cfRule>
    <cfRule type="expression" dxfId="2310" priority="2976">
      <formula>$B31="x"</formula>
    </cfRule>
  </conditionalFormatting>
  <conditionalFormatting sqref="J31">
    <cfRule type="expression" dxfId="2309" priority="2973">
      <formula>$I31&lt;&gt;"Ativo"</formula>
    </cfRule>
    <cfRule type="expression" dxfId="2308" priority="2974">
      <formula>$B31="x"</formula>
    </cfRule>
  </conditionalFormatting>
  <conditionalFormatting sqref="K31:M31">
    <cfRule type="expression" dxfId="2307" priority="2971">
      <formula>$I31&lt;&gt;"Ativo"</formula>
    </cfRule>
    <cfRule type="expression" dxfId="2306" priority="2972">
      <formula>$B31="x"</formula>
    </cfRule>
  </conditionalFormatting>
  <conditionalFormatting sqref="Q31:T31">
    <cfRule type="expression" dxfId="2305" priority="2969">
      <formula>$I31&lt;&gt;"Ativo"</formula>
    </cfRule>
    <cfRule type="expression" dxfId="2304" priority="2970">
      <formula>$B31="x"</formula>
    </cfRule>
  </conditionalFormatting>
  <conditionalFormatting sqref="U31">
    <cfRule type="expression" dxfId="2303" priority="2967">
      <formula>$I31&lt;&gt;"Ativo"</formula>
    </cfRule>
    <cfRule type="expression" dxfId="2302" priority="2968">
      <formula>$B31="x"</formula>
    </cfRule>
  </conditionalFormatting>
  <conditionalFormatting sqref="AG31">
    <cfRule type="expression" dxfId="2301" priority="2965">
      <formula>$I31&lt;&gt;"Ativo"</formula>
    </cfRule>
    <cfRule type="expression" dxfId="2300" priority="2966">
      <formula>$B31="x"</formula>
    </cfRule>
  </conditionalFormatting>
  <conditionalFormatting sqref="AH31">
    <cfRule type="expression" dxfId="2299" priority="2963">
      <formula>$I31&lt;&gt;"Ativo"</formula>
    </cfRule>
    <cfRule type="expression" dxfId="2298" priority="2964">
      <formula>$B31="x"</formula>
    </cfRule>
  </conditionalFormatting>
  <conditionalFormatting sqref="AI31">
    <cfRule type="expression" dxfId="2297" priority="2961">
      <formula>$I31&lt;&gt;"Ativo"</formula>
    </cfRule>
    <cfRule type="expression" dxfId="2296" priority="2962">
      <formula>$B31="x"</formula>
    </cfRule>
  </conditionalFormatting>
  <conditionalFormatting sqref="AK31">
    <cfRule type="expression" dxfId="2295" priority="2959">
      <formula>$I31&lt;&gt;"Ativo"</formula>
    </cfRule>
    <cfRule type="expression" dxfId="2294" priority="2960">
      <formula>$B31="x"</formula>
    </cfRule>
  </conditionalFormatting>
  <conditionalFormatting sqref="AL31">
    <cfRule type="expression" dxfId="2293" priority="2957">
      <formula>$I31&lt;&gt;"Ativo"</formula>
    </cfRule>
    <cfRule type="expression" dxfId="2292" priority="2958">
      <formula>$B31="x"</formula>
    </cfRule>
  </conditionalFormatting>
  <conditionalFormatting sqref="Z31">
    <cfRule type="expression" dxfId="2291" priority="2955">
      <formula>$I31&lt;&gt;"Ativo"</formula>
    </cfRule>
    <cfRule type="expression" dxfId="2290" priority="2956">
      <formula>$B31="x"</formula>
    </cfRule>
  </conditionalFormatting>
  <conditionalFormatting sqref="AB39:AC40 AI40:AN41 D39:AA41">
    <cfRule type="expression" dxfId="2289" priority="2943">
      <formula>$I39&lt;&gt;"Ativo"</formula>
    </cfRule>
    <cfRule type="expression" dxfId="2288" priority="2944">
      <formula>$B39="x"</formula>
    </cfRule>
  </conditionalFormatting>
  <conditionalFormatting sqref="AH29:AH67">
    <cfRule type="expression" dxfId="2287" priority="2935">
      <formula>$I29&lt;&gt;"Ativo"</formula>
    </cfRule>
    <cfRule type="expression" dxfId="2286" priority="2936">
      <formula>$B29="x"</formula>
    </cfRule>
  </conditionalFormatting>
  <conditionalFormatting sqref="AH29:AH67">
    <cfRule type="expression" dxfId="2285" priority="2933">
      <formula>$I29&lt;&gt;"Ativo"</formula>
    </cfRule>
    <cfRule type="expression" dxfId="2284" priority="2934">
      <formula>#REF!="x"</formula>
    </cfRule>
  </conditionalFormatting>
  <conditionalFormatting sqref="AG60:AN60">
    <cfRule type="expression" dxfId="2283" priority="2921">
      <formula>$I60&lt;&gt;"Ativo"</formula>
    </cfRule>
    <cfRule type="expression" dxfId="2282" priority="2922">
      <formula>$B60="x"</formula>
    </cfRule>
  </conditionalFormatting>
  <conditionalFormatting sqref="V130">
    <cfRule type="expression" dxfId="2281" priority="2765">
      <formula>#REF!&lt;&gt;"Ativo"</formula>
    </cfRule>
    <cfRule type="expression" dxfId="2280" priority="2766">
      <formula>$B130="x"</formula>
    </cfRule>
  </conditionalFormatting>
  <conditionalFormatting sqref="V8:Y203 Z330:AB330 V270:X330 V339:X339 Y340:AB340 V342:X347 W341:Y341 V368:X411">
    <cfRule type="expression" dxfId="2279" priority="2763">
      <formula>$G8&lt;&gt;"Ativo"</formula>
    </cfRule>
    <cfRule type="expression" dxfId="2278" priority="2764">
      <formula>$B8="x"</formula>
    </cfRule>
  </conditionalFormatting>
  <conditionalFormatting sqref="V130">
    <cfRule type="expression" dxfId="2277" priority="2761">
      <formula>#REF!&lt;&gt;"Ativo"</formula>
    </cfRule>
    <cfRule type="expression" dxfId="2276" priority="2762">
      <formula>$B130="x"</formula>
    </cfRule>
  </conditionalFormatting>
  <conditionalFormatting sqref="V186:Y203">
    <cfRule type="expression" dxfId="2275" priority="2759">
      <formula>$G186&lt;&gt;"Ativo"</formula>
    </cfRule>
    <cfRule type="expression" dxfId="2274" priority="2760">
      <formula>$B186="x"</formula>
    </cfRule>
  </conditionalFormatting>
  <conditionalFormatting sqref="V65:Y65">
    <cfRule type="expression" dxfId="2273" priority="2757">
      <formula>$G65&lt;&gt;"Ativo"</formula>
    </cfRule>
    <cfRule type="expression" dxfId="2272" priority="2758">
      <formula>$B65="x"</formula>
    </cfRule>
  </conditionalFormatting>
  <conditionalFormatting sqref="V128:Y128">
    <cfRule type="expression" dxfId="2271" priority="2755">
      <formula>$G128&lt;&gt;"Ativo"</formula>
    </cfRule>
    <cfRule type="expression" dxfId="2270" priority="2756">
      <formula>$B128="x"</formula>
    </cfRule>
  </conditionalFormatting>
  <conditionalFormatting sqref="V130:Y130">
    <cfRule type="expression" dxfId="2269" priority="2753">
      <formula>$G130&lt;&gt;"Ativo"</formula>
    </cfRule>
    <cfRule type="expression" dxfId="2268" priority="2754">
      <formula>$B130="x"</formula>
    </cfRule>
  </conditionalFormatting>
  <conditionalFormatting sqref="V131:Y131">
    <cfRule type="expression" dxfId="2267" priority="2751">
      <formula>$G131&lt;&gt;"Ativo"</formula>
    </cfRule>
    <cfRule type="expression" dxfId="2266" priority="2752">
      <formula>$B131="x"</formula>
    </cfRule>
  </conditionalFormatting>
  <conditionalFormatting sqref="V150:Y150">
    <cfRule type="expression" dxfId="2265" priority="2749">
      <formula>$G150&lt;&gt;"Ativo"</formula>
    </cfRule>
    <cfRule type="expression" dxfId="2264" priority="2750">
      <formula>$B150="x"</formula>
    </cfRule>
  </conditionalFormatting>
  <conditionalFormatting sqref="V151:Y151">
    <cfRule type="expression" dxfId="2263" priority="2747">
      <formula>$G151&lt;&gt;"Ativo"</formula>
    </cfRule>
    <cfRule type="expression" dxfId="2262" priority="2748">
      <formula>$B151="x"</formula>
    </cfRule>
  </conditionalFormatting>
  <conditionalFormatting sqref="V152:Y152">
    <cfRule type="expression" dxfId="2261" priority="2745">
      <formula>$G152&lt;&gt;"Ativo"</formula>
    </cfRule>
    <cfRule type="expression" dxfId="2260" priority="2746">
      <formula>$B152="x"</formula>
    </cfRule>
  </conditionalFormatting>
  <conditionalFormatting sqref="V153:Y153">
    <cfRule type="expression" dxfId="2259" priority="2743">
      <formula>$G153&lt;&gt;"Ativo"</formula>
    </cfRule>
    <cfRule type="expression" dxfId="2258" priority="2744">
      <formula>$B153="x"</formula>
    </cfRule>
  </conditionalFormatting>
  <conditionalFormatting sqref="V154:Y154">
    <cfRule type="expression" dxfId="2257" priority="2741">
      <formula>$G154&lt;&gt;"Ativo"</formula>
    </cfRule>
    <cfRule type="expression" dxfId="2256" priority="2742">
      <formula>$B154="x"</formula>
    </cfRule>
  </conditionalFormatting>
  <conditionalFormatting sqref="V155:Y155">
    <cfRule type="expression" dxfId="2255" priority="2739">
      <formula>$G155&lt;&gt;"Ativo"</formula>
    </cfRule>
    <cfRule type="expression" dxfId="2254" priority="2740">
      <formula>$B155="x"</formula>
    </cfRule>
  </conditionalFormatting>
  <conditionalFormatting sqref="V156:Y188">
    <cfRule type="expression" dxfId="2253" priority="2737">
      <formula>$G156&lt;&gt;"Ativo"</formula>
    </cfRule>
    <cfRule type="expression" dxfId="2252" priority="2738">
      <formula>$B156="x"</formula>
    </cfRule>
  </conditionalFormatting>
  <conditionalFormatting sqref="V175:Y175">
    <cfRule type="expression" dxfId="2251" priority="2735">
      <formula>$G175&lt;&gt;"Ativo"</formula>
    </cfRule>
    <cfRule type="expression" dxfId="2250" priority="2736">
      <formula>$B175="x"</formula>
    </cfRule>
  </conditionalFormatting>
  <conditionalFormatting sqref="V176:Y176">
    <cfRule type="expression" dxfId="2249" priority="2733">
      <formula>$G176&lt;&gt;"Ativo"</formula>
    </cfRule>
    <cfRule type="expression" dxfId="2248" priority="2734">
      <formula>$B176="x"</formula>
    </cfRule>
  </conditionalFormatting>
  <conditionalFormatting sqref="V175:Y175">
    <cfRule type="expression" dxfId="2247" priority="2731">
      <formula>$G175&lt;&gt;"Ativo"</formula>
    </cfRule>
    <cfRule type="expression" dxfId="2246" priority="2732">
      <formula>$B175="x"</formula>
    </cfRule>
  </conditionalFormatting>
  <conditionalFormatting sqref="V177:Y203">
    <cfRule type="expression" dxfId="2245" priority="2729">
      <formula>$G177&lt;&gt;"Ativo"</formula>
    </cfRule>
    <cfRule type="expression" dxfId="2244" priority="2730">
      <formula>$B177="x"</formula>
    </cfRule>
  </conditionalFormatting>
  <conditionalFormatting sqref="V178">
    <cfRule type="expression" dxfId="2243" priority="2727">
      <formula>#REF!&lt;&gt;"Ativo"</formula>
    </cfRule>
    <cfRule type="expression" dxfId="2242" priority="2728">
      <formula>$B178="x"</formula>
    </cfRule>
  </conditionalFormatting>
  <conditionalFormatting sqref="V197:Y197">
    <cfRule type="expression" dxfId="2241" priority="2725">
      <formula>$G197&lt;&gt;"Ativo"</formula>
    </cfRule>
    <cfRule type="expression" dxfId="2240" priority="2726">
      <formula>$B197="x"</formula>
    </cfRule>
  </conditionalFormatting>
  <conditionalFormatting sqref="V199:Y199">
    <cfRule type="expression" dxfId="2239" priority="2723">
      <formula>$G199&lt;&gt;"Ativo"</formula>
    </cfRule>
    <cfRule type="expression" dxfId="2238" priority="2724">
      <formula>$B199="x"</formula>
    </cfRule>
  </conditionalFormatting>
  <conditionalFormatting sqref="V200:Y200">
    <cfRule type="expression" dxfId="2237" priority="2721">
      <formula>$G200&lt;&gt;"Ativo"</formula>
    </cfRule>
    <cfRule type="expression" dxfId="2236" priority="2722">
      <formula>$B200="x"</formula>
    </cfRule>
  </conditionalFormatting>
  <conditionalFormatting sqref="V201:Y201">
    <cfRule type="expression" dxfId="2235" priority="2719">
      <formula>$G201&lt;&gt;"Ativo"</formula>
    </cfRule>
    <cfRule type="expression" dxfId="2234" priority="2720">
      <formula>$B201="x"</formula>
    </cfRule>
  </conditionalFormatting>
  <conditionalFormatting sqref="V10:X10">
    <cfRule type="expression" dxfId="2233" priority="2699">
      <formula>$G10&lt;&gt;"Ativo"</formula>
    </cfRule>
    <cfRule type="expression" dxfId="2232" priority="2700">
      <formula>$B10="x"</formula>
    </cfRule>
  </conditionalFormatting>
  <conditionalFormatting sqref="J14:J37">
    <cfRule type="expression" dxfId="2231" priority="2697">
      <formula>$I14&lt;&gt;"Ativo"</formula>
    </cfRule>
    <cfRule type="expression" dxfId="2230" priority="2698">
      <formula>$B14="x"</formula>
    </cfRule>
  </conditionalFormatting>
  <conditionalFormatting sqref="M14:M37">
    <cfRule type="expression" dxfId="2229" priority="2695">
      <formula>$I14&lt;&gt;"Ativo"</formula>
    </cfRule>
    <cfRule type="expression" dxfId="2228" priority="2696">
      <formula>$B14="x"</formula>
    </cfRule>
  </conditionalFormatting>
  <conditionalFormatting sqref="AG14:AI37">
    <cfRule type="expression" dxfId="2227" priority="2693">
      <formula>$I14&lt;&gt;"Ativo"</formula>
    </cfRule>
    <cfRule type="expression" dxfId="2226" priority="2694">
      <formula>$B14="x"</formula>
    </cfRule>
  </conditionalFormatting>
  <conditionalFormatting sqref="J38">
    <cfRule type="expression" dxfId="2225" priority="2689">
      <formula>$I38&lt;&gt;"Ativo"</formula>
    </cfRule>
    <cfRule type="expression" dxfId="2224" priority="2690">
      <formula>$B38="x"</formula>
    </cfRule>
  </conditionalFormatting>
  <conditionalFormatting sqref="D38">
    <cfRule type="expression" dxfId="2223" priority="2687">
      <formula>$I38&lt;&gt;"Ativo"</formula>
    </cfRule>
    <cfRule type="expression" dxfId="2222" priority="2688">
      <formula>$B38="x"</formula>
    </cfRule>
  </conditionalFormatting>
  <conditionalFormatting sqref="AM38:AN38">
    <cfRule type="expression" dxfId="2221" priority="2681">
      <formula>$I38&lt;&gt;"Ativo"</formula>
    </cfRule>
    <cfRule type="expression" dxfId="2220" priority="2682">
      <formula>$B38="x"</formula>
    </cfRule>
  </conditionalFormatting>
  <conditionalFormatting sqref="J38">
    <cfRule type="expression" dxfId="2219" priority="2679">
      <formula>$I38&lt;&gt;"Ativo"</formula>
    </cfRule>
    <cfRule type="expression" dxfId="2218" priority="2680">
      <formula>$B38="x"</formula>
    </cfRule>
  </conditionalFormatting>
  <conditionalFormatting sqref="M38">
    <cfRule type="expression" dxfId="2217" priority="2677">
      <formula>$I38&lt;&gt;"Ativo"</formula>
    </cfRule>
    <cfRule type="expression" dxfId="2216" priority="2678">
      <formula>$B38="x"</formula>
    </cfRule>
  </conditionalFormatting>
  <conditionalFormatting sqref="I38">
    <cfRule type="expression" dxfId="2215" priority="2675">
      <formula>$I38&lt;&gt;"Ativo"</formula>
    </cfRule>
    <cfRule type="expression" dxfId="2214" priority="2676">
      <formula>$B38="x"</formula>
    </cfRule>
  </conditionalFormatting>
  <conditionalFormatting sqref="J38">
    <cfRule type="expression" dxfId="2213" priority="2673">
      <formula>$I38&lt;&gt;"Ativo"</formula>
    </cfRule>
    <cfRule type="expression" dxfId="2212" priority="2674">
      <formula>$B38="x"</formula>
    </cfRule>
  </conditionalFormatting>
  <conditionalFormatting sqref="AM38:AN38">
    <cfRule type="expression" dxfId="2211" priority="2669">
      <formula>$I38&lt;&gt;"Ativo"</formula>
    </cfRule>
    <cfRule type="expression" dxfId="2210" priority="2670">
      <formula>$B38="x"</formula>
    </cfRule>
  </conditionalFormatting>
  <conditionalFormatting sqref="V38:X38">
    <cfRule type="expression" dxfId="2209" priority="2659">
      <formula>$G38&lt;&gt;"Ativo"</formula>
    </cfRule>
    <cfRule type="expression" dxfId="2208" priority="2660">
      <formula>$B38="x"</formula>
    </cfRule>
  </conditionalFormatting>
  <conditionalFormatting sqref="V38:X38">
    <cfRule type="expression" dxfId="2207" priority="2653">
      <formula>$G38&lt;&gt;"Ativo"</formula>
    </cfRule>
    <cfRule type="expression" dxfId="2206" priority="2654">
      <formula>$B38="x"</formula>
    </cfRule>
  </conditionalFormatting>
  <conditionalFormatting sqref="J38">
    <cfRule type="expression" dxfId="2205" priority="2651">
      <formula>$I38&lt;&gt;"Ativo"</formula>
    </cfRule>
    <cfRule type="expression" dxfId="2204" priority="2652">
      <formula>$B38="x"</formula>
    </cfRule>
  </conditionalFormatting>
  <conditionalFormatting sqref="M38">
    <cfRule type="expression" dxfId="2203" priority="2649">
      <formula>$I38&lt;&gt;"Ativo"</formula>
    </cfRule>
    <cfRule type="expression" dxfId="2202" priority="2650">
      <formula>$B38="x"</formula>
    </cfRule>
  </conditionalFormatting>
  <conditionalFormatting sqref="AG38:AI38">
    <cfRule type="expression" dxfId="2201" priority="2647">
      <formula>$I38&lt;&gt;"Ativo"</formula>
    </cfRule>
    <cfRule type="expression" dxfId="2200" priority="2648">
      <formula>$B38="x"</formula>
    </cfRule>
  </conditionalFormatting>
  <conditionalFormatting sqref="J39:J67">
    <cfRule type="expression" dxfId="2199" priority="2639">
      <formula>$I39&lt;&gt;"Ativo"</formula>
    </cfRule>
    <cfRule type="expression" dxfId="2198" priority="2640">
      <formula>$B39="x"</formula>
    </cfRule>
  </conditionalFormatting>
  <conditionalFormatting sqref="D39:D67">
    <cfRule type="expression" dxfId="2197" priority="2637">
      <formula>$I39&lt;&gt;"Ativo"</formula>
    </cfRule>
    <cfRule type="expression" dxfId="2196" priority="2638">
      <formula>$B39="x"</formula>
    </cfRule>
  </conditionalFormatting>
  <conditionalFormatting sqref="AM39:AN67">
    <cfRule type="expression" dxfId="2195" priority="2631">
      <formula>$I39&lt;&gt;"Ativo"</formula>
    </cfRule>
    <cfRule type="expression" dxfId="2194" priority="2632">
      <formula>$B39="x"</formula>
    </cfRule>
  </conditionalFormatting>
  <conditionalFormatting sqref="J39:J67">
    <cfRule type="expression" dxfId="2193" priority="2629">
      <formula>$I39&lt;&gt;"Ativo"</formula>
    </cfRule>
    <cfRule type="expression" dxfId="2192" priority="2630">
      <formula>$B39="x"</formula>
    </cfRule>
  </conditionalFormatting>
  <conditionalFormatting sqref="M39:M67">
    <cfRule type="expression" dxfId="2191" priority="2627">
      <formula>$I39&lt;&gt;"Ativo"</formula>
    </cfRule>
    <cfRule type="expression" dxfId="2190" priority="2628">
      <formula>$B39="x"</formula>
    </cfRule>
  </conditionalFormatting>
  <conditionalFormatting sqref="I39:I67">
    <cfRule type="expression" dxfId="2189" priority="2625">
      <formula>$I39&lt;&gt;"Ativo"</formula>
    </cfRule>
    <cfRule type="expression" dxfId="2188" priority="2626">
      <formula>$B39="x"</formula>
    </cfRule>
  </conditionalFormatting>
  <conditionalFormatting sqref="J39:J67">
    <cfRule type="expression" dxfId="2187" priority="2623">
      <formula>$I39&lt;&gt;"Ativo"</formula>
    </cfRule>
    <cfRule type="expression" dxfId="2186" priority="2624">
      <formula>$B39="x"</formula>
    </cfRule>
  </conditionalFormatting>
  <conditionalFormatting sqref="AM39:AN67">
    <cfRule type="expression" dxfId="2185" priority="2619">
      <formula>$I39&lt;&gt;"Ativo"</formula>
    </cfRule>
    <cfRule type="expression" dxfId="2184" priority="2620">
      <formula>$B39="x"</formula>
    </cfRule>
  </conditionalFormatting>
  <conditionalFormatting sqref="V39:X67">
    <cfRule type="expression" dxfId="2183" priority="2609">
      <formula>$G39&lt;&gt;"Ativo"</formula>
    </cfRule>
    <cfRule type="expression" dxfId="2182" priority="2610">
      <formula>$B39="x"</formula>
    </cfRule>
  </conditionalFormatting>
  <conditionalFormatting sqref="V39:X67">
    <cfRule type="expression" dxfId="2181" priority="2603">
      <formula>$G39&lt;&gt;"Ativo"</formula>
    </cfRule>
    <cfRule type="expression" dxfId="2180" priority="2604">
      <formula>$B39="x"</formula>
    </cfRule>
  </conditionalFormatting>
  <conditionalFormatting sqref="J39:J67">
    <cfRule type="expression" dxfId="2179" priority="2601">
      <formula>$I39&lt;&gt;"Ativo"</formula>
    </cfRule>
    <cfRule type="expression" dxfId="2178" priority="2602">
      <formula>$B39="x"</formula>
    </cfRule>
  </conditionalFormatting>
  <conditionalFormatting sqref="M39:M67">
    <cfRule type="expression" dxfId="2177" priority="2599">
      <formula>$I39&lt;&gt;"Ativo"</formula>
    </cfRule>
    <cfRule type="expression" dxfId="2176" priority="2600">
      <formula>$B39="x"</formula>
    </cfRule>
  </conditionalFormatting>
  <conditionalFormatting sqref="AG39:AI67">
    <cfRule type="expression" dxfId="2175" priority="2597">
      <formula>$I39&lt;&gt;"Ativo"</formula>
    </cfRule>
    <cfRule type="expression" dxfId="2174" priority="2598">
      <formula>$B39="x"</formula>
    </cfRule>
  </conditionalFormatting>
  <conditionalFormatting sqref="V189:Y203">
    <cfRule type="expression" dxfId="2173" priority="2587">
      <formula>$G189&lt;&gt;"Ativo"</formula>
    </cfRule>
    <cfRule type="expression" dxfId="2172" priority="2588">
      <formula>$B189="x"</formula>
    </cfRule>
  </conditionalFormatting>
  <conditionalFormatting sqref="AO80:AO84">
    <cfRule type="expression" dxfId="2171" priority="2583">
      <formula>$I80&lt;&gt;"Ativo"</formula>
    </cfRule>
    <cfRule type="expression" dxfId="2170" priority="2584">
      <formula>$B80="x"</formula>
    </cfRule>
  </conditionalFormatting>
  <conditionalFormatting sqref="AO17:AO18">
    <cfRule type="expression" dxfId="2169" priority="2577">
      <formula>$I17&lt;&gt;"Ativo"</formula>
    </cfRule>
    <cfRule type="expression" dxfId="2168" priority="2578">
      <formula>$B17="x"</formula>
    </cfRule>
  </conditionalFormatting>
  <conditionalFormatting sqref="AO18">
    <cfRule type="expression" dxfId="2167" priority="2575">
      <formula>$I18&lt;&gt;"Ativo"</formula>
    </cfRule>
    <cfRule type="expression" dxfId="2166" priority="2576">
      <formula>$B18="x"</formula>
    </cfRule>
  </conditionalFormatting>
  <conditionalFormatting sqref="AO18">
    <cfRule type="expression" dxfId="2165" priority="2573">
      <formula>$I18&lt;&gt;"Ativo"</formula>
    </cfRule>
    <cfRule type="expression" dxfId="2164" priority="2574">
      <formula>$B18="x"</formula>
    </cfRule>
  </conditionalFormatting>
  <conditionalFormatting sqref="AO19:AO28">
    <cfRule type="expression" dxfId="2163" priority="2565">
      <formula>$I19&lt;&gt;"Ativo"</formula>
    </cfRule>
    <cfRule type="expression" dxfId="2162" priority="2566">
      <formula>$B19="x"</formula>
    </cfRule>
  </conditionalFormatting>
  <conditionalFormatting sqref="AO29">
    <cfRule type="expression" dxfId="2161" priority="2563">
      <formula>$I29&lt;&gt;"Ativo"</formula>
    </cfRule>
    <cfRule type="expression" dxfId="2160" priority="2564">
      <formula>$B29="x"</formula>
    </cfRule>
  </conditionalFormatting>
  <conditionalFormatting sqref="AO30">
    <cfRule type="expression" dxfId="2159" priority="2561">
      <formula>$I30&lt;&gt;"Ativo"</formula>
    </cfRule>
    <cfRule type="expression" dxfId="2158" priority="2562">
      <formula>$B30="x"</formula>
    </cfRule>
  </conditionalFormatting>
  <conditionalFormatting sqref="AO31">
    <cfRule type="expression" dxfId="2157" priority="2559">
      <formula>$I31&lt;&gt;"Ativo"</formula>
    </cfRule>
    <cfRule type="expression" dxfId="2156" priority="2560">
      <formula>$B31="x"</formula>
    </cfRule>
  </conditionalFormatting>
  <conditionalFormatting sqref="AO31">
    <cfRule type="expression" dxfId="2155" priority="2557">
      <formula>$I31&lt;&gt;"Ativo"</formula>
    </cfRule>
    <cfRule type="expression" dxfId="2154" priority="2558">
      <formula>$B31="x"</formula>
    </cfRule>
  </conditionalFormatting>
  <conditionalFormatting sqref="AO32:AO33">
    <cfRule type="expression" dxfId="2153" priority="2555">
      <formula>$I32&lt;&gt;"Ativo"</formula>
    </cfRule>
    <cfRule type="expression" dxfId="2152" priority="2556">
      <formula>$B32="x"</formula>
    </cfRule>
  </conditionalFormatting>
  <conditionalFormatting sqref="AO34:AO35">
    <cfRule type="expression" dxfId="2151" priority="2553">
      <formula>$I34&lt;&gt;"Ativo"</formula>
    </cfRule>
    <cfRule type="expression" dxfId="2150" priority="2554">
      <formula>$B34="x"</formula>
    </cfRule>
  </conditionalFormatting>
  <conditionalFormatting sqref="AO36:AO38">
    <cfRule type="expression" dxfId="2149" priority="2551">
      <formula>$I36&lt;&gt;"Ativo"</formula>
    </cfRule>
    <cfRule type="expression" dxfId="2148" priority="2552">
      <formula>$B36="x"</formula>
    </cfRule>
  </conditionalFormatting>
  <conditionalFormatting sqref="AO36:AO38">
    <cfRule type="expression" dxfId="2147" priority="2549">
      <formula>$I36&lt;&gt;"Ativo"</formula>
    </cfRule>
    <cfRule type="expression" dxfId="2146" priority="2550">
      <formula>$B36="x"</formula>
    </cfRule>
  </conditionalFormatting>
  <conditionalFormatting sqref="AO39:AO41">
    <cfRule type="expression" dxfId="2145" priority="2547">
      <formula>$I39&lt;&gt;"Ativo"</formula>
    </cfRule>
    <cfRule type="expression" dxfId="2144" priority="2548">
      <formula>$B39="x"</formula>
    </cfRule>
  </conditionalFormatting>
  <conditionalFormatting sqref="AO42:AO44">
    <cfRule type="expression" dxfId="2143" priority="2545">
      <formula>$I42&lt;&gt;"Ativo"</formula>
    </cfRule>
    <cfRule type="expression" dxfId="2142" priority="2546">
      <formula>$B42="x"</formula>
    </cfRule>
  </conditionalFormatting>
  <conditionalFormatting sqref="AO45:AO47">
    <cfRule type="expression" dxfId="2141" priority="2543">
      <formula>$I45&lt;&gt;"Ativo"</formula>
    </cfRule>
    <cfRule type="expression" dxfId="2140" priority="2544">
      <formula>$B45="x"</formula>
    </cfRule>
  </conditionalFormatting>
  <conditionalFormatting sqref="AO48:AO50">
    <cfRule type="expression" dxfId="2139" priority="2541">
      <formula>$I48&lt;&gt;"Ativo"</formula>
    </cfRule>
    <cfRule type="expression" dxfId="2138" priority="2542">
      <formula>$B48="x"</formula>
    </cfRule>
  </conditionalFormatting>
  <conditionalFormatting sqref="AO29:AO67">
    <cfRule type="expression" dxfId="2137" priority="2539">
      <formula>$I29&lt;&gt;"Ativo"</formula>
    </cfRule>
    <cfRule type="expression" dxfId="2136" priority="2540">
      <formula>$B29="x"</formula>
    </cfRule>
  </conditionalFormatting>
  <conditionalFormatting sqref="AO51:AO55">
    <cfRule type="expression" dxfId="2135" priority="2537">
      <formula>$I51&lt;&gt;"Ativo"</formula>
    </cfRule>
    <cfRule type="expression" dxfId="2134" priority="2538">
      <formula>$B51="x"</formula>
    </cfRule>
  </conditionalFormatting>
  <conditionalFormatting sqref="AO56">
    <cfRule type="expression" dxfId="2133" priority="2535">
      <formula>$I56&lt;&gt;"Ativo"</formula>
    </cfRule>
    <cfRule type="expression" dxfId="2132" priority="2536">
      <formula>$B56="x"</formula>
    </cfRule>
  </conditionalFormatting>
  <conditionalFormatting sqref="AO57:AO59">
    <cfRule type="expression" dxfId="2131" priority="2533">
      <formula>$I57&lt;&gt;"Ativo"</formula>
    </cfRule>
    <cfRule type="expression" dxfId="2130" priority="2534">
      <formula>$B57="x"</formula>
    </cfRule>
  </conditionalFormatting>
  <conditionalFormatting sqref="AO60">
    <cfRule type="expression" dxfId="2129" priority="2531">
      <formula>$I60&lt;&gt;"Ativo"</formula>
    </cfRule>
    <cfRule type="expression" dxfId="2128" priority="2532">
      <formula>$B60="x"</formula>
    </cfRule>
  </conditionalFormatting>
  <conditionalFormatting sqref="AO61:AO67">
    <cfRule type="expression" dxfId="2127" priority="2529">
      <formula>$I61&lt;&gt;"Ativo"</formula>
    </cfRule>
    <cfRule type="expression" dxfId="2126" priority="2530">
      <formula>$B61="x"</formula>
    </cfRule>
  </conditionalFormatting>
  <conditionalFormatting sqref="AO68:AO71">
    <cfRule type="expression" dxfId="2125" priority="2527">
      <formula>$I68&lt;&gt;"Ativo"</formula>
    </cfRule>
    <cfRule type="expression" dxfId="2124" priority="2528">
      <formula>$B68="x"</formula>
    </cfRule>
  </conditionalFormatting>
  <conditionalFormatting sqref="AO72:AO73">
    <cfRule type="expression" dxfId="2123" priority="2525">
      <formula>$I72&lt;&gt;"Ativo"</formula>
    </cfRule>
    <cfRule type="expression" dxfId="2122" priority="2526">
      <formula>$B72="x"</formula>
    </cfRule>
  </conditionalFormatting>
  <conditionalFormatting sqref="AO74:AO91">
    <cfRule type="expression" dxfId="2121" priority="2523">
      <formula>$I74&lt;&gt;"Ativo"</formula>
    </cfRule>
    <cfRule type="expression" dxfId="2120" priority="2524">
      <formula>$B74="x"</formula>
    </cfRule>
  </conditionalFormatting>
  <conditionalFormatting sqref="AO85:AO87">
    <cfRule type="expression" dxfId="2119" priority="2521">
      <formula>$I85&lt;&gt;"Ativo"</formula>
    </cfRule>
    <cfRule type="expression" dxfId="2118" priority="2522">
      <formula>$B85="x"</formula>
    </cfRule>
  </conditionalFormatting>
  <conditionalFormatting sqref="AO92:AO108">
    <cfRule type="expression" dxfId="2117" priority="2517">
      <formula>$I92&lt;&gt;"Ativo"</formula>
    </cfRule>
    <cfRule type="expression" dxfId="2116" priority="2518">
      <formula>$B92="x"</formula>
    </cfRule>
  </conditionalFormatting>
  <conditionalFormatting sqref="AO10">
    <cfRule type="expression" dxfId="2115" priority="2511">
      <formula>$I10&lt;&gt;"Ativo"</formula>
    </cfRule>
    <cfRule type="expression" dxfId="2114" priority="2512">
      <formula>$B10="x"</formula>
    </cfRule>
  </conditionalFormatting>
  <conditionalFormatting sqref="AO38">
    <cfRule type="expression" dxfId="2113" priority="2509">
      <formula>$I38&lt;&gt;"Ativo"</formula>
    </cfRule>
    <cfRule type="expression" dxfId="2112" priority="2510">
      <formula>$B38="x"</formula>
    </cfRule>
  </conditionalFormatting>
  <conditionalFormatting sqref="AO38">
    <cfRule type="expression" dxfId="2111" priority="2507">
      <formula>$I38&lt;&gt;"Ativo"</formula>
    </cfRule>
    <cfRule type="expression" dxfId="2110" priority="2508">
      <formula>$B38="x"</formula>
    </cfRule>
  </conditionalFormatting>
  <conditionalFormatting sqref="AO38">
    <cfRule type="expression" dxfId="2109" priority="2505">
      <formula>$I38&lt;&gt;"Ativo"</formula>
    </cfRule>
    <cfRule type="expression" dxfId="2108" priority="2506">
      <formula>$B38="x"</formula>
    </cfRule>
  </conditionalFormatting>
  <conditionalFormatting sqref="AO38">
    <cfRule type="expression" dxfId="2107" priority="2503">
      <formula>$I38&lt;&gt;"Ativo"</formula>
    </cfRule>
    <cfRule type="expression" dxfId="2106" priority="2504">
      <formula>$B38="x"</formula>
    </cfRule>
  </conditionalFormatting>
  <conditionalFormatting sqref="AO38">
    <cfRule type="expression" dxfId="2105" priority="2501">
      <formula>$I38&lt;&gt;"Ativo"</formula>
    </cfRule>
    <cfRule type="expression" dxfId="2104" priority="2502">
      <formula>$B38="x"</formula>
    </cfRule>
  </conditionalFormatting>
  <conditionalFormatting sqref="AO39:AO67">
    <cfRule type="expression" dxfId="2103" priority="2499">
      <formula>$I39&lt;&gt;"Ativo"</formula>
    </cfRule>
    <cfRule type="expression" dxfId="2102" priority="2500">
      <formula>$B39="x"</formula>
    </cfRule>
  </conditionalFormatting>
  <conditionalFormatting sqref="AO39:AO67">
    <cfRule type="expression" dxfId="2101" priority="2497">
      <formula>$I39&lt;&gt;"Ativo"</formula>
    </cfRule>
    <cfRule type="expression" dxfId="2100" priority="2498">
      <formula>$B39="x"</formula>
    </cfRule>
  </conditionalFormatting>
  <conditionalFormatting sqref="AO39:AO67">
    <cfRule type="expression" dxfId="2099" priority="2495">
      <formula>$I39&lt;&gt;"Ativo"</formula>
    </cfRule>
    <cfRule type="expression" dxfId="2098" priority="2496">
      <formula>$B39="x"</formula>
    </cfRule>
  </conditionalFormatting>
  <conditionalFormatting sqref="AO39:AO67">
    <cfRule type="expression" dxfId="2097" priority="2493">
      <formula>$I39&lt;&gt;"Ativo"</formula>
    </cfRule>
    <cfRule type="expression" dxfId="2096" priority="2494">
      <formula>$B39="x"</formula>
    </cfRule>
  </conditionalFormatting>
  <conditionalFormatting sqref="AO39:AO67">
    <cfRule type="expression" dxfId="2095" priority="2491">
      <formula>$I39&lt;&gt;"Ativo"</formula>
    </cfRule>
    <cfRule type="expression" dxfId="2094" priority="2492">
      <formula>$B39="x"</formula>
    </cfRule>
  </conditionalFormatting>
  <conditionalFormatting sqref="AO39:AO67">
    <cfRule type="expression" dxfId="2093" priority="2489">
      <formula>$I39&lt;&gt;"Ativo"</formula>
    </cfRule>
    <cfRule type="expression" dxfId="2092" priority="2490">
      <formula>$B39="x"</formula>
    </cfRule>
  </conditionalFormatting>
  <conditionalFormatting sqref="AO39:AO67">
    <cfRule type="expression" dxfId="2091" priority="2487">
      <formula>$I39&lt;&gt;"Ativo"</formula>
    </cfRule>
    <cfRule type="expression" dxfId="2090" priority="2488">
      <formula>$B39="x"</formula>
    </cfRule>
  </conditionalFormatting>
  <conditionalFormatting sqref="AO56:AO67">
    <cfRule type="expression" dxfId="2089" priority="2485">
      <formula>$I56&lt;&gt;"Ativo"</formula>
    </cfRule>
    <cfRule type="expression" dxfId="2088" priority="2486">
      <formula>$B56="x"</formula>
    </cfRule>
  </conditionalFormatting>
  <conditionalFormatting sqref="AO109:AO125">
    <cfRule type="expression" dxfId="2087" priority="2483">
      <formula>$I109&lt;&gt;"Ativo"</formula>
    </cfRule>
    <cfRule type="expression" dxfId="2086" priority="2484">
      <formula>$B109="x"</formula>
    </cfRule>
  </conditionalFormatting>
  <conditionalFormatting sqref="AO126:AO170">
    <cfRule type="expression" dxfId="2085" priority="2481">
      <formula>$I126&lt;&gt;"Ativo"</formula>
    </cfRule>
    <cfRule type="expression" dxfId="2084" priority="2482">
      <formula>$B126="x"</formula>
    </cfRule>
  </conditionalFormatting>
  <conditionalFormatting sqref="AO171:AO188">
    <cfRule type="expression" dxfId="2083" priority="2479">
      <formula>$I171&lt;&gt;"Ativo"</formula>
    </cfRule>
    <cfRule type="expression" dxfId="2082" priority="2480">
      <formula>$B171="x"</formula>
    </cfRule>
  </conditionalFormatting>
  <conditionalFormatting sqref="AO189:AO203">
    <cfRule type="expression" dxfId="2081" priority="2477">
      <formula>$I189&lt;&gt;"Ativo"</formula>
    </cfRule>
    <cfRule type="expression" dxfId="2080" priority="2478">
      <formula>$B189="x"</formula>
    </cfRule>
  </conditionalFormatting>
  <conditionalFormatting sqref="AP80:AQ84">
    <cfRule type="expression" dxfId="2079" priority="2475">
      <formula>$I80&lt;&gt;"Ativo"</formula>
    </cfRule>
    <cfRule type="expression" dxfId="2078" priority="2476">
      <formula>$B80="x"</formula>
    </cfRule>
  </conditionalFormatting>
  <conditionalFormatting sqref="AP17:AQ18">
    <cfRule type="expression" dxfId="2077" priority="2469">
      <formula>$I17&lt;&gt;"Ativo"</formula>
    </cfRule>
    <cfRule type="expression" dxfId="2076" priority="2470">
      <formula>$B17="x"</formula>
    </cfRule>
  </conditionalFormatting>
  <conditionalFormatting sqref="AP18:AQ18">
    <cfRule type="expression" dxfId="2075" priority="2467">
      <formula>$I18&lt;&gt;"Ativo"</formula>
    </cfRule>
    <cfRule type="expression" dxfId="2074" priority="2468">
      <formula>$B18="x"</formula>
    </cfRule>
  </conditionalFormatting>
  <conditionalFormatting sqref="AP18:AQ18">
    <cfRule type="expression" dxfId="2073" priority="2465">
      <formula>$I18&lt;&gt;"Ativo"</formula>
    </cfRule>
    <cfRule type="expression" dxfId="2072" priority="2466">
      <formula>$B18="x"</formula>
    </cfRule>
  </conditionalFormatting>
  <conditionalFormatting sqref="AP19:AQ28">
    <cfRule type="expression" dxfId="2071" priority="2457">
      <formula>$I19&lt;&gt;"Ativo"</formula>
    </cfRule>
    <cfRule type="expression" dxfId="2070" priority="2458">
      <formula>$B19="x"</formula>
    </cfRule>
  </conditionalFormatting>
  <conditionalFormatting sqref="AP29:AQ29">
    <cfRule type="expression" dxfId="2069" priority="2455">
      <formula>$I29&lt;&gt;"Ativo"</formula>
    </cfRule>
    <cfRule type="expression" dxfId="2068" priority="2456">
      <formula>$B29="x"</formula>
    </cfRule>
  </conditionalFormatting>
  <conditionalFormatting sqref="AP30:AQ30">
    <cfRule type="expression" dxfId="2067" priority="2453">
      <formula>$I30&lt;&gt;"Ativo"</formula>
    </cfRule>
    <cfRule type="expression" dxfId="2066" priority="2454">
      <formula>$B30="x"</formula>
    </cfRule>
  </conditionalFormatting>
  <conditionalFormatting sqref="AP31:AQ31">
    <cfRule type="expression" dxfId="2065" priority="2451">
      <formula>$I31&lt;&gt;"Ativo"</formula>
    </cfRule>
    <cfRule type="expression" dxfId="2064" priority="2452">
      <formula>$B31="x"</formula>
    </cfRule>
  </conditionalFormatting>
  <conditionalFormatting sqref="AP31:AQ31">
    <cfRule type="expression" dxfId="2063" priority="2449">
      <formula>$I31&lt;&gt;"Ativo"</formula>
    </cfRule>
    <cfRule type="expression" dxfId="2062" priority="2450">
      <formula>$B31="x"</formula>
    </cfRule>
  </conditionalFormatting>
  <conditionalFormatting sqref="AP32:AQ33">
    <cfRule type="expression" dxfId="2061" priority="2447">
      <formula>$I32&lt;&gt;"Ativo"</formula>
    </cfRule>
    <cfRule type="expression" dxfId="2060" priority="2448">
      <formula>$B32="x"</formula>
    </cfRule>
  </conditionalFormatting>
  <conditionalFormatting sqref="AP34:AQ35">
    <cfRule type="expression" dxfId="2059" priority="2445">
      <formula>$I34&lt;&gt;"Ativo"</formula>
    </cfRule>
    <cfRule type="expression" dxfId="2058" priority="2446">
      <formula>$B34="x"</formula>
    </cfRule>
  </conditionalFormatting>
  <conditionalFormatting sqref="AP36:AQ38">
    <cfRule type="expression" dxfId="2057" priority="2443">
      <formula>$I36&lt;&gt;"Ativo"</formula>
    </cfRule>
    <cfRule type="expression" dxfId="2056" priority="2444">
      <formula>$B36="x"</formula>
    </cfRule>
  </conditionalFormatting>
  <conditionalFormatting sqref="AP36:AQ38">
    <cfRule type="expression" dxfId="2055" priority="2441">
      <formula>$I36&lt;&gt;"Ativo"</formula>
    </cfRule>
    <cfRule type="expression" dxfId="2054" priority="2442">
      <formula>$B36="x"</formula>
    </cfRule>
  </conditionalFormatting>
  <conditionalFormatting sqref="AP39:AQ41">
    <cfRule type="expression" dxfId="2053" priority="2439">
      <formula>$I39&lt;&gt;"Ativo"</formula>
    </cfRule>
    <cfRule type="expression" dxfId="2052" priority="2440">
      <formula>$B39="x"</formula>
    </cfRule>
  </conditionalFormatting>
  <conditionalFormatting sqref="AP42:AQ44">
    <cfRule type="expression" dxfId="2051" priority="2437">
      <formula>$I42&lt;&gt;"Ativo"</formula>
    </cfRule>
    <cfRule type="expression" dxfId="2050" priority="2438">
      <formula>$B42="x"</formula>
    </cfRule>
  </conditionalFormatting>
  <conditionalFormatting sqref="AP45:AQ47">
    <cfRule type="expression" dxfId="2049" priority="2435">
      <formula>$I45&lt;&gt;"Ativo"</formula>
    </cfRule>
    <cfRule type="expression" dxfId="2048" priority="2436">
      <formula>$B45="x"</formula>
    </cfRule>
  </conditionalFormatting>
  <conditionalFormatting sqref="AP48:AQ50">
    <cfRule type="expression" dxfId="2047" priority="2433">
      <formula>$I48&lt;&gt;"Ativo"</formula>
    </cfRule>
    <cfRule type="expression" dxfId="2046" priority="2434">
      <formula>$B48="x"</formula>
    </cfRule>
  </conditionalFormatting>
  <conditionalFormatting sqref="AP29:AQ67">
    <cfRule type="expression" dxfId="2045" priority="2431">
      <formula>$I29&lt;&gt;"Ativo"</formula>
    </cfRule>
    <cfRule type="expression" dxfId="2044" priority="2432">
      <formula>$B29="x"</formula>
    </cfRule>
  </conditionalFormatting>
  <conditionalFormatting sqref="AP51:AQ55">
    <cfRule type="expression" dxfId="2043" priority="2429">
      <formula>$I51&lt;&gt;"Ativo"</formula>
    </cfRule>
    <cfRule type="expression" dxfId="2042" priority="2430">
      <formula>$B51="x"</formula>
    </cfRule>
  </conditionalFormatting>
  <conditionalFormatting sqref="AP56:AQ56">
    <cfRule type="expression" dxfId="2041" priority="2427">
      <formula>$I56&lt;&gt;"Ativo"</formula>
    </cfRule>
    <cfRule type="expression" dxfId="2040" priority="2428">
      <formula>$B56="x"</formula>
    </cfRule>
  </conditionalFormatting>
  <conditionalFormatting sqref="AP57:AQ59">
    <cfRule type="expression" dxfId="2039" priority="2425">
      <formula>$I57&lt;&gt;"Ativo"</formula>
    </cfRule>
    <cfRule type="expression" dxfId="2038" priority="2426">
      <formula>$B57="x"</formula>
    </cfRule>
  </conditionalFormatting>
  <conditionalFormatting sqref="AP60:AQ60">
    <cfRule type="expression" dxfId="2037" priority="2423">
      <formula>$I60&lt;&gt;"Ativo"</formula>
    </cfRule>
    <cfRule type="expression" dxfId="2036" priority="2424">
      <formula>$B60="x"</formula>
    </cfRule>
  </conditionalFormatting>
  <conditionalFormatting sqref="AP61:AQ67">
    <cfRule type="expression" dxfId="2035" priority="2421">
      <formula>$I61&lt;&gt;"Ativo"</formula>
    </cfRule>
    <cfRule type="expression" dxfId="2034" priority="2422">
      <formula>$B61="x"</formula>
    </cfRule>
  </conditionalFormatting>
  <conditionalFormatting sqref="AP68:AQ71">
    <cfRule type="expression" dxfId="2033" priority="2419">
      <formula>$I68&lt;&gt;"Ativo"</formula>
    </cfRule>
    <cfRule type="expression" dxfId="2032" priority="2420">
      <formula>$B68="x"</formula>
    </cfRule>
  </conditionalFormatting>
  <conditionalFormatting sqref="AP72:AQ73">
    <cfRule type="expression" dxfId="2031" priority="2417">
      <formula>$I72&lt;&gt;"Ativo"</formula>
    </cfRule>
    <cfRule type="expression" dxfId="2030" priority="2418">
      <formula>$B72="x"</formula>
    </cfRule>
  </conditionalFormatting>
  <conditionalFormatting sqref="AP74:AQ91">
    <cfRule type="expression" dxfId="2029" priority="2415">
      <formula>$I74&lt;&gt;"Ativo"</formula>
    </cfRule>
    <cfRule type="expression" dxfId="2028" priority="2416">
      <formula>$B74="x"</formula>
    </cfRule>
  </conditionalFormatting>
  <conditionalFormatting sqref="AP85:AQ87">
    <cfRule type="expression" dxfId="2027" priority="2413">
      <formula>$I85&lt;&gt;"Ativo"</formula>
    </cfRule>
    <cfRule type="expression" dxfId="2026" priority="2414">
      <formula>$B85="x"</formula>
    </cfRule>
  </conditionalFormatting>
  <conditionalFormatting sqref="AP92:AQ108">
    <cfRule type="expression" dxfId="2025" priority="2409">
      <formula>$I92&lt;&gt;"Ativo"</formula>
    </cfRule>
    <cfRule type="expression" dxfId="2024" priority="2410">
      <formula>$B92="x"</formula>
    </cfRule>
  </conditionalFormatting>
  <conditionalFormatting sqref="AP10:AQ10">
    <cfRule type="expression" dxfId="2023" priority="2403">
      <formula>$I10&lt;&gt;"Ativo"</formula>
    </cfRule>
    <cfRule type="expression" dxfId="2022" priority="2404">
      <formula>$B10="x"</formula>
    </cfRule>
  </conditionalFormatting>
  <conditionalFormatting sqref="AP38:AQ38">
    <cfRule type="expression" dxfId="2021" priority="2401">
      <formula>$I38&lt;&gt;"Ativo"</formula>
    </cfRule>
    <cfRule type="expression" dxfId="2020" priority="2402">
      <formula>$B38="x"</formula>
    </cfRule>
  </conditionalFormatting>
  <conditionalFormatting sqref="AP38:AQ38">
    <cfRule type="expression" dxfId="2019" priority="2399">
      <formula>$I38&lt;&gt;"Ativo"</formula>
    </cfRule>
    <cfRule type="expression" dxfId="2018" priority="2400">
      <formula>$B38="x"</formula>
    </cfRule>
  </conditionalFormatting>
  <conditionalFormatting sqref="AP38:AQ38">
    <cfRule type="expression" dxfId="2017" priority="2397">
      <formula>$I38&lt;&gt;"Ativo"</formula>
    </cfRule>
    <cfRule type="expression" dxfId="2016" priority="2398">
      <formula>$B38="x"</formula>
    </cfRule>
  </conditionalFormatting>
  <conditionalFormatting sqref="AP38:AQ38">
    <cfRule type="expression" dxfId="2015" priority="2395">
      <formula>$I38&lt;&gt;"Ativo"</formula>
    </cfRule>
    <cfRule type="expression" dxfId="2014" priority="2396">
      <formula>$B38="x"</formula>
    </cfRule>
  </conditionalFormatting>
  <conditionalFormatting sqref="AP38:AQ38">
    <cfRule type="expression" dxfId="2013" priority="2393">
      <formula>$I38&lt;&gt;"Ativo"</formula>
    </cfRule>
    <cfRule type="expression" dxfId="2012" priority="2394">
      <formula>$B38="x"</formula>
    </cfRule>
  </conditionalFormatting>
  <conditionalFormatting sqref="AP39:AQ67">
    <cfRule type="expression" dxfId="2011" priority="2391">
      <formula>$I39&lt;&gt;"Ativo"</formula>
    </cfRule>
    <cfRule type="expression" dxfId="2010" priority="2392">
      <formula>$B39="x"</formula>
    </cfRule>
  </conditionalFormatting>
  <conditionalFormatting sqref="AP39:AQ67">
    <cfRule type="expression" dxfId="2009" priority="2389">
      <formula>$I39&lt;&gt;"Ativo"</formula>
    </cfRule>
    <cfRule type="expression" dxfId="2008" priority="2390">
      <formula>$B39="x"</formula>
    </cfRule>
  </conditionalFormatting>
  <conditionalFormatting sqref="AP39:AQ67">
    <cfRule type="expression" dxfId="2007" priority="2387">
      <formula>$I39&lt;&gt;"Ativo"</formula>
    </cfRule>
    <cfRule type="expression" dxfId="2006" priority="2388">
      <formula>$B39="x"</formula>
    </cfRule>
  </conditionalFormatting>
  <conditionalFormatting sqref="AP39:AQ67">
    <cfRule type="expression" dxfId="2005" priority="2385">
      <formula>$I39&lt;&gt;"Ativo"</formula>
    </cfRule>
    <cfRule type="expression" dxfId="2004" priority="2386">
      <formula>$B39="x"</formula>
    </cfRule>
  </conditionalFormatting>
  <conditionalFormatting sqref="AP39:AQ67">
    <cfRule type="expression" dxfId="2003" priority="2383">
      <formula>$I39&lt;&gt;"Ativo"</formula>
    </cfRule>
    <cfRule type="expression" dxfId="2002" priority="2384">
      <formula>$B39="x"</formula>
    </cfRule>
  </conditionalFormatting>
  <conditionalFormatting sqref="AP39:AQ67">
    <cfRule type="expression" dxfId="2001" priority="2381">
      <formula>$I39&lt;&gt;"Ativo"</formula>
    </cfRule>
    <cfRule type="expression" dxfId="2000" priority="2382">
      <formula>$B39="x"</formula>
    </cfRule>
  </conditionalFormatting>
  <conditionalFormatting sqref="AP39:AQ67">
    <cfRule type="expression" dxfId="1999" priority="2379">
      <formula>$I39&lt;&gt;"Ativo"</formula>
    </cfRule>
    <cfRule type="expression" dxfId="1998" priority="2380">
      <formula>$B39="x"</formula>
    </cfRule>
  </conditionalFormatting>
  <conditionalFormatting sqref="AP56:AQ67">
    <cfRule type="expression" dxfId="1997" priority="2377">
      <formula>$I56&lt;&gt;"Ativo"</formula>
    </cfRule>
    <cfRule type="expression" dxfId="1996" priority="2378">
      <formula>$B56="x"</formula>
    </cfRule>
  </conditionalFormatting>
  <conditionalFormatting sqref="AP109:AQ125">
    <cfRule type="expression" dxfId="1995" priority="2375">
      <formula>$I109&lt;&gt;"Ativo"</formula>
    </cfRule>
    <cfRule type="expression" dxfId="1994" priority="2376">
      <formula>$B109="x"</formula>
    </cfRule>
  </conditionalFormatting>
  <conditionalFormatting sqref="AP126:AQ170">
    <cfRule type="expression" dxfId="1993" priority="2373">
      <formula>$I126&lt;&gt;"Ativo"</formula>
    </cfRule>
    <cfRule type="expression" dxfId="1992" priority="2374">
      <formula>$B126="x"</formula>
    </cfRule>
  </conditionalFormatting>
  <conditionalFormatting sqref="AP171:AQ188">
    <cfRule type="expression" dxfId="1991" priority="2371">
      <formula>$I171&lt;&gt;"Ativo"</formula>
    </cfRule>
    <cfRule type="expression" dxfId="1990" priority="2372">
      <formula>$B171="x"</formula>
    </cfRule>
  </conditionalFormatting>
  <conditionalFormatting sqref="AP189:AQ203">
    <cfRule type="expression" dxfId="1989" priority="2369">
      <formula>$I189&lt;&gt;"Ativo"</formula>
    </cfRule>
    <cfRule type="expression" dxfId="1988" priority="2370">
      <formula>$B189="x"</formula>
    </cfRule>
  </conditionalFormatting>
  <conditionalFormatting sqref="V130">
    <cfRule type="expression" dxfId="1987" priority="2367">
      <formula>#REF!&lt;&gt;"Ativo"</formula>
    </cfRule>
    <cfRule type="expression" dxfId="1986" priority="2368">
      <formula>$B130="x"</formula>
    </cfRule>
  </conditionalFormatting>
  <conditionalFormatting sqref="V130">
    <cfRule type="expression" dxfId="1985" priority="2363">
      <formula>#REF!&lt;&gt;"Ativo"</formula>
    </cfRule>
    <cfRule type="expression" dxfId="1984" priority="2364">
      <formula>$B130="x"</formula>
    </cfRule>
  </conditionalFormatting>
  <conditionalFormatting sqref="V186:Y201">
    <cfRule type="expression" dxfId="1983" priority="2361">
      <formula>$G186&lt;&gt;"Ativo"</formula>
    </cfRule>
    <cfRule type="expression" dxfId="1982" priority="2362">
      <formula>$B186="x"</formula>
    </cfRule>
  </conditionalFormatting>
  <conditionalFormatting sqref="V65:Y65">
    <cfRule type="expression" dxfId="1981" priority="2359">
      <formula>$G65&lt;&gt;"Ativo"</formula>
    </cfRule>
    <cfRule type="expression" dxfId="1980" priority="2360">
      <formula>$B65="x"</formula>
    </cfRule>
  </conditionalFormatting>
  <conditionalFormatting sqref="V128:Y128">
    <cfRule type="expression" dxfId="1979" priority="2357">
      <formula>$G128&lt;&gt;"Ativo"</formula>
    </cfRule>
    <cfRule type="expression" dxfId="1978" priority="2358">
      <formula>$B128="x"</formula>
    </cfRule>
  </conditionalFormatting>
  <conditionalFormatting sqref="V130:Y130">
    <cfRule type="expression" dxfId="1977" priority="2355">
      <formula>$G130&lt;&gt;"Ativo"</formula>
    </cfRule>
    <cfRule type="expression" dxfId="1976" priority="2356">
      <formula>$B130="x"</formula>
    </cfRule>
  </conditionalFormatting>
  <conditionalFormatting sqref="V131:Y131">
    <cfRule type="expression" dxfId="1975" priority="2353">
      <formula>$G131&lt;&gt;"Ativo"</formula>
    </cfRule>
    <cfRule type="expression" dxfId="1974" priority="2354">
      <formula>$B131="x"</formula>
    </cfRule>
  </conditionalFormatting>
  <conditionalFormatting sqref="V150:Y150">
    <cfRule type="expression" dxfId="1973" priority="2351">
      <formula>$G150&lt;&gt;"Ativo"</formula>
    </cfRule>
    <cfRule type="expression" dxfId="1972" priority="2352">
      <formula>$B150="x"</formula>
    </cfRule>
  </conditionalFormatting>
  <conditionalFormatting sqref="V151:Y151">
    <cfRule type="expression" dxfId="1971" priority="2349">
      <formula>$G151&lt;&gt;"Ativo"</formula>
    </cfRule>
    <cfRule type="expression" dxfId="1970" priority="2350">
      <formula>$B151="x"</formula>
    </cfRule>
  </conditionalFormatting>
  <conditionalFormatting sqref="V152:Y152">
    <cfRule type="expression" dxfId="1969" priority="2347">
      <formula>$G152&lt;&gt;"Ativo"</formula>
    </cfRule>
    <cfRule type="expression" dxfId="1968" priority="2348">
      <formula>$B152="x"</formula>
    </cfRule>
  </conditionalFormatting>
  <conditionalFormatting sqref="V153:Y153">
    <cfRule type="expression" dxfId="1967" priority="2345">
      <formula>$G153&lt;&gt;"Ativo"</formula>
    </cfRule>
    <cfRule type="expression" dxfId="1966" priority="2346">
      <formula>$B153="x"</formula>
    </cfRule>
  </conditionalFormatting>
  <conditionalFormatting sqref="V154:Y154">
    <cfRule type="expression" dxfId="1965" priority="2343">
      <formula>$G154&lt;&gt;"Ativo"</formula>
    </cfRule>
    <cfRule type="expression" dxfId="1964" priority="2344">
      <formula>$B154="x"</formula>
    </cfRule>
  </conditionalFormatting>
  <conditionalFormatting sqref="V155:Y155">
    <cfRule type="expression" dxfId="1963" priority="2341">
      <formula>$G155&lt;&gt;"Ativo"</formula>
    </cfRule>
    <cfRule type="expression" dxfId="1962" priority="2342">
      <formula>$B155="x"</formula>
    </cfRule>
  </conditionalFormatting>
  <conditionalFormatting sqref="V156:Y173">
    <cfRule type="expression" dxfId="1961" priority="2339">
      <formula>$G156&lt;&gt;"Ativo"</formula>
    </cfRule>
    <cfRule type="expression" dxfId="1960" priority="2340">
      <formula>$B156="x"</formula>
    </cfRule>
  </conditionalFormatting>
  <conditionalFormatting sqref="V175:Y175">
    <cfRule type="expression" dxfId="1959" priority="2337">
      <formula>$G175&lt;&gt;"Ativo"</formula>
    </cfRule>
    <cfRule type="expression" dxfId="1958" priority="2338">
      <formula>$B175="x"</formula>
    </cfRule>
  </conditionalFormatting>
  <conditionalFormatting sqref="V176:Y176">
    <cfRule type="expression" dxfId="1957" priority="2335">
      <formula>$G176&lt;&gt;"Ativo"</formula>
    </cfRule>
    <cfRule type="expression" dxfId="1956" priority="2336">
      <formula>$B176="x"</formula>
    </cfRule>
  </conditionalFormatting>
  <conditionalFormatting sqref="V175:Y175">
    <cfRule type="expression" dxfId="1955" priority="2333">
      <formula>$G175&lt;&gt;"Ativo"</formula>
    </cfRule>
    <cfRule type="expression" dxfId="1954" priority="2334">
      <formula>$B175="x"</formula>
    </cfRule>
  </conditionalFormatting>
  <conditionalFormatting sqref="V177:Y196">
    <cfRule type="expression" dxfId="1953" priority="2331">
      <formula>$G177&lt;&gt;"Ativo"</formula>
    </cfRule>
    <cfRule type="expression" dxfId="1952" priority="2332">
      <formula>$B177="x"</formula>
    </cfRule>
  </conditionalFormatting>
  <conditionalFormatting sqref="V178">
    <cfRule type="expression" dxfId="1951" priority="2329">
      <formula>#REF!&lt;&gt;"Ativo"</formula>
    </cfRule>
    <cfRule type="expression" dxfId="1950" priority="2330">
      <formula>$B178="x"</formula>
    </cfRule>
  </conditionalFormatting>
  <conditionalFormatting sqref="V197:Y197">
    <cfRule type="expression" dxfId="1949" priority="2327">
      <formula>$G197&lt;&gt;"Ativo"</formula>
    </cfRule>
    <cfRule type="expression" dxfId="1948" priority="2328">
      <formula>$B197="x"</formula>
    </cfRule>
  </conditionalFormatting>
  <conditionalFormatting sqref="V199:Y199">
    <cfRule type="expression" dxfId="1947" priority="2325">
      <formula>$G199&lt;&gt;"Ativo"</formula>
    </cfRule>
    <cfRule type="expression" dxfId="1946" priority="2326">
      <formula>$B199="x"</formula>
    </cfRule>
  </conditionalFormatting>
  <conditionalFormatting sqref="V200:Y200">
    <cfRule type="expression" dxfId="1945" priority="2323">
      <formula>$G200&lt;&gt;"Ativo"</formula>
    </cfRule>
    <cfRule type="expression" dxfId="1944" priority="2324">
      <formula>$B200="x"</formula>
    </cfRule>
  </conditionalFormatting>
  <conditionalFormatting sqref="V201:Y201">
    <cfRule type="expression" dxfId="1943" priority="2321">
      <formula>$G201&lt;&gt;"Ativo"</formula>
    </cfRule>
    <cfRule type="expression" dxfId="1942" priority="2322">
      <formula>$B201="x"</formula>
    </cfRule>
  </conditionalFormatting>
  <conditionalFormatting sqref="AN80:AN84">
    <cfRule type="expression" dxfId="1941" priority="2211">
      <formula>$I80&lt;&gt;"Ativo"</formula>
    </cfRule>
    <cfRule type="expression" dxfId="1940" priority="2212">
      <formula>$B80="x"</formula>
    </cfRule>
  </conditionalFormatting>
  <conditionalFormatting sqref="AN17:AN18">
    <cfRule type="expression" dxfId="1939" priority="2205">
      <formula>$I17&lt;&gt;"Ativo"</formula>
    </cfRule>
    <cfRule type="expression" dxfId="1938" priority="2206">
      <formula>$B17="x"</formula>
    </cfRule>
  </conditionalFormatting>
  <conditionalFormatting sqref="AN18">
    <cfRule type="expression" dxfId="1937" priority="2203">
      <formula>$I18&lt;&gt;"Ativo"</formula>
    </cfRule>
    <cfRule type="expression" dxfId="1936" priority="2204">
      <formula>$B18="x"</formula>
    </cfRule>
  </conditionalFormatting>
  <conditionalFormatting sqref="AN18">
    <cfRule type="expression" dxfId="1935" priority="2201">
      <formula>$I18&lt;&gt;"Ativo"</formula>
    </cfRule>
    <cfRule type="expression" dxfId="1934" priority="2202">
      <formula>$B18="x"</formula>
    </cfRule>
  </conditionalFormatting>
  <conditionalFormatting sqref="AN19:AN28">
    <cfRule type="expression" dxfId="1933" priority="2193">
      <formula>$I19&lt;&gt;"Ativo"</formula>
    </cfRule>
    <cfRule type="expression" dxfId="1932" priority="2194">
      <formula>$B19="x"</formula>
    </cfRule>
  </conditionalFormatting>
  <conditionalFormatting sqref="AN29">
    <cfRule type="expression" dxfId="1931" priority="2191">
      <formula>$I29&lt;&gt;"Ativo"</formula>
    </cfRule>
    <cfRule type="expression" dxfId="1930" priority="2192">
      <formula>$B29="x"</formula>
    </cfRule>
  </conditionalFormatting>
  <conditionalFormatting sqref="AN30">
    <cfRule type="expression" dxfId="1929" priority="2189">
      <formula>$I30&lt;&gt;"Ativo"</formula>
    </cfRule>
    <cfRule type="expression" dxfId="1928" priority="2190">
      <formula>$B30="x"</formula>
    </cfRule>
  </conditionalFormatting>
  <conditionalFormatting sqref="AN31">
    <cfRule type="expression" dxfId="1927" priority="2187">
      <formula>$I31&lt;&gt;"Ativo"</formula>
    </cfRule>
    <cfRule type="expression" dxfId="1926" priority="2188">
      <formula>$B31="x"</formula>
    </cfRule>
  </conditionalFormatting>
  <conditionalFormatting sqref="AN31">
    <cfRule type="expression" dxfId="1925" priority="2185">
      <formula>$I31&lt;&gt;"Ativo"</formula>
    </cfRule>
    <cfRule type="expression" dxfId="1924" priority="2186">
      <formula>$B31="x"</formula>
    </cfRule>
  </conditionalFormatting>
  <conditionalFormatting sqref="AN32:AN33">
    <cfRule type="expression" dxfId="1923" priority="2183">
      <formula>$I32&lt;&gt;"Ativo"</formula>
    </cfRule>
    <cfRule type="expression" dxfId="1922" priority="2184">
      <formula>$B32="x"</formula>
    </cfRule>
  </conditionalFormatting>
  <conditionalFormatting sqref="AN34:AN35">
    <cfRule type="expression" dxfId="1921" priority="2181">
      <formula>$I34&lt;&gt;"Ativo"</formula>
    </cfRule>
    <cfRule type="expression" dxfId="1920" priority="2182">
      <formula>$B34="x"</formula>
    </cfRule>
  </conditionalFormatting>
  <conditionalFormatting sqref="AN36:AN38">
    <cfRule type="expression" dxfId="1919" priority="2179">
      <formula>$I36&lt;&gt;"Ativo"</formula>
    </cfRule>
    <cfRule type="expression" dxfId="1918" priority="2180">
      <formula>$B36="x"</formula>
    </cfRule>
  </conditionalFormatting>
  <conditionalFormatting sqref="AN36:AN38">
    <cfRule type="expression" dxfId="1917" priority="2177">
      <formula>$I36&lt;&gt;"Ativo"</formula>
    </cfRule>
    <cfRule type="expression" dxfId="1916" priority="2178">
      <formula>$B36="x"</formula>
    </cfRule>
  </conditionalFormatting>
  <conditionalFormatting sqref="AN39:AN41">
    <cfRule type="expression" dxfId="1915" priority="2175">
      <formula>$I39&lt;&gt;"Ativo"</formula>
    </cfRule>
    <cfRule type="expression" dxfId="1914" priority="2176">
      <formula>$B39="x"</formula>
    </cfRule>
  </conditionalFormatting>
  <conditionalFormatting sqref="AN42:AN44">
    <cfRule type="expression" dxfId="1913" priority="2173">
      <formula>$I42&lt;&gt;"Ativo"</formula>
    </cfRule>
    <cfRule type="expression" dxfId="1912" priority="2174">
      <formula>$B42="x"</formula>
    </cfRule>
  </conditionalFormatting>
  <conditionalFormatting sqref="AN45:AN47">
    <cfRule type="expression" dxfId="1911" priority="2171">
      <formula>$I45&lt;&gt;"Ativo"</formula>
    </cfRule>
    <cfRule type="expression" dxfId="1910" priority="2172">
      <formula>$B45="x"</formula>
    </cfRule>
  </conditionalFormatting>
  <conditionalFormatting sqref="AN48:AN50">
    <cfRule type="expression" dxfId="1909" priority="2169">
      <formula>$I48&lt;&gt;"Ativo"</formula>
    </cfRule>
    <cfRule type="expression" dxfId="1908" priority="2170">
      <formula>$B48="x"</formula>
    </cfRule>
  </conditionalFormatting>
  <conditionalFormatting sqref="AN29:AN67">
    <cfRule type="expression" dxfId="1907" priority="2167">
      <formula>$I29&lt;&gt;"Ativo"</formula>
    </cfRule>
    <cfRule type="expression" dxfId="1906" priority="2168">
      <formula>$B29="x"</formula>
    </cfRule>
  </conditionalFormatting>
  <conditionalFormatting sqref="AN51:AN55">
    <cfRule type="expression" dxfId="1905" priority="2165">
      <formula>$I51&lt;&gt;"Ativo"</formula>
    </cfRule>
    <cfRule type="expression" dxfId="1904" priority="2166">
      <formula>$B51="x"</formula>
    </cfRule>
  </conditionalFormatting>
  <conditionalFormatting sqref="AN56">
    <cfRule type="expression" dxfId="1903" priority="2163">
      <formula>$I56&lt;&gt;"Ativo"</formula>
    </cfRule>
    <cfRule type="expression" dxfId="1902" priority="2164">
      <formula>$B56="x"</formula>
    </cfRule>
  </conditionalFormatting>
  <conditionalFormatting sqref="AN57:AN59">
    <cfRule type="expression" dxfId="1901" priority="2161">
      <formula>$I57&lt;&gt;"Ativo"</formula>
    </cfRule>
    <cfRule type="expression" dxfId="1900" priority="2162">
      <formula>$B57="x"</formula>
    </cfRule>
  </conditionalFormatting>
  <conditionalFormatting sqref="AN60">
    <cfRule type="expression" dxfId="1899" priority="2159">
      <formula>$I60&lt;&gt;"Ativo"</formula>
    </cfRule>
    <cfRule type="expression" dxfId="1898" priority="2160">
      <formula>$B60="x"</formula>
    </cfRule>
  </conditionalFormatting>
  <conditionalFormatting sqref="AN61:AN67">
    <cfRule type="expression" dxfId="1897" priority="2157">
      <formula>$I61&lt;&gt;"Ativo"</formula>
    </cfRule>
    <cfRule type="expression" dxfId="1896" priority="2158">
      <formula>$B61="x"</formula>
    </cfRule>
  </conditionalFormatting>
  <conditionalFormatting sqref="AN68:AN71">
    <cfRule type="expression" dxfId="1895" priority="2155">
      <formula>$I68&lt;&gt;"Ativo"</formula>
    </cfRule>
    <cfRule type="expression" dxfId="1894" priority="2156">
      <formula>$B68="x"</formula>
    </cfRule>
  </conditionalFormatting>
  <conditionalFormatting sqref="AN72:AN73">
    <cfRule type="expression" dxfId="1893" priority="2153">
      <formula>$I72&lt;&gt;"Ativo"</formula>
    </cfRule>
    <cfRule type="expression" dxfId="1892" priority="2154">
      <formula>$B72="x"</formula>
    </cfRule>
  </conditionalFormatting>
  <conditionalFormatting sqref="AN74:AN91">
    <cfRule type="expression" dxfId="1891" priority="2151">
      <formula>$I74&lt;&gt;"Ativo"</formula>
    </cfRule>
    <cfRule type="expression" dxfId="1890" priority="2152">
      <formula>$B74="x"</formula>
    </cfRule>
  </conditionalFormatting>
  <conditionalFormatting sqref="AN85:AN87">
    <cfRule type="expression" dxfId="1889" priority="2149">
      <formula>$I85&lt;&gt;"Ativo"</formula>
    </cfRule>
    <cfRule type="expression" dxfId="1888" priority="2150">
      <formula>$B85="x"</formula>
    </cfRule>
  </conditionalFormatting>
  <conditionalFormatting sqref="AN89:AN209">
    <cfRule type="expression" dxfId="1887" priority="2147">
      <formula>$I89&lt;&gt;"Ativo"</formula>
    </cfRule>
    <cfRule type="expression" dxfId="1886" priority="2148">
      <formula>$B89="x"</formula>
    </cfRule>
  </conditionalFormatting>
  <conditionalFormatting sqref="AN92:AN108">
    <cfRule type="expression" dxfId="1885" priority="2145">
      <formula>$I92&lt;&gt;"Ativo"</formula>
    </cfRule>
    <cfRule type="expression" dxfId="1884" priority="2146">
      <formula>$B92="x"</formula>
    </cfRule>
  </conditionalFormatting>
  <conditionalFormatting sqref="AN10">
    <cfRule type="expression" dxfId="1883" priority="2139">
      <formula>$I10&lt;&gt;"Ativo"</formula>
    </cfRule>
    <cfRule type="expression" dxfId="1882" priority="2140">
      <formula>$B10="x"</formula>
    </cfRule>
  </conditionalFormatting>
  <conditionalFormatting sqref="AN38">
    <cfRule type="expression" dxfId="1881" priority="2137">
      <formula>$I38&lt;&gt;"Ativo"</formula>
    </cfRule>
    <cfRule type="expression" dxfId="1880" priority="2138">
      <formula>$B38="x"</formula>
    </cfRule>
  </conditionalFormatting>
  <conditionalFormatting sqref="AN38">
    <cfRule type="expression" dxfId="1879" priority="2135">
      <formula>$I38&lt;&gt;"Ativo"</formula>
    </cfRule>
    <cfRule type="expression" dxfId="1878" priority="2136">
      <formula>$B38="x"</formula>
    </cfRule>
  </conditionalFormatting>
  <conditionalFormatting sqref="AN38">
    <cfRule type="expression" dxfId="1877" priority="2133">
      <formula>$I38&lt;&gt;"Ativo"</formula>
    </cfRule>
    <cfRule type="expression" dxfId="1876" priority="2134">
      <formula>$B38="x"</formula>
    </cfRule>
  </conditionalFormatting>
  <conditionalFormatting sqref="AN38">
    <cfRule type="expression" dxfId="1875" priority="2131">
      <formula>$I38&lt;&gt;"Ativo"</formula>
    </cfRule>
    <cfRule type="expression" dxfId="1874" priority="2132">
      <formula>$B38="x"</formula>
    </cfRule>
  </conditionalFormatting>
  <conditionalFormatting sqref="AN38">
    <cfRule type="expression" dxfId="1873" priority="2129">
      <formula>$I38&lt;&gt;"Ativo"</formula>
    </cfRule>
    <cfRule type="expression" dxfId="1872" priority="2130">
      <formula>$B38="x"</formula>
    </cfRule>
  </conditionalFormatting>
  <conditionalFormatting sqref="AN39:AN67">
    <cfRule type="expression" dxfId="1871" priority="2127">
      <formula>$I39&lt;&gt;"Ativo"</formula>
    </cfRule>
    <cfRule type="expression" dxfId="1870" priority="2128">
      <formula>$B39="x"</formula>
    </cfRule>
  </conditionalFormatting>
  <conditionalFormatting sqref="AN39:AN67">
    <cfRule type="expression" dxfId="1869" priority="2125">
      <formula>$I39&lt;&gt;"Ativo"</formula>
    </cfRule>
    <cfRule type="expression" dxfId="1868" priority="2126">
      <formula>$B39="x"</formula>
    </cfRule>
  </conditionalFormatting>
  <conditionalFormatting sqref="AN39:AN67">
    <cfRule type="expression" dxfId="1867" priority="2123">
      <formula>$I39&lt;&gt;"Ativo"</formula>
    </cfRule>
    <cfRule type="expression" dxfId="1866" priority="2124">
      <formula>$B39="x"</formula>
    </cfRule>
  </conditionalFormatting>
  <conditionalFormatting sqref="AN39:AN67">
    <cfRule type="expression" dxfId="1865" priority="2121">
      <formula>$I39&lt;&gt;"Ativo"</formula>
    </cfRule>
    <cfRule type="expression" dxfId="1864" priority="2122">
      <formula>$B39="x"</formula>
    </cfRule>
  </conditionalFormatting>
  <conditionalFormatting sqref="AN39:AN67">
    <cfRule type="expression" dxfId="1863" priority="2119">
      <formula>$I39&lt;&gt;"Ativo"</formula>
    </cfRule>
    <cfRule type="expression" dxfId="1862" priority="2120">
      <formula>$B39="x"</formula>
    </cfRule>
  </conditionalFormatting>
  <conditionalFormatting sqref="AN39:AN67">
    <cfRule type="expression" dxfId="1861" priority="2117">
      <formula>$I39&lt;&gt;"Ativo"</formula>
    </cfRule>
    <cfRule type="expression" dxfId="1860" priority="2118">
      <formula>$B39="x"</formula>
    </cfRule>
  </conditionalFormatting>
  <conditionalFormatting sqref="AN39:AN67">
    <cfRule type="expression" dxfId="1859" priority="2115">
      <formula>$I39&lt;&gt;"Ativo"</formula>
    </cfRule>
    <cfRule type="expression" dxfId="1858" priority="2116">
      <formula>$B39="x"</formula>
    </cfRule>
  </conditionalFormatting>
  <conditionalFormatting sqref="AN56:AN67">
    <cfRule type="expression" dxfId="1857" priority="2113">
      <formula>$I56&lt;&gt;"Ativo"</formula>
    </cfRule>
    <cfRule type="expression" dxfId="1856" priority="2114">
      <formula>$B56="x"</formula>
    </cfRule>
  </conditionalFormatting>
  <conditionalFormatting sqref="AN109:AN125">
    <cfRule type="expression" dxfId="1855" priority="2111">
      <formula>$I109&lt;&gt;"Ativo"</formula>
    </cfRule>
    <cfRule type="expression" dxfId="1854" priority="2112">
      <formula>$B109="x"</formula>
    </cfRule>
  </conditionalFormatting>
  <conditionalFormatting sqref="AN126:AN170">
    <cfRule type="expression" dxfId="1853" priority="2109">
      <formula>$I126&lt;&gt;"Ativo"</formula>
    </cfRule>
    <cfRule type="expression" dxfId="1852" priority="2110">
      <formula>$B126="x"</formula>
    </cfRule>
  </conditionalFormatting>
  <conditionalFormatting sqref="AN171:AN188">
    <cfRule type="expression" dxfId="1851" priority="2107">
      <formula>$I171&lt;&gt;"Ativo"</formula>
    </cfRule>
    <cfRule type="expression" dxfId="1850" priority="2108">
      <formula>$B171="x"</formula>
    </cfRule>
  </conditionalFormatting>
  <conditionalFormatting sqref="AN189:AN203">
    <cfRule type="expression" dxfId="1849" priority="2105">
      <formula>$I189&lt;&gt;"Ativo"</formula>
    </cfRule>
    <cfRule type="expression" dxfId="1848" priority="2106">
      <formula>$B189="x"</formula>
    </cfRule>
  </conditionalFormatting>
  <conditionalFormatting sqref="V210:X210">
    <cfRule type="expression" dxfId="1847" priority="2101">
      <formula>$G210&lt;&gt;"Ativo"</formula>
    </cfRule>
    <cfRule type="expression" dxfId="1846" priority="2102">
      <formula>$B210="x"</formula>
    </cfRule>
  </conditionalFormatting>
  <conditionalFormatting sqref="V211:X213">
    <cfRule type="expression" dxfId="1845" priority="2097">
      <formula>$G211&lt;&gt;"Ativo"</formula>
    </cfRule>
    <cfRule type="expression" dxfId="1844" priority="2098">
      <formula>$B211="x"</formula>
    </cfRule>
  </conditionalFormatting>
  <conditionalFormatting sqref="T223">
    <cfRule type="expression" dxfId="1843" priority="2095">
      <formula>$I223&lt;&gt;"Ativo"</formula>
    </cfRule>
    <cfRule type="expression" dxfId="1842" priority="2096">
      <formula>$B223="x"</formula>
    </cfRule>
  </conditionalFormatting>
  <conditionalFormatting sqref="D235:I235 AN235:AQ235">
    <cfRule type="expression" dxfId="1841" priority="2093">
      <formula>$I235&lt;&gt;"Ativo"</formula>
    </cfRule>
    <cfRule type="expression" dxfId="1840" priority="2094">
      <formula>$B235="x"</formula>
    </cfRule>
  </conditionalFormatting>
  <conditionalFormatting sqref="H235">
    <cfRule type="expression" dxfId="1839" priority="2091">
      <formula>$I235&lt;&gt;"Ativo"</formula>
    </cfRule>
    <cfRule type="expression" dxfId="1838" priority="2092">
      <formula>$B235="x"</formula>
    </cfRule>
  </conditionalFormatting>
  <conditionalFormatting sqref="I235">
    <cfRule type="expression" dxfId="1837" priority="2089">
      <formula>$I235&lt;&gt;"Ativo"</formula>
    </cfRule>
    <cfRule type="expression" dxfId="1836" priority="2090">
      <formula>$B235="x"</formula>
    </cfRule>
  </conditionalFormatting>
  <conditionalFormatting sqref="J235">
    <cfRule type="expression" dxfId="1835" priority="2087">
      <formula>$I235&lt;&gt;"Ativo"</formula>
    </cfRule>
    <cfRule type="expression" dxfId="1834" priority="2088">
      <formula>$B235="x"</formula>
    </cfRule>
  </conditionalFormatting>
  <conditionalFormatting sqref="K235:M235">
    <cfRule type="expression" dxfId="1833" priority="2085">
      <formula>$I235&lt;&gt;"Ativo"</formula>
    </cfRule>
    <cfRule type="expression" dxfId="1832" priority="2086">
      <formula>$B235="x"</formula>
    </cfRule>
  </conditionalFormatting>
  <conditionalFormatting sqref="Q235:T235">
    <cfRule type="expression" dxfId="1831" priority="2083">
      <formula>$I235&lt;&gt;"Ativo"</formula>
    </cfRule>
    <cfRule type="expression" dxfId="1830" priority="2084">
      <formula>$B235="x"</formula>
    </cfRule>
  </conditionalFormatting>
  <conditionalFormatting sqref="U235">
    <cfRule type="expression" dxfId="1829" priority="2081">
      <formula>$I235&lt;&gt;"Ativo"</formula>
    </cfRule>
    <cfRule type="expression" dxfId="1828" priority="2082">
      <formula>$B235="x"</formula>
    </cfRule>
  </conditionalFormatting>
  <conditionalFormatting sqref="AL235">
    <cfRule type="expression" dxfId="1827" priority="2079">
      <formula>$I235&lt;&gt;"Ativo"</formula>
    </cfRule>
    <cfRule type="expression" dxfId="1826" priority="2080">
      <formula>$B235="x"</formula>
    </cfRule>
  </conditionalFormatting>
  <conditionalFormatting sqref="AM235">
    <cfRule type="expression" dxfId="1825" priority="2077">
      <formula>$I235&lt;&gt;"Ativo"</formula>
    </cfRule>
    <cfRule type="expression" dxfId="1824" priority="2078">
      <formula>$B235="x"</formula>
    </cfRule>
  </conditionalFormatting>
  <conditionalFormatting sqref="AN235">
    <cfRule type="expression" dxfId="1823" priority="2075">
      <formula>$I235&lt;&gt;"Ativo"</formula>
    </cfRule>
    <cfRule type="expression" dxfId="1822" priority="2076">
      <formula>$B235="x"</formula>
    </cfRule>
  </conditionalFormatting>
  <conditionalFormatting sqref="AP235">
    <cfRule type="expression" dxfId="1821" priority="2073">
      <formula>$I235&lt;&gt;"Ativo"</formula>
    </cfRule>
    <cfRule type="expression" dxfId="1820" priority="2074">
      <formula>$B235="x"</formula>
    </cfRule>
  </conditionalFormatting>
  <conditionalFormatting sqref="AQ235">
    <cfRule type="expression" dxfId="1819" priority="2071">
      <formula>$I235&lt;&gt;"Ativo"</formula>
    </cfRule>
    <cfRule type="expression" dxfId="1818" priority="2072">
      <formula>$B235="x"</formula>
    </cfRule>
  </conditionalFormatting>
  <conditionalFormatting sqref="AM235">
    <cfRule type="expression" dxfId="1817" priority="2069">
      <formula>$I235&lt;&gt;"Ativo"</formula>
    </cfRule>
    <cfRule type="expression" dxfId="1816" priority="2070">
      <formula>$B235="x"</formula>
    </cfRule>
  </conditionalFormatting>
  <conditionalFormatting sqref="AL235">
    <cfRule type="expression" dxfId="1815" priority="2067">
      <formula>$I235&lt;&gt;"Ativo"</formula>
    </cfRule>
    <cfRule type="expression" dxfId="1814" priority="2068">
      <formula>$B235="x"</formula>
    </cfRule>
  </conditionalFormatting>
  <conditionalFormatting sqref="J235">
    <cfRule type="expression" dxfId="1813" priority="2065">
      <formula>$I235&lt;&gt;"Ativo"</formula>
    </cfRule>
    <cfRule type="expression" dxfId="1812" priority="2066">
      <formula>$B235="x"</formula>
    </cfRule>
  </conditionalFormatting>
  <conditionalFormatting sqref="AM235">
    <cfRule type="expression" dxfId="1811" priority="2063">
      <formula>$I235&lt;&gt;"Ativo"</formula>
    </cfRule>
    <cfRule type="expression" dxfId="1810" priority="2064">
      <formula>$B235="x"</formula>
    </cfRule>
  </conditionalFormatting>
  <conditionalFormatting sqref="J235">
    <cfRule type="expression" dxfId="1809" priority="2061">
      <formula>$I235&lt;&gt;"Ativo"</formula>
    </cfRule>
    <cfRule type="expression" dxfId="1808" priority="2062">
      <formula>$B235="x"</formula>
    </cfRule>
  </conditionalFormatting>
  <conditionalFormatting sqref="J235">
    <cfRule type="expression" dxfId="1807" priority="2059">
      <formula>$I235&lt;&gt;"Ativo"</formula>
    </cfRule>
    <cfRule type="expression" dxfId="1806" priority="2060">
      <formula>$B235="x"</formula>
    </cfRule>
  </conditionalFormatting>
  <conditionalFormatting sqref="H235">
    <cfRule type="expression" dxfId="1805" priority="2057">
      <formula>$I235&lt;&gt;"Ativo"</formula>
    </cfRule>
    <cfRule type="expression" dxfId="1804" priority="2058">
      <formula>$B235="x"</formula>
    </cfRule>
  </conditionalFormatting>
  <conditionalFormatting sqref="U235">
    <cfRule type="expression" dxfId="1803" priority="2055">
      <formula>$I235&lt;&gt;"Ativo"</formula>
    </cfRule>
    <cfRule type="expression" dxfId="1802" priority="2056">
      <formula>$B235="x"</formula>
    </cfRule>
  </conditionalFormatting>
  <conditionalFormatting sqref="AN235">
    <cfRule type="expression" dxfId="1801" priority="2053">
      <formula>$I235&lt;&gt;"Ativo"</formula>
    </cfRule>
    <cfRule type="expression" dxfId="1800" priority="2054">
      <formula>$B235="x"</formula>
    </cfRule>
  </conditionalFormatting>
  <conditionalFormatting sqref="AM235">
    <cfRule type="expression" dxfId="1799" priority="2051">
      <formula>$I235&lt;&gt;"Ativo"</formula>
    </cfRule>
    <cfRule type="expression" dxfId="1798" priority="2052">
      <formula>$B235="x"</formula>
    </cfRule>
  </conditionalFormatting>
  <conditionalFormatting sqref="AD235:AE235">
    <cfRule type="expression" dxfId="1797" priority="2047">
      <formula>$I235&lt;&gt;"Ativo"</formula>
    </cfRule>
    <cfRule type="expression" dxfId="1796" priority="2048">
      <formula>$B235="x"</formula>
    </cfRule>
  </conditionalFormatting>
  <conditionalFormatting sqref="AD235:AE235">
    <cfRule type="expression" dxfId="1795" priority="2045">
      <formula>$I235&lt;&gt;"Ativo"</formula>
    </cfRule>
    <cfRule type="expression" dxfId="1794" priority="2046">
      <formula>$B235="x"</formula>
    </cfRule>
  </conditionalFormatting>
  <conditionalFormatting sqref="AK235">
    <cfRule type="expression" dxfId="1793" priority="2039">
      <formula>$I235&lt;&gt;"Ativo"</formula>
    </cfRule>
    <cfRule type="expression" dxfId="1792" priority="2040">
      <formula>$B235="x"</formula>
    </cfRule>
  </conditionalFormatting>
  <conditionalFormatting sqref="AK235">
    <cfRule type="expression" dxfId="1791" priority="2037">
      <formula>$I235&lt;&gt;"Ativo"</formula>
    </cfRule>
    <cfRule type="expression" dxfId="1790" priority="2038">
      <formula>$B235="x"</formula>
    </cfRule>
  </conditionalFormatting>
  <conditionalFormatting sqref="AK235">
    <cfRule type="expression" dxfId="1789" priority="2035">
      <formula>$I235&lt;&gt;"Ativo"</formula>
    </cfRule>
    <cfRule type="expression" dxfId="1788" priority="2036">
      <formula>$B235="x"</formula>
    </cfRule>
  </conditionalFormatting>
  <conditionalFormatting sqref="AL235">
    <cfRule type="expression" dxfId="1787" priority="2033">
      <formula>$I235&lt;&gt;"Ativo"</formula>
    </cfRule>
    <cfRule type="expression" dxfId="1786" priority="2034">
      <formula>$B235="x"</formula>
    </cfRule>
  </conditionalFormatting>
  <conditionalFormatting sqref="AL235">
    <cfRule type="expression" dxfId="1785" priority="2031">
      <formula>$I235&lt;&gt;"Ativo"</formula>
    </cfRule>
    <cfRule type="expression" dxfId="1784" priority="2032">
      <formula>$B235="x"</formula>
    </cfRule>
  </conditionalFormatting>
  <conditionalFormatting sqref="AL235">
    <cfRule type="expression" dxfId="1783" priority="2029">
      <formula>$I235&lt;&gt;"Ativo"</formula>
    </cfRule>
    <cfRule type="expression" dxfId="1782" priority="2030">
      <formula>$B235="x"</formula>
    </cfRule>
  </conditionalFormatting>
  <conditionalFormatting sqref="AO235">
    <cfRule type="expression" dxfId="1781" priority="2027">
      <formula>$I235&lt;&gt;"Ativo"</formula>
    </cfRule>
    <cfRule type="expression" dxfId="1780" priority="2028">
      <formula>$B235="x"</formula>
    </cfRule>
  </conditionalFormatting>
  <conditionalFormatting sqref="AO235">
    <cfRule type="expression" dxfId="1779" priority="2025">
      <formula>$I235&lt;&gt;"Ativo"</formula>
    </cfRule>
    <cfRule type="expression" dxfId="1778" priority="2026">
      <formula>$B235="x"</formula>
    </cfRule>
  </conditionalFormatting>
  <conditionalFormatting sqref="V236:X236">
    <cfRule type="expression" dxfId="1777" priority="2023">
      <formula>$G236&lt;&gt;"Ativo"</formula>
    </cfRule>
    <cfRule type="expression" dxfId="1776" priority="2024">
      <formula>$B236="x"</formula>
    </cfRule>
  </conditionalFormatting>
  <conditionalFormatting sqref="I236">
    <cfRule type="expression" dxfId="1775" priority="2019">
      <formula>$I236&lt;&gt;"Ativo"</formula>
    </cfRule>
    <cfRule type="expression" dxfId="1774" priority="2020">
      <formula>$B236="x"</formula>
    </cfRule>
  </conditionalFormatting>
  <conditionalFormatting sqref="I236">
    <cfRule type="expression" dxfId="1773" priority="2017">
      <formula>$I236&lt;&gt;"Ativo"</formula>
    </cfRule>
    <cfRule type="expression" dxfId="1772" priority="2018">
      <formula>$B236="x"</formula>
    </cfRule>
  </conditionalFormatting>
  <conditionalFormatting sqref="I236">
    <cfRule type="expression" dxfId="1771" priority="2015">
      <formula>$I236&lt;&gt;"Ativo"</formula>
    </cfRule>
    <cfRule type="expression" dxfId="1770" priority="2016">
      <formula>$B236="x"</formula>
    </cfRule>
  </conditionalFormatting>
  <conditionalFormatting sqref="AC236">
    <cfRule type="expression" dxfId="1769" priority="2013">
      <formula>$I236&lt;&gt;"Ativo"</formula>
    </cfRule>
    <cfRule type="expression" dxfId="1768" priority="2014">
      <formula>$B236="x"</formula>
    </cfRule>
  </conditionalFormatting>
  <conditionalFormatting sqref="AC236">
    <cfRule type="expression" dxfId="1767" priority="2011">
      <formula>$I236&lt;&gt;"Ativo"</formula>
    </cfRule>
    <cfRule type="expression" dxfId="1766" priority="2012">
      <formula>$B236="x"</formula>
    </cfRule>
  </conditionalFormatting>
  <conditionalFormatting sqref="AH236">
    <cfRule type="expression" dxfId="1765" priority="2009">
      <formula>$I236&lt;&gt;"Ativo"</formula>
    </cfRule>
    <cfRule type="expression" dxfId="1764" priority="2010">
      <formula>$B236="x"</formula>
    </cfRule>
  </conditionalFormatting>
  <conditionalFormatting sqref="AH236">
    <cfRule type="expression" dxfId="1763" priority="2007">
      <formula>$I236&lt;&gt;"Ativo"</formula>
    </cfRule>
    <cfRule type="expression" dxfId="1762" priority="2008">
      <formula>$B236="x"</formula>
    </cfRule>
  </conditionalFormatting>
  <conditionalFormatting sqref="AI236">
    <cfRule type="expression" dxfId="1761" priority="2005">
      <formula>$I236&lt;&gt;"Ativo"</formula>
    </cfRule>
    <cfRule type="expression" dxfId="1760" priority="2006">
      <formula>$B236="x"</formula>
    </cfRule>
  </conditionalFormatting>
  <conditionalFormatting sqref="AI236">
    <cfRule type="expression" dxfId="1759" priority="2003">
      <formula>$I236&lt;&gt;"Ativo"</formula>
    </cfRule>
    <cfRule type="expression" dxfId="1758" priority="2004">
      <formula>$B236="x"</formula>
    </cfRule>
  </conditionalFormatting>
  <conditionalFormatting sqref="AN236">
    <cfRule type="expression" dxfId="1757" priority="2001">
      <formula>$I236&lt;&gt;"Ativo"</formula>
    </cfRule>
    <cfRule type="expression" dxfId="1756" priority="2002">
      <formula>$B236="x"</formula>
    </cfRule>
  </conditionalFormatting>
  <conditionalFormatting sqref="AN236">
    <cfRule type="expression" dxfId="1755" priority="1999">
      <formula>$I236&lt;&gt;"Ativo"</formula>
    </cfRule>
    <cfRule type="expression" dxfId="1754" priority="2000">
      <formula>$B236="x"</formula>
    </cfRule>
  </conditionalFormatting>
  <conditionalFormatting sqref="AN236">
    <cfRule type="expression" dxfId="1753" priority="1997">
      <formula>$I236&lt;&gt;"Ativo"</formula>
    </cfRule>
    <cfRule type="expression" dxfId="1752" priority="1998">
      <formula>$B236="x"</formula>
    </cfRule>
  </conditionalFormatting>
  <conditionalFormatting sqref="AN236">
    <cfRule type="expression" dxfId="1751" priority="1995">
      <formula>$I236&lt;&gt;"Ativo"</formula>
    </cfRule>
    <cfRule type="expression" dxfId="1750" priority="1996">
      <formula>$B236="x"</formula>
    </cfRule>
  </conditionalFormatting>
  <conditionalFormatting sqref="AO236">
    <cfRule type="expression" dxfId="1749" priority="1993">
      <formula>$I236&lt;&gt;"Ativo"</formula>
    </cfRule>
    <cfRule type="expression" dxfId="1748" priority="1994">
      <formula>$B236="x"</formula>
    </cfRule>
  </conditionalFormatting>
  <conditionalFormatting sqref="AH237:AH238">
    <cfRule type="expression" dxfId="1747" priority="1991">
      <formula>$I237&lt;&gt;"Ativo"</formula>
    </cfRule>
    <cfRule type="expression" dxfId="1746" priority="1992">
      <formula>$B237="x"</formula>
    </cfRule>
  </conditionalFormatting>
  <conditionalFormatting sqref="AH237:AH238">
    <cfRule type="expression" dxfId="1745" priority="1989">
      <formula>$I237&lt;&gt;"Ativo"</formula>
    </cfRule>
    <cfRule type="expression" dxfId="1744" priority="1990">
      <formula>$B237="x"</formula>
    </cfRule>
  </conditionalFormatting>
  <conditionalFormatting sqref="AH237:AH238">
    <cfRule type="expression" dxfId="1743" priority="1987">
      <formula>$I237&lt;&gt;"Ativo"</formula>
    </cfRule>
    <cfRule type="expression" dxfId="1742" priority="1988">
      <formula>$B237="x"</formula>
    </cfRule>
  </conditionalFormatting>
  <conditionalFormatting sqref="AH239">
    <cfRule type="expression" dxfId="1741" priority="1985">
      <formula>$I239&lt;&gt;"Ativo"</formula>
    </cfRule>
    <cfRule type="expression" dxfId="1740" priority="1986">
      <formula>$B239="x"</formula>
    </cfRule>
  </conditionalFormatting>
  <conditionalFormatting sqref="AH239">
    <cfRule type="expression" dxfId="1739" priority="1983">
      <formula>$I239&lt;&gt;"Ativo"</formula>
    </cfRule>
    <cfRule type="expression" dxfId="1738" priority="1984">
      <formula>$B239="x"</formula>
    </cfRule>
  </conditionalFormatting>
  <conditionalFormatting sqref="AH239">
    <cfRule type="expression" dxfId="1737" priority="1981">
      <formula>$I239&lt;&gt;"Ativo"</formula>
    </cfRule>
    <cfRule type="expression" dxfId="1736" priority="1982">
      <formula>$B239="x"</formula>
    </cfRule>
  </conditionalFormatting>
  <conditionalFormatting sqref="V268:X268">
    <cfRule type="expression" dxfId="1735" priority="1979">
      <formula>$G268&lt;&gt;"Ativo"</formula>
    </cfRule>
    <cfRule type="expression" dxfId="1734" priority="1980">
      <formula>$B268="x"</formula>
    </cfRule>
  </conditionalFormatting>
  <conditionalFormatting sqref="D268:AQ268">
    <cfRule type="expression" dxfId="1733" priority="1977">
      <formula>$I268&lt;&gt;"Ativo"</formula>
    </cfRule>
    <cfRule type="expression" dxfId="1732" priority="1978">
      <formula>$B268="x"</formula>
    </cfRule>
  </conditionalFormatting>
  <conditionalFormatting sqref="V269:X269">
    <cfRule type="expression" dxfId="1731" priority="1975">
      <formula>$G269&lt;&gt;"Ativo"</formula>
    </cfRule>
    <cfRule type="expression" dxfId="1730" priority="1976">
      <formula>$B269="x"</formula>
    </cfRule>
  </conditionalFormatting>
  <conditionalFormatting sqref="D269:AQ269">
    <cfRule type="expression" dxfId="1729" priority="1973">
      <formula>$I269&lt;&gt;"Ativo"</formula>
    </cfRule>
    <cfRule type="expression" dxfId="1728" priority="1974">
      <formula>$B269="x"</formula>
    </cfRule>
  </conditionalFormatting>
  <conditionalFormatting sqref="V269:X272">
    <cfRule type="expression" dxfId="1727" priority="1971">
      <formula>$G269&lt;&gt;"Ativo"</formula>
    </cfRule>
    <cfRule type="expression" dxfId="1726" priority="1972">
      <formula>$B269="x"</formula>
    </cfRule>
  </conditionalFormatting>
  <conditionalFormatting sqref="D269:AQ272">
    <cfRule type="expression" dxfId="1725" priority="1969">
      <formula>$I269&lt;&gt;"Ativo"</formula>
    </cfRule>
    <cfRule type="expression" dxfId="1724" priority="1970">
      <formula>$B269="x"</formula>
    </cfRule>
  </conditionalFormatting>
  <conditionalFormatting sqref="V280:X280">
    <cfRule type="expression" dxfId="1723" priority="1963">
      <formula>$G280&lt;&gt;"Ativo"</formula>
    </cfRule>
    <cfRule type="expression" dxfId="1722" priority="1964">
      <formula>$B280="x"</formula>
    </cfRule>
  </conditionalFormatting>
  <conditionalFormatting sqref="D280:AQ280">
    <cfRule type="expression" dxfId="1721" priority="1961">
      <formula>$I280&lt;&gt;"Ativo"</formula>
    </cfRule>
    <cfRule type="expression" dxfId="1720" priority="1962">
      <formula>$B280="x"</formula>
    </cfRule>
  </conditionalFormatting>
  <conditionalFormatting sqref="AH280">
    <cfRule type="expression" dxfId="1719" priority="1959">
      <formula>$I280&lt;&gt;"Ativo"</formula>
    </cfRule>
    <cfRule type="expression" dxfId="1718" priority="1960">
      <formula>$B280="x"</formula>
    </cfRule>
  </conditionalFormatting>
  <conditionalFormatting sqref="V281:X281">
    <cfRule type="expression" dxfId="1717" priority="1957">
      <formula>$G281&lt;&gt;"Ativo"</formula>
    </cfRule>
    <cfRule type="expression" dxfId="1716" priority="1958">
      <formula>$B281="x"</formula>
    </cfRule>
  </conditionalFormatting>
  <conditionalFormatting sqref="D281:AQ281">
    <cfRule type="expression" dxfId="1715" priority="1955">
      <formula>$I281&lt;&gt;"Ativo"</formula>
    </cfRule>
    <cfRule type="expression" dxfId="1714" priority="1956">
      <formula>$B281="x"</formula>
    </cfRule>
  </conditionalFormatting>
  <conditionalFormatting sqref="AH281">
    <cfRule type="expression" dxfId="1713" priority="1953">
      <formula>$I281&lt;&gt;"Ativo"</formula>
    </cfRule>
    <cfRule type="expression" dxfId="1712" priority="1954">
      <formula>$B281="x"</formula>
    </cfRule>
  </conditionalFormatting>
  <conditionalFormatting sqref="AH281">
    <cfRule type="expression" dxfId="1711" priority="1951">
      <formula>$I281&lt;&gt;"Ativo"</formula>
    </cfRule>
    <cfRule type="expression" dxfId="1710" priority="1952">
      <formula>$B281="x"</formula>
    </cfRule>
  </conditionalFormatting>
  <conditionalFormatting sqref="V282:X282">
    <cfRule type="expression" dxfId="1709" priority="1949">
      <formula>$G282&lt;&gt;"Ativo"</formula>
    </cfRule>
    <cfRule type="expression" dxfId="1708" priority="1950">
      <formula>$B282="x"</formula>
    </cfRule>
  </conditionalFormatting>
  <conditionalFormatting sqref="D282:AQ282">
    <cfRule type="expression" dxfId="1707" priority="1947">
      <formula>$I282&lt;&gt;"Ativo"</formula>
    </cfRule>
    <cfRule type="expression" dxfId="1706" priority="1948">
      <formula>$B282="x"</formula>
    </cfRule>
  </conditionalFormatting>
  <conditionalFormatting sqref="V283:X283">
    <cfRule type="expression" dxfId="1705" priority="1945">
      <formula>$G283&lt;&gt;"Ativo"</formula>
    </cfRule>
    <cfRule type="expression" dxfId="1704" priority="1946">
      <formula>$B283="x"</formula>
    </cfRule>
  </conditionalFormatting>
  <conditionalFormatting sqref="D283:AQ283">
    <cfRule type="expression" dxfId="1703" priority="1943">
      <formula>$I283&lt;&gt;"Ativo"</formula>
    </cfRule>
    <cfRule type="expression" dxfId="1702" priority="1944">
      <formula>$B283="x"</formula>
    </cfRule>
  </conditionalFormatting>
  <conditionalFormatting sqref="AH283">
    <cfRule type="expression" dxfId="1701" priority="1941">
      <formula>$I283&lt;&gt;"Ativo"</formula>
    </cfRule>
    <cfRule type="expression" dxfId="1700" priority="1942">
      <formula>$B283="x"</formula>
    </cfRule>
  </conditionalFormatting>
  <conditionalFormatting sqref="AH283">
    <cfRule type="expression" dxfId="1699" priority="1939">
      <formula>$I283&lt;&gt;"Ativo"</formula>
    </cfRule>
    <cfRule type="expression" dxfId="1698" priority="1940">
      <formula>$B283="x"</formula>
    </cfRule>
  </conditionalFormatting>
  <conditionalFormatting sqref="AH283">
    <cfRule type="expression" dxfId="1697" priority="1937">
      <formula>$I283&lt;&gt;"Ativo"</formula>
    </cfRule>
    <cfRule type="expression" dxfId="1696" priority="1938">
      <formula>$B283="x"</formula>
    </cfRule>
  </conditionalFormatting>
  <conditionalFormatting sqref="AH282">
    <cfRule type="expression" dxfId="1695" priority="1935">
      <formula>$I282&lt;&gt;"Ativo"</formula>
    </cfRule>
    <cfRule type="expression" dxfId="1694" priority="1936">
      <formula>$B282="x"</formula>
    </cfRule>
  </conditionalFormatting>
  <conditionalFormatting sqref="AH282">
    <cfRule type="expression" dxfId="1693" priority="1933">
      <formula>$I282&lt;&gt;"Ativo"</formula>
    </cfRule>
    <cfRule type="expression" dxfId="1692" priority="1934">
      <formula>$B282="x"</formula>
    </cfRule>
  </conditionalFormatting>
  <conditionalFormatting sqref="AH282">
    <cfRule type="expression" dxfId="1691" priority="1931">
      <formula>$I282&lt;&gt;"Ativo"</formula>
    </cfRule>
    <cfRule type="expression" dxfId="1690" priority="1932">
      <formula>$B282="x"</formula>
    </cfRule>
  </conditionalFormatting>
  <conditionalFormatting sqref="AH284">
    <cfRule type="expression" dxfId="1689" priority="1925">
      <formula>$I284&lt;&gt;"Ativo"</formula>
    </cfRule>
    <cfRule type="expression" dxfId="1688" priority="1926">
      <formula>$B284="x"</formula>
    </cfRule>
  </conditionalFormatting>
  <conditionalFormatting sqref="AH284">
    <cfRule type="expression" dxfId="1687" priority="1923">
      <formula>$I284&lt;&gt;"Ativo"</formula>
    </cfRule>
    <cfRule type="expression" dxfId="1686" priority="1924">
      <formula>$B284="x"</formula>
    </cfRule>
  </conditionalFormatting>
  <conditionalFormatting sqref="AH284">
    <cfRule type="expression" dxfId="1685" priority="1921">
      <formula>$I284&lt;&gt;"Ativo"</formula>
    </cfRule>
    <cfRule type="expression" dxfId="1684" priority="1922">
      <formula>$B284="x"</formula>
    </cfRule>
  </conditionalFormatting>
  <conditionalFormatting sqref="AH284">
    <cfRule type="expression" dxfId="1683" priority="1919">
      <formula>$I284&lt;&gt;"Ativo"</formula>
    </cfRule>
    <cfRule type="expression" dxfId="1682" priority="1920">
      <formula>$B284="x"</formula>
    </cfRule>
  </conditionalFormatting>
  <conditionalFormatting sqref="V285:X285">
    <cfRule type="expression" dxfId="1681" priority="1917">
      <formula>$G285&lt;&gt;"Ativo"</formula>
    </cfRule>
    <cfRule type="expression" dxfId="1680" priority="1918">
      <formula>$B285="x"</formula>
    </cfRule>
  </conditionalFormatting>
  <conditionalFormatting sqref="D285:AQ285">
    <cfRule type="expression" dxfId="1679" priority="1915">
      <formula>$I285&lt;&gt;"Ativo"</formula>
    </cfRule>
    <cfRule type="expression" dxfId="1678" priority="1916">
      <formula>$B285="x"</formula>
    </cfRule>
  </conditionalFormatting>
  <conditionalFormatting sqref="AH285">
    <cfRule type="expression" dxfId="1677" priority="1913">
      <formula>$I285&lt;&gt;"Ativo"</formula>
    </cfRule>
    <cfRule type="expression" dxfId="1676" priority="1914">
      <formula>$B285="x"</formula>
    </cfRule>
  </conditionalFormatting>
  <conditionalFormatting sqref="AH285">
    <cfRule type="expression" dxfId="1675" priority="1911">
      <formula>$I285&lt;&gt;"Ativo"</formula>
    </cfRule>
    <cfRule type="expression" dxfId="1674" priority="1912">
      <formula>$B285="x"</formula>
    </cfRule>
  </conditionalFormatting>
  <conditionalFormatting sqref="AH285">
    <cfRule type="expression" dxfId="1673" priority="1909">
      <formula>$I285&lt;&gt;"Ativo"</formula>
    </cfRule>
    <cfRule type="expression" dxfId="1672" priority="1910">
      <formula>$B285="x"</formula>
    </cfRule>
  </conditionalFormatting>
  <conditionalFormatting sqref="AH285">
    <cfRule type="expression" dxfId="1671" priority="1907">
      <formula>$I285&lt;&gt;"Ativo"</formula>
    </cfRule>
    <cfRule type="expression" dxfId="1670" priority="1908">
      <formula>$B285="x"</formula>
    </cfRule>
  </conditionalFormatting>
  <conditionalFormatting sqref="AN330:AN340 AL321:AQ330">
    <cfRule type="expression" dxfId="1669" priority="1787">
      <formula>$I321&lt;&gt;"Ativo"</formula>
    </cfRule>
    <cfRule type="expression" dxfId="1668" priority="1788">
      <formula>$B321="x"</formula>
    </cfRule>
  </conditionalFormatting>
  <conditionalFormatting sqref="Q330">
    <cfRule type="expression" dxfId="1667" priority="1783">
      <formula>$I330&lt;&gt;"Ativo"</formula>
    </cfRule>
    <cfRule type="expression" dxfId="1666" priority="1784">
      <formula>$B330="x"</formula>
    </cfRule>
  </conditionalFormatting>
  <conditionalFormatting sqref="V330">
    <cfRule type="expression" dxfId="1665" priority="1781">
      <formula>$G330&lt;&gt;"Ativo"</formula>
    </cfRule>
    <cfRule type="expression" dxfId="1664" priority="1782">
      <formula>$B330="x"</formula>
    </cfRule>
  </conditionalFormatting>
  <conditionalFormatting sqref="V331:X331">
    <cfRule type="expression" dxfId="1663" priority="1777">
      <formula>$G331&lt;&gt;"Ativo"</formula>
    </cfRule>
    <cfRule type="expression" dxfId="1662" priority="1778">
      <formula>$B331="x"</formula>
    </cfRule>
  </conditionalFormatting>
  <conditionalFormatting sqref="D331:AN331 AP331:AQ331">
    <cfRule type="expression" dxfId="1661" priority="1779">
      <formula>$I331&lt;&gt;"Ativo"</formula>
    </cfRule>
    <cfRule type="expression" dxfId="1660" priority="1780">
      <formula>$B331="x"</formula>
    </cfRule>
  </conditionalFormatting>
  <conditionalFormatting sqref="AO331">
    <cfRule type="expression" dxfId="1659" priority="1775">
      <formula>$I331&lt;&gt;"Ativo"</formula>
    </cfRule>
    <cfRule type="expression" dxfId="1658" priority="1776">
      <formula>$B331="x"</formula>
    </cfRule>
  </conditionalFormatting>
  <conditionalFormatting sqref="V333:X333">
    <cfRule type="expression" dxfId="1657" priority="1759">
      <formula>$G333&lt;&gt;"Ativo"</formula>
    </cfRule>
    <cfRule type="expression" dxfId="1656" priority="1760">
      <formula>$B333="x"</formula>
    </cfRule>
  </conditionalFormatting>
  <conditionalFormatting sqref="D333:S333 U333:AA333">
    <cfRule type="expression" dxfId="1655" priority="1761">
      <formula>$I333&lt;&gt;"Ativo"</formula>
    </cfRule>
    <cfRule type="expression" dxfId="1654" priority="1762">
      <formula>$B333="x"</formula>
    </cfRule>
  </conditionalFormatting>
  <conditionalFormatting sqref="AC332:AE333">
    <cfRule type="expression" dxfId="1653" priority="1737">
      <formula>$G332&lt;&gt;"Ativo"</formula>
    </cfRule>
    <cfRule type="expression" dxfId="1652" priority="1738">
      <formula>$B332="x"</formula>
    </cfRule>
  </conditionalFormatting>
  <conditionalFormatting sqref="AO332:AQ333">
    <cfRule type="expression" dxfId="1651" priority="1735">
      <formula>$I332&lt;&gt;"Ativo"</formula>
    </cfRule>
    <cfRule type="expression" dxfId="1650" priority="1736">
      <formula>$B332="x"</formula>
    </cfRule>
  </conditionalFormatting>
  <conditionalFormatting sqref="AB332:AQ333">
    <cfRule type="expression" dxfId="1649" priority="1739">
      <formula>$I332&lt;&gt;"Ativo"</formula>
    </cfRule>
    <cfRule type="expression" dxfId="1648" priority="1740">
      <formula>$B332="x"</formula>
    </cfRule>
  </conditionalFormatting>
  <conditionalFormatting sqref="V332:X332">
    <cfRule type="expression" dxfId="1647" priority="1741">
      <formula>$G332&lt;&gt;"Ativo"</formula>
    </cfRule>
    <cfRule type="expression" dxfId="1646" priority="1742">
      <formula>$B332="x"</formula>
    </cfRule>
  </conditionalFormatting>
  <conditionalFormatting sqref="D332:AA332">
    <cfRule type="expression" dxfId="1645" priority="1743">
      <formula>$I332&lt;&gt;"Ativo"</formula>
    </cfRule>
    <cfRule type="expression" dxfId="1644" priority="1744">
      <formula>$B332="x"</formula>
    </cfRule>
  </conditionalFormatting>
  <conditionalFormatting sqref="T333">
    <cfRule type="expression" dxfId="1643" priority="1731">
      <formula>$I333&lt;&gt;"Ativo"</formula>
    </cfRule>
    <cfRule type="expression" dxfId="1642" priority="1732">
      <formula>$B333="x"</formula>
    </cfRule>
  </conditionalFormatting>
  <conditionalFormatting sqref="V335:X335">
    <cfRule type="expression" dxfId="1641" priority="1727">
      <formula>$G335&lt;&gt;"Ativo"</formula>
    </cfRule>
    <cfRule type="expression" dxfId="1640" priority="1728">
      <formula>$B335="x"</formula>
    </cfRule>
  </conditionalFormatting>
  <conditionalFormatting sqref="D335:AQ335">
    <cfRule type="expression" dxfId="1639" priority="1729">
      <formula>$I335&lt;&gt;"Ativo"</formula>
    </cfRule>
    <cfRule type="expression" dxfId="1638" priority="1730">
      <formula>$B335="x"</formula>
    </cfRule>
  </conditionalFormatting>
  <conditionalFormatting sqref="D334:AN334 AP334:AQ334">
    <cfRule type="expression" dxfId="1637" priority="1707">
      <formula>$I334&lt;&gt;"Ativo"</formula>
    </cfRule>
    <cfRule type="expression" dxfId="1636" priority="1708">
      <formula>$B334="x"</formula>
    </cfRule>
  </conditionalFormatting>
  <conditionalFormatting sqref="V334:X334">
    <cfRule type="expression" dxfId="1635" priority="1705">
      <formula>$G334&lt;&gt;"Ativo"</formula>
    </cfRule>
    <cfRule type="expression" dxfId="1634" priority="1706">
      <formula>$B334="x"</formula>
    </cfRule>
  </conditionalFormatting>
  <conditionalFormatting sqref="AO334">
    <cfRule type="expression" dxfId="1633" priority="1703">
      <formula>$I334&lt;&gt;"Ativo"</formula>
    </cfRule>
    <cfRule type="expression" dxfId="1632" priority="1704">
      <formula>$B334="x"</formula>
    </cfRule>
  </conditionalFormatting>
  <conditionalFormatting sqref="D336:AQ336">
    <cfRule type="expression" dxfId="1631" priority="1681">
      <formula>$I336&lt;&gt;"Ativo"</formula>
    </cfRule>
    <cfRule type="expression" dxfId="1630" priority="1682">
      <formula>$B336="x"</formula>
    </cfRule>
  </conditionalFormatting>
  <conditionalFormatting sqref="V336:X336">
    <cfRule type="expression" dxfId="1629" priority="1679">
      <formula>$G336&lt;&gt;"Ativo"</formula>
    </cfRule>
    <cfRule type="expression" dxfId="1628" priority="1680">
      <formula>$B336="x"</formula>
    </cfRule>
  </conditionalFormatting>
  <conditionalFormatting sqref="V337:X337">
    <cfRule type="expression" dxfId="1627" priority="1657">
      <formula>$G337&lt;&gt;"Ativo"</formula>
    </cfRule>
    <cfRule type="expression" dxfId="1626" priority="1658">
      <formula>$B337="x"</formula>
    </cfRule>
  </conditionalFormatting>
  <conditionalFormatting sqref="D337:AQ337">
    <cfRule type="expression" dxfId="1625" priority="1659">
      <formula>$I337&lt;&gt;"Ativo"</formula>
    </cfRule>
    <cfRule type="expression" dxfId="1624" priority="1660">
      <formula>$B337="x"</formula>
    </cfRule>
  </conditionalFormatting>
  <conditionalFormatting sqref="AP339:AQ339">
    <cfRule type="expression" dxfId="1623" priority="1637">
      <formula>$I339&lt;&gt;"Ativo"</formula>
    </cfRule>
    <cfRule type="expression" dxfId="1622" priority="1638">
      <formula>$B339="x"</formula>
    </cfRule>
  </conditionalFormatting>
  <conditionalFormatting sqref="D338:AQ338">
    <cfRule type="expression" dxfId="1621" priority="1633">
      <formula>$I338&lt;&gt;"Ativo"</formula>
    </cfRule>
    <cfRule type="expression" dxfId="1620" priority="1634">
      <formula>$B338="x"</formula>
    </cfRule>
  </conditionalFormatting>
  <conditionalFormatting sqref="AN339">
    <cfRule type="expression" dxfId="1619" priority="1635">
      <formula>$I339&lt;&gt;"Ativo"</formula>
    </cfRule>
    <cfRule type="expression" dxfId="1618" priority="1636">
      <formula>$B339="x"</formula>
    </cfRule>
  </conditionalFormatting>
  <conditionalFormatting sqref="D339:S339 U339:AM339 AO339">
    <cfRule type="expression" dxfId="1617" priority="1645">
      <formula>$I339&lt;&gt;"Ativo"</formula>
    </cfRule>
    <cfRule type="expression" dxfId="1616" priority="1646">
      <formula>$B339="x"</formula>
    </cfRule>
  </conditionalFormatting>
  <conditionalFormatting sqref="V339:Y339">
    <cfRule type="expression" dxfId="1615" priority="1643">
      <formula>$G339&lt;&gt;"Ativo"</formula>
    </cfRule>
    <cfRule type="expression" dxfId="1614" priority="1644">
      <formula>$B339="x"</formula>
    </cfRule>
  </conditionalFormatting>
  <conditionalFormatting sqref="W339:Y339">
    <cfRule type="expression" dxfId="1613" priority="1641">
      <formula>$G339&lt;&gt;"Ativo"</formula>
    </cfRule>
    <cfRule type="expression" dxfId="1612" priority="1642">
      <formula>$B339="x"</formula>
    </cfRule>
  </conditionalFormatting>
  <conditionalFormatting sqref="AP339:AQ339">
    <cfRule type="expression" dxfId="1611" priority="1639">
      <formula>$I339&lt;&gt;"Ativo"</formula>
    </cfRule>
    <cfRule type="expression" dxfId="1610" priority="1640">
      <formula>$B339="x"</formula>
    </cfRule>
  </conditionalFormatting>
  <conditionalFormatting sqref="V338:X338">
    <cfRule type="expression" dxfId="1609" priority="1631">
      <formula>$G338&lt;&gt;"Ativo"</formula>
    </cfRule>
    <cfRule type="expression" dxfId="1608" priority="1632">
      <formula>$B338="x"</formula>
    </cfRule>
  </conditionalFormatting>
  <conditionalFormatting sqref="AN342:AN347 AL339:AN339 AO339:AQ347 AN368:AQ411">
    <cfRule type="expression" dxfId="1607" priority="1627">
      <formula>$I339&lt;&gt;"Ativo"</formula>
    </cfRule>
    <cfRule type="expression" dxfId="1606" priority="1628">
      <formula>$B339="x"</formula>
    </cfRule>
  </conditionalFormatting>
  <conditionalFormatting sqref="Q340">
    <cfRule type="expression" dxfId="1605" priority="1625">
      <formula>$I340&lt;&gt;"Ativo"</formula>
    </cfRule>
    <cfRule type="expression" dxfId="1604" priority="1626">
      <formula>$B340="x"</formula>
    </cfRule>
  </conditionalFormatting>
  <conditionalFormatting sqref="N340:P340">
    <cfRule type="expression" dxfId="1603" priority="1623">
      <formula>$I340&lt;&gt;"Ativo"</formula>
    </cfRule>
    <cfRule type="expression" dxfId="1602" priority="1624">
      <formula>$B340="x"</formula>
    </cfRule>
  </conditionalFormatting>
  <conditionalFormatting sqref="N340:P340">
    <cfRule type="expression" dxfId="1601" priority="1621">
      <formula>$I340&lt;&gt;"Ativo"</formula>
    </cfRule>
    <cfRule type="expression" dxfId="1600" priority="1622">
      <formula>$B340="x"</formula>
    </cfRule>
  </conditionalFormatting>
  <conditionalFormatting sqref="V340:W340">
    <cfRule type="expression" dxfId="1599" priority="1619">
      <formula>$G340&lt;&gt;"Ativo"</formula>
    </cfRule>
    <cfRule type="expression" dxfId="1598" priority="1620">
      <formula>$B340="x"</formula>
    </cfRule>
  </conditionalFormatting>
  <conditionalFormatting sqref="V340:W340">
    <cfRule type="expression" dxfId="1597" priority="1617">
      <formula>$I340&lt;&gt;"Ativo"</formula>
    </cfRule>
    <cfRule type="expression" dxfId="1596" priority="1618">
      <formula>$B340="x"</formula>
    </cfRule>
  </conditionalFormatting>
  <conditionalFormatting sqref="V340:W340">
    <cfRule type="expression" dxfId="1595" priority="1615">
      <formula>$G340&lt;&gt;"Ativo"</formula>
    </cfRule>
    <cfRule type="expression" dxfId="1594" priority="1616">
      <formula>$B340="x"</formula>
    </cfRule>
  </conditionalFormatting>
  <conditionalFormatting sqref="W340">
    <cfRule type="expression" dxfId="1593" priority="1613">
      <formula>$G340&lt;&gt;"Ativo"</formula>
    </cfRule>
    <cfRule type="expression" dxfId="1592" priority="1614">
      <formula>$B340="x"</formula>
    </cfRule>
  </conditionalFormatting>
  <conditionalFormatting sqref="S341">
    <cfRule type="expression" dxfId="1591" priority="1611">
      <formula>$I341&lt;&gt;"Ativo"</formula>
    </cfRule>
    <cfRule type="expression" dxfId="1590" priority="1612">
      <formula>$B341="x"</formula>
    </cfRule>
  </conditionalFormatting>
  <conditionalFormatting sqref="V341:W341">
    <cfRule type="expression" dxfId="1589" priority="1609">
      <formula>$G341&lt;&gt;"Ativo"</formula>
    </cfRule>
    <cfRule type="expression" dxfId="1588" priority="1610">
      <formula>$B341="x"</formula>
    </cfRule>
  </conditionalFormatting>
  <conditionalFormatting sqref="V341:W341">
    <cfRule type="expression" dxfId="1587" priority="1607">
      <formula>$I341&lt;&gt;"Ativo"</formula>
    </cfRule>
    <cfRule type="expression" dxfId="1586" priority="1608">
      <formula>$B341="x"</formula>
    </cfRule>
  </conditionalFormatting>
  <conditionalFormatting sqref="V341:W341">
    <cfRule type="expression" dxfId="1585" priority="1605">
      <formula>$G341&lt;&gt;"Ativo"</formula>
    </cfRule>
    <cfRule type="expression" dxfId="1584" priority="1606">
      <formula>$B341="x"</formula>
    </cfRule>
  </conditionalFormatting>
  <conditionalFormatting sqref="W341">
    <cfRule type="expression" dxfId="1583" priority="1603">
      <formula>$G341&lt;&gt;"Ativo"</formula>
    </cfRule>
    <cfRule type="expression" dxfId="1582" priority="1604">
      <formula>$B341="x"</formula>
    </cfRule>
  </conditionalFormatting>
  <conditionalFormatting sqref="V351:X359 V348:X348">
    <cfRule type="expression" dxfId="1581" priority="1599">
      <formula>$G348&lt;&gt;"Ativo"</formula>
    </cfRule>
    <cfRule type="expression" dxfId="1580" priority="1600">
      <formula>$B348="x"</formula>
    </cfRule>
  </conditionalFormatting>
  <conditionalFormatting sqref="Y360:AC360 U355:AQ359 N360:P360 U360 D354:Q359 AP351:AQ354 M353:Q353 D353:J353 D351:Q352 AO352:AO354 D348:AQ348 S351:S359 U351:AN354 R349:R360 T349:T360">
    <cfRule type="expression" dxfId="1579" priority="1601">
      <formula>$I348&lt;&gt;"Ativo"</formula>
    </cfRule>
    <cfRule type="expression" dxfId="1578" priority="1602">
      <formula>$B348="x"</formula>
    </cfRule>
  </conditionalFormatting>
  <conditionalFormatting sqref="V349:X349">
    <cfRule type="expression" dxfId="1577" priority="1595">
      <formula>$G349&lt;&gt;"Ativo"</formula>
    </cfRule>
    <cfRule type="expression" dxfId="1576" priority="1596">
      <formula>$B349="x"</formula>
    </cfRule>
  </conditionalFormatting>
  <conditionalFormatting sqref="D349:Q349 S349 U349:AQ349">
    <cfRule type="expression" dxfId="1575" priority="1597">
      <formula>$I349&lt;&gt;"Ativo"</formula>
    </cfRule>
    <cfRule type="expression" dxfId="1574" priority="1598">
      <formula>$B349="x"</formula>
    </cfRule>
  </conditionalFormatting>
  <conditionalFormatting sqref="AH350:AH353">
    <cfRule type="expression" dxfId="1573" priority="1593">
      <formula>$I350&lt;&gt;"Ativo"</formula>
    </cfRule>
    <cfRule type="expression" dxfId="1572" priority="1594">
      <formula>$B350="x"</formula>
    </cfRule>
  </conditionalFormatting>
  <conditionalFormatting sqref="V350:X350">
    <cfRule type="expression" dxfId="1571" priority="1589">
      <formula>$G350&lt;&gt;"Ativo"</formula>
    </cfRule>
    <cfRule type="expression" dxfId="1570" priority="1590">
      <formula>$B350="x"</formula>
    </cfRule>
  </conditionalFormatting>
  <conditionalFormatting sqref="D350:Q350 S350 U350:AQ350">
    <cfRule type="expression" dxfId="1569" priority="1591">
      <formula>$I350&lt;&gt;"Ativo"</formula>
    </cfRule>
    <cfRule type="expression" dxfId="1568" priority="1592">
      <formula>$B350="x"</formula>
    </cfRule>
  </conditionalFormatting>
  <conditionalFormatting sqref="AO351">
    <cfRule type="expression" dxfId="1567" priority="1587">
      <formula>$I351&lt;&gt;"Ativo"</formula>
    </cfRule>
    <cfRule type="expression" dxfId="1566" priority="1588">
      <formula>$B351="x"</formula>
    </cfRule>
  </conditionalFormatting>
  <conditionalFormatting sqref="V360:X360">
    <cfRule type="expression" dxfId="1565" priority="1583">
      <formula>$G360&lt;&gt;"Ativo"</formula>
    </cfRule>
    <cfRule type="expression" dxfId="1564" priority="1584">
      <formula>$B360="x"</formula>
    </cfRule>
  </conditionalFormatting>
  <conditionalFormatting sqref="S360 V360:X360 AD360 F360:M360">
    <cfRule type="expression" dxfId="1563" priority="1585">
      <formula>$I360&lt;&gt;"Ativo"</formula>
    </cfRule>
    <cfRule type="expression" dxfId="1562" priority="1586">
      <formula>$B360="x"</formula>
    </cfRule>
  </conditionalFormatting>
  <conditionalFormatting sqref="Q360">
    <cfRule type="expression" dxfId="1561" priority="1581">
      <formula>$I360&lt;&gt;"Ativo"</formula>
    </cfRule>
    <cfRule type="expression" dxfId="1560" priority="1582">
      <formula>$B360="x"</formula>
    </cfRule>
  </conditionalFormatting>
  <conditionalFormatting sqref="AE360:AQ360">
    <cfRule type="expression" dxfId="1559" priority="1579">
      <formula>$I360&lt;&gt;"Ativo"</formula>
    </cfRule>
    <cfRule type="expression" dxfId="1558" priority="1580">
      <formula>$B360="x"</formula>
    </cfRule>
  </conditionalFormatting>
  <conditionalFormatting sqref="D360:E360">
    <cfRule type="expression" dxfId="1557" priority="1577">
      <formula>$I360&lt;&gt;"Ativo"</formula>
    </cfRule>
    <cfRule type="expression" dxfId="1556" priority="1578">
      <formula>$B360="x"</formula>
    </cfRule>
  </conditionalFormatting>
  <conditionalFormatting sqref="V361:X361">
    <cfRule type="expression" dxfId="1555" priority="1573">
      <formula>$G361&lt;&gt;"Ativo"</formula>
    </cfRule>
    <cfRule type="expression" dxfId="1554" priority="1574">
      <formula>$B361="x"</formula>
    </cfRule>
  </conditionalFormatting>
  <conditionalFormatting sqref="D361:AQ361">
    <cfRule type="expression" dxfId="1553" priority="1575">
      <formula>$I361&lt;&gt;"Ativo"</formula>
    </cfRule>
    <cfRule type="expression" dxfId="1552" priority="1576">
      <formula>$B361="x"</formula>
    </cfRule>
  </conditionalFormatting>
  <conditionalFormatting sqref="V362:X362">
    <cfRule type="expression" dxfId="1551" priority="1569">
      <formula>$G362&lt;&gt;"Ativo"</formula>
    </cfRule>
    <cfRule type="expression" dxfId="1550" priority="1570">
      <formula>$B362="x"</formula>
    </cfRule>
  </conditionalFormatting>
  <conditionalFormatting sqref="D362:AQ362">
    <cfRule type="expression" dxfId="1549" priority="1571">
      <formula>$I362&lt;&gt;"Ativo"</formula>
    </cfRule>
    <cfRule type="expression" dxfId="1548" priority="1572">
      <formula>$B362="x"</formula>
    </cfRule>
  </conditionalFormatting>
  <conditionalFormatting sqref="D363:AQ363 AX363:AZ363">
    <cfRule type="expression" dxfId="1547" priority="1567">
      <formula>$I363&lt;&gt;"Ativo"</formula>
    </cfRule>
    <cfRule type="expression" dxfId="1546" priority="1568">
      <formula>$B363="x"</formula>
    </cfRule>
  </conditionalFormatting>
  <conditionalFormatting sqref="V363:Y363">
    <cfRule type="expression" dxfId="1545" priority="1565">
      <formula>$G363&lt;&gt;"Ativo"</formula>
    </cfRule>
    <cfRule type="expression" dxfId="1544" priority="1566">
      <formula>$B363="x"</formula>
    </cfRule>
  </conditionalFormatting>
  <conditionalFormatting sqref="V364:X364">
    <cfRule type="expression" dxfId="1543" priority="1561">
      <formula>$G364&lt;&gt;"Ativo"</formula>
    </cfRule>
    <cfRule type="expression" dxfId="1542" priority="1562">
      <formula>$B364="x"</formula>
    </cfRule>
  </conditionalFormatting>
  <conditionalFormatting sqref="D364:G364 I364:J364 Q364:AQ364">
    <cfRule type="expression" dxfId="1541" priority="1563">
      <formula>$I364&lt;&gt;"Ativo"</formula>
    </cfRule>
    <cfRule type="expression" dxfId="1540" priority="1564">
      <formula>$B364="x"</formula>
    </cfRule>
  </conditionalFormatting>
  <conditionalFormatting sqref="K364:P364">
    <cfRule type="expression" dxfId="1539" priority="1559">
      <formula>$I364&lt;&gt;"Ativo"</formula>
    </cfRule>
    <cfRule type="expression" dxfId="1538" priority="1560">
      <formula>$B364="x"</formula>
    </cfRule>
  </conditionalFormatting>
  <conditionalFormatting sqref="H364">
    <cfRule type="expression" dxfId="1537" priority="1557">
      <formula>$I364&lt;&gt;"Ativo"</formula>
    </cfRule>
    <cfRule type="expression" dxfId="1536" priority="1558">
      <formula>$B364="x"</formula>
    </cfRule>
  </conditionalFormatting>
  <conditionalFormatting sqref="V365:X365">
    <cfRule type="expression" dxfId="1535" priority="1553">
      <formula>$G365&lt;&gt;"Ativo"</formula>
    </cfRule>
    <cfRule type="expression" dxfId="1534" priority="1554">
      <formula>$B365="x"</formula>
    </cfRule>
  </conditionalFormatting>
  <conditionalFormatting sqref="F365:I365 K365:AQ365">
    <cfRule type="expression" dxfId="1533" priority="1555">
      <formula>$I365&lt;&gt;"Ativo"</formula>
    </cfRule>
    <cfRule type="expression" dxfId="1532" priority="1556">
      <formula>$B365="x"</formula>
    </cfRule>
  </conditionalFormatting>
  <conditionalFormatting sqref="J365">
    <cfRule type="expression" dxfId="1531" priority="1551">
      <formula>$I365&lt;&gt;"Ativo"</formula>
    </cfRule>
    <cfRule type="expression" dxfId="1530" priority="1552">
      <formula>$B365="x"</formula>
    </cfRule>
  </conditionalFormatting>
  <conditionalFormatting sqref="D365:E365">
    <cfRule type="expression" dxfId="1529" priority="1549">
      <formula>$I365&lt;&gt;"Ativo"</formula>
    </cfRule>
    <cfRule type="expression" dxfId="1528" priority="1550">
      <formula>$B365="x"</formula>
    </cfRule>
  </conditionalFormatting>
  <conditionalFormatting sqref="V366:X366">
    <cfRule type="expression" dxfId="1527" priority="1545">
      <formula>$G366&lt;&gt;"Ativo"</formula>
    </cfRule>
    <cfRule type="expression" dxfId="1526" priority="1546">
      <formula>$B366="x"</formula>
    </cfRule>
  </conditionalFormatting>
  <conditionalFormatting sqref="D366:AQ366">
    <cfRule type="expression" dxfId="1525" priority="1547">
      <formula>$I366&lt;&gt;"Ativo"</formula>
    </cfRule>
    <cfRule type="expression" dxfId="1524" priority="1548">
      <formula>$B366="x"</formula>
    </cfRule>
  </conditionalFormatting>
  <conditionalFormatting sqref="AD366">
    <cfRule type="expression" dxfId="1523" priority="1543">
      <formula>$I366&lt;&gt;"Ativo"</formula>
    </cfRule>
    <cfRule type="expression" dxfId="1522" priority="1544">
      <formula>$B366="x"</formula>
    </cfRule>
  </conditionalFormatting>
  <conditionalFormatting sqref="D366:J366">
    <cfRule type="expression" dxfId="1521" priority="1541">
      <formula>$I366&lt;&gt;"Ativo"</formula>
    </cfRule>
    <cfRule type="expression" dxfId="1520" priority="1542">
      <formula>$B366="x"</formula>
    </cfRule>
  </conditionalFormatting>
  <conditionalFormatting sqref="F366">
    <cfRule type="expression" dxfId="1519" priority="1539">
      <formula>$I366&lt;&gt;"Ativo"</formula>
    </cfRule>
    <cfRule type="expression" dxfId="1518" priority="1540">
      <formula>$B366="x"</formula>
    </cfRule>
  </conditionalFormatting>
  <conditionalFormatting sqref="V367:X367">
    <cfRule type="expression" dxfId="1517" priority="1535">
      <formula>$G367&lt;&gt;"Ativo"</formula>
    </cfRule>
    <cfRule type="expression" dxfId="1516" priority="1536">
      <formula>$B367="x"</formula>
    </cfRule>
  </conditionalFormatting>
  <conditionalFormatting sqref="D367:AD367">
    <cfRule type="expression" dxfId="1515" priority="1537">
      <formula>$I367&lt;&gt;"Ativo"</formula>
    </cfRule>
    <cfRule type="expression" dxfId="1514" priority="1538">
      <formula>$B367="x"</formula>
    </cfRule>
  </conditionalFormatting>
  <conditionalFormatting sqref="AE367:AO367 AQ367">
    <cfRule type="expression" dxfId="1513" priority="1533">
      <formula>$I367&lt;&gt;"Ativo"</formula>
    </cfRule>
    <cfRule type="expression" dxfId="1512" priority="1534">
      <formula>$B367="x"</formula>
    </cfRule>
  </conditionalFormatting>
  <conditionalFormatting sqref="AP367">
    <cfRule type="expression" dxfId="1511" priority="1531">
      <formula>$I367&lt;&gt;"Ativo"</formula>
    </cfRule>
    <cfRule type="expression" dxfId="1510" priority="1532">
      <formula>$B367="x"</formula>
    </cfRule>
  </conditionalFormatting>
  <conditionalFormatting sqref="V368:X368">
    <cfRule type="expression" dxfId="1509" priority="1529">
      <formula>$G368&lt;&gt;"Ativo"</formula>
    </cfRule>
    <cfRule type="expression" dxfId="1508" priority="1530">
      <formula>$B368="x"</formula>
    </cfRule>
  </conditionalFormatting>
  <conditionalFormatting sqref="D368:AQ368">
    <cfRule type="expression" dxfId="1507" priority="1527">
      <formula>$I368&lt;&gt;"Ativo"</formula>
    </cfRule>
    <cfRule type="expression" dxfId="1506" priority="1528">
      <formula>$B368="x"</formula>
    </cfRule>
  </conditionalFormatting>
  <conditionalFormatting sqref="V369:X369">
    <cfRule type="expression" dxfId="1505" priority="1525">
      <formula>$G369&lt;&gt;"Ativo"</formula>
    </cfRule>
    <cfRule type="expression" dxfId="1504" priority="1526">
      <formula>$B369="x"</formula>
    </cfRule>
  </conditionalFormatting>
  <conditionalFormatting sqref="D369:G369 I369:J369 Q369:AQ369">
    <cfRule type="expression" dxfId="1503" priority="1523">
      <formula>$I369&lt;&gt;"Ativo"</formula>
    </cfRule>
    <cfRule type="expression" dxfId="1502" priority="1524">
      <formula>$B369="x"</formula>
    </cfRule>
  </conditionalFormatting>
  <conditionalFormatting sqref="K369:P369">
    <cfRule type="expression" dxfId="1501" priority="1521">
      <formula>$I369&lt;&gt;"Ativo"</formula>
    </cfRule>
    <cfRule type="expression" dxfId="1500" priority="1522">
      <formula>$B369="x"</formula>
    </cfRule>
  </conditionalFormatting>
  <conditionalFormatting sqref="H369">
    <cfRule type="expression" dxfId="1499" priority="1519">
      <formula>$I369&lt;&gt;"Ativo"</formula>
    </cfRule>
    <cfRule type="expression" dxfId="1498" priority="1520">
      <formula>$B369="x"</formula>
    </cfRule>
  </conditionalFormatting>
  <conditionalFormatting sqref="H369">
    <cfRule type="expression" dxfId="1497" priority="1517">
      <formula>$I369&lt;&gt;"Ativo"</formula>
    </cfRule>
    <cfRule type="expression" dxfId="1496" priority="1518">
      <formula>$B369="x"</formula>
    </cfRule>
  </conditionalFormatting>
  <conditionalFormatting sqref="Y369">
    <cfRule type="expression" dxfId="1495" priority="1515">
      <formula>$I369&lt;&gt;"Ativo"</formula>
    </cfRule>
    <cfRule type="expression" dxfId="1494" priority="1516">
      <formula>$B369="x"</formula>
    </cfRule>
  </conditionalFormatting>
  <conditionalFormatting sqref="V370:X370">
    <cfRule type="expression" dxfId="1493" priority="1513">
      <formula>$G370&lt;&gt;"Ativo"</formula>
    </cfRule>
    <cfRule type="expression" dxfId="1492" priority="1514">
      <formula>$B370="x"</formula>
    </cfRule>
  </conditionalFormatting>
  <conditionalFormatting sqref="D370:G370 I370:J370 Q370:AQ370">
    <cfRule type="expression" dxfId="1491" priority="1511">
      <formula>$I370&lt;&gt;"Ativo"</formula>
    </cfRule>
    <cfRule type="expression" dxfId="1490" priority="1512">
      <formula>$B370="x"</formula>
    </cfRule>
  </conditionalFormatting>
  <conditionalFormatting sqref="K370:P370">
    <cfRule type="expression" dxfId="1489" priority="1509">
      <formula>$I370&lt;&gt;"Ativo"</formula>
    </cfRule>
    <cfRule type="expression" dxfId="1488" priority="1510">
      <formula>$B370="x"</formula>
    </cfRule>
  </conditionalFormatting>
  <conditionalFormatting sqref="H370">
    <cfRule type="expression" dxfId="1487" priority="1507">
      <formula>$I370&lt;&gt;"Ativo"</formula>
    </cfRule>
    <cfRule type="expression" dxfId="1486" priority="1508">
      <formula>$B370="x"</formula>
    </cfRule>
  </conditionalFormatting>
  <conditionalFormatting sqref="H370">
    <cfRule type="expression" dxfId="1485" priority="1505">
      <formula>$I370&lt;&gt;"Ativo"</formula>
    </cfRule>
    <cfRule type="expression" dxfId="1484" priority="1506">
      <formula>$B370="x"</formula>
    </cfRule>
  </conditionalFormatting>
  <conditionalFormatting sqref="Y370">
    <cfRule type="expression" dxfId="1483" priority="1503">
      <formula>$I370&lt;&gt;"Ativo"</formula>
    </cfRule>
    <cfRule type="expression" dxfId="1482" priority="1504">
      <formula>$B370="x"</formula>
    </cfRule>
  </conditionalFormatting>
  <conditionalFormatting sqref="D371:AE383 AM371:AM383 AH371:AH383 D387:AH387 D390:AH390 D406:AL407 D403:AQ405 AT403:AT405 AO402 D394:AL402 D408:AQ410 D411:AC417 AE411:AQ412 AE413:AI417 AG418:AM418 AP418 AQ422:AQ433">
    <cfRule type="expression" dxfId="1481" priority="1501">
      <formula>$I371&lt;&gt;"Ativo"</formula>
    </cfRule>
    <cfRule type="expression" dxfId="1480" priority="1502">
      <formula>$B371="x"</formula>
    </cfRule>
  </conditionalFormatting>
  <conditionalFormatting sqref="V387:X387 V371:X383 V390:X390 V394:X417">
    <cfRule type="expression" dxfId="1479" priority="1499">
      <formula>$G371&lt;&gt;"Ativo"</formula>
    </cfRule>
    <cfRule type="expression" dxfId="1478" priority="1500">
      <formula>$B371="x"</formula>
    </cfRule>
  </conditionalFormatting>
  <conditionalFormatting sqref="AI387:AL387 AI390:AL390">
    <cfRule type="expression" dxfId="1477" priority="1497">
      <formula>$I387&lt;&gt;"Ativo"</formula>
    </cfRule>
    <cfRule type="expression" dxfId="1476" priority="1498">
      <formula>$B387="x"</formula>
    </cfRule>
  </conditionalFormatting>
  <conditionalFormatting sqref="R371 T371 K371:P371 D372:AC374 D375:G375 I375:AC375 R377 T377 K377:P377 D377:F377 D380:I380 K380:AE380 D378:AE379 D376:AE376 AD372:AE375 AM378:AM380 AM372:AM376 AH378:AH380 AH372:AH376">
    <cfRule type="expression" dxfId="1475" priority="1495">
      <formula>$I371&lt;&gt;"Ativo"</formula>
    </cfRule>
    <cfRule type="expression" dxfId="1474" priority="1496">
      <formula>$B371="x"</formula>
    </cfRule>
  </conditionalFormatting>
  <conditionalFormatting sqref="X371">
    <cfRule type="expression" dxfId="1473" priority="1493">
      <formula>$G371&lt;&gt;"Ativo"</formula>
    </cfRule>
    <cfRule type="expression" dxfId="1472" priority="1494">
      <formula>$B371="x"</formula>
    </cfRule>
  </conditionalFormatting>
  <conditionalFormatting sqref="D371:Q371 S371 U371 X371:AE371 AM371 AH371">
    <cfRule type="expression" dxfId="1471" priority="1491">
      <formula>$I371&lt;&gt;"Ativo"</formula>
    </cfRule>
    <cfRule type="expression" dxfId="1470" priority="1492">
      <formula>$B371="x"</formula>
    </cfRule>
  </conditionalFormatting>
  <conditionalFormatting sqref="V371:W371">
    <cfRule type="expression" dxfId="1469" priority="1489">
      <formula>$G371&lt;&gt;"Ativo"</formula>
    </cfRule>
    <cfRule type="expression" dxfId="1468" priority="1490">
      <formula>$B371="x"</formula>
    </cfRule>
  </conditionalFormatting>
  <conditionalFormatting sqref="V371:W371">
    <cfRule type="expression" dxfId="1467" priority="1487">
      <formula>$I371&lt;&gt;"Ativo"</formula>
    </cfRule>
    <cfRule type="expression" dxfId="1466" priority="1488">
      <formula>$B371="x"</formula>
    </cfRule>
  </conditionalFormatting>
  <conditionalFormatting sqref="V372:X376 V378:X380">
    <cfRule type="expression" dxfId="1465" priority="1485">
      <formula>$G372&lt;&gt;"Ativo"</formula>
    </cfRule>
    <cfRule type="expression" dxfId="1464" priority="1486">
      <formula>$B372="x"</formula>
    </cfRule>
  </conditionalFormatting>
  <conditionalFormatting sqref="K373:P373">
    <cfRule type="expression" dxfId="1463" priority="1483">
      <formula>$I373&lt;&gt;"Ativo"</formula>
    </cfRule>
    <cfRule type="expression" dxfId="1462" priority="1484">
      <formula>$B373="x"</formula>
    </cfRule>
  </conditionalFormatting>
  <conditionalFormatting sqref="K374:P374">
    <cfRule type="expression" dxfId="1461" priority="1481">
      <formula>$I374&lt;&gt;"Ativo"</formula>
    </cfRule>
    <cfRule type="expression" dxfId="1460" priority="1482">
      <formula>$B374="x"</formula>
    </cfRule>
  </conditionalFormatting>
  <conditionalFormatting sqref="H375">
    <cfRule type="expression" dxfId="1459" priority="1479">
      <formula>$I375&lt;&gt;"Ativo"</formula>
    </cfRule>
    <cfRule type="expression" dxfId="1458" priority="1480">
      <formula>$B375="x"</formula>
    </cfRule>
  </conditionalFormatting>
  <conditionalFormatting sqref="H375">
    <cfRule type="expression" dxfId="1457" priority="1477">
      <formula>$I375&lt;&gt;"Ativo"</formula>
    </cfRule>
    <cfRule type="expression" dxfId="1456" priority="1478">
      <formula>$B375="x"</formula>
    </cfRule>
  </conditionalFormatting>
  <conditionalFormatting sqref="H377">
    <cfRule type="expression" dxfId="1455" priority="1475">
      <formula>$I377&lt;&gt;"Ativo"</formula>
    </cfRule>
    <cfRule type="expression" dxfId="1454" priority="1476">
      <formula>$B377="x"</formula>
    </cfRule>
  </conditionalFormatting>
  <conditionalFormatting sqref="V377:X377">
    <cfRule type="expression" dxfId="1453" priority="1473">
      <formula>$G377&lt;&gt;"Ativo"</formula>
    </cfRule>
    <cfRule type="expression" dxfId="1452" priority="1474">
      <formula>$B377="x"</formula>
    </cfRule>
  </conditionalFormatting>
  <conditionalFormatting sqref="D377:G377 S377 Q377 I377:J377 U377:AE377 AM377 AH377">
    <cfRule type="expression" dxfId="1451" priority="1471">
      <formula>$I377&lt;&gt;"Ativo"</formula>
    </cfRule>
    <cfRule type="expression" dxfId="1450" priority="1472">
      <formula>$B377="x"</formula>
    </cfRule>
  </conditionalFormatting>
  <conditionalFormatting sqref="K377:P377">
    <cfRule type="expression" dxfId="1449" priority="1469">
      <formula>$I377&lt;&gt;"Ativo"</formula>
    </cfRule>
    <cfRule type="expression" dxfId="1448" priority="1470">
      <formula>$B377="x"</formula>
    </cfRule>
  </conditionalFormatting>
  <conditionalFormatting sqref="H377">
    <cfRule type="expression" dxfId="1447" priority="1467">
      <formula>$I377&lt;&gt;"Ativo"</formula>
    </cfRule>
    <cfRule type="expression" dxfId="1446" priority="1468">
      <formula>$B377="x"</formula>
    </cfRule>
  </conditionalFormatting>
  <conditionalFormatting sqref="J380">
    <cfRule type="expression" dxfId="1445" priority="1465">
      <formula>$I380&lt;&gt;"Ativo"</formula>
    </cfRule>
    <cfRule type="expression" dxfId="1444" priority="1466">
      <formula>$B380="x"</formula>
    </cfRule>
  </conditionalFormatting>
  <conditionalFormatting sqref="K380:M380">
    <cfRule type="expression" dxfId="1443" priority="1463">
      <formula>$I380&lt;&gt;"Ativo"</formula>
    </cfRule>
    <cfRule type="expression" dxfId="1442" priority="1464">
      <formula>$B380="x"</formula>
    </cfRule>
  </conditionalFormatting>
  <conditionalFormatting sqref="V381:X383">
    <cfRule type="expression" dxfId="1441" priority="1461">
      <formula>$G381&lt;&gt;"Ativo"</formula>
    </cfRule>
    <cfRule type="expression" dxfId="1440" priority="1462">
      <formula>$B381="x"</formula>
    </cfRule>
  </conditionalFormatting>
  <conditionalFormatting sqref="D381:AE383 AM381:AM383 AH381:AH383">
    <cfRule type="expression" dxfId="1439" priority="1459">
      <formula>$I381&lt;&gt;"Ativo"</formula>
    </cfRule>
    <cfRule type="expression" dxfId="1438" priority="1460">
      <formula>$B381="x"</formula>
    </cfRule>
  </conditionalFormatting>
  <conditionalFormatting sqref="C381:C383">
    <cfRule type="expression" dxfId="1437" priority="1457">
      <formula>$I381&lt;&gt;"Ativo"</formula>
    </cfRule>
    <cfRule type="expression" dxfId="1436" priority="1458">
      <formula>$B381="x"</formula>
    </cfRule>
  </conditionalFormatting>
  <conditionalFormatting sqref="C381:C383">
    <cfRule type="expression" dxfId="1435" priority="1455">
      <formula>$I381&lt;&gt;"Ativo"</formula>
    </cfRule>
    <cfRule type="expression" dxfId="1434" priority="1456">
      <formula>$B381="x"</formula>
    </cfRule>
  </conditionalFormatting>
  <conditionalFormatting sqref="H382">
    <cfRule type="expression" dxfId="1433" priority="1453">
      <formula>$I382&lt;&gt;"Ativo"</formula>
    </cfRule>
    <cfRule type="expression" dxfId="1432" priority="1454">
      <formula>$B382="x"</formula>
    </cfRule>
  </conditionalFormatting>
  <conditionalFormatting sqref="H382">
    <cfRule type="expression" dxfId="1431" priority="1451">
      <formula>$I382&lt;&gt;"Ativo"</formula>
    </cfRule>
    <cfRule type="expression" dxfId="1430" priority="1452">
      <formula>$B382="x"</formula>
    </cfRule>
  </conditionalFormatting>
  <conditionalFormatting sqref="H382">
    <cfRule type="expression" dxfId="1429" priority="1449">
      <formula>$I382&lt;&gt;"Ativo"</formula>
    </cfRule>
    <cfRule type="expression" dxfId="1428" priority="1450">
      <formula>$B382="x"</formula>
    </cfRule>
  </conditionalFormatting>
  <conditionalFormatting sqref="H382">
    <cfRule type="expression" dxfId="1427" priority="1447">
      <formula>$I382&lt;&gt;"Ativo"</formula>
    </cfRule>
    <cfRule type="expression" dxfId="1426" priority="1448">
      <formula>$B382="x"</formula>
    </cfRule>
  </conditionalFormatting>
  <conditionalFormatting sqref="H382">
    <cfRule type="expression" dxfId="1425" priority="1445">
      <formula>$I382&lt;&gt;"Ativo"</formula>
    </cfRule>
    <cfRule type="expression" dxfId="1424" priority="1446">
      <formula>$B382="x"</formula>
    </cfRule>
  </conditionalFormatting>
  <conditionalFormatting sqref="H383">
    <cfRule type="expression" dxfId="1423" priority="1443">
      <formula>$I383&lt;&gt;"Ativo"</formula>
    </cfRule>
    <cfRule type="expression" dxfId="1422" priority="1444">
      <formula>$B383="x"</formula>
    </cfRule>
  </conditionalFormatting>
  <conditionalFormatting sqref="H383">
    <cfRule type="expression" dxfId="1421" priority="1441">
      <formula>$I383&lt;&gt;"Ativo"</formula>
    </cfRule>
    <cfRule type="expression" dxfId="1420" priority="1442">
      <formula>$B383="x"</formula>
    </cfRule>
  </conditionalFormatting>
  <conditionalFormatting sqref="H383">
    <cfRule type="expression" dxfId="1419" priority="1439">
      <formula>$I383&lt;&gt;"Ativo"</formula>
    </cfRule>
    <cfRule type="expression" dxfId="1418" priority="1440">
      <formula>$B383="x"</formula>
    </cfRule>
  </conditionalFormatting>
  <conditionalFormatting sqref="H383">
    <cfRule type="expression" dxfId="1417" priority="1437">
      <formula>$I383&lt;&gt;"Ativo"</formula>
    </cfRule>
    <cfRule type="expression" dxfId="1416" priority="1438">
      <formula>$B383="x"</formula>
    </cfRule>
  </conditionalFormatting>
  <conditionalFormatting sqref="H383">
    <cfRule type="expression" dxfId="1415" priority="1435">
      <formula>$I383&lt;&gt;"Ativo"</formula>
    </cfRule>
    <cfRule type="expression" dxfId="1414" priority="1436">
      <formula>$B383="x"</formula>
    </cfRule>
  </conditionalFormatting>
  <conditionalFormatting sqref="V384:X384">
    <cfRule type="expression" dxfId="1413" priority="1433">
      <formula>$G384&lt;&gt;"Ativo"</formula>
    </cfRule>
    <cfRule type="expression" dxfId="1412" priority="1434">
      <formula>$B384="x"</formula>
    </cfRule>
  </conditionalFormatting>
  <conditionalFormatting sqref="D384:AE384 AM384">
    <cfRule type="expression" dxfId="1411" priority="1431">
      <formula>$I384&lt;&gt;"Ativo"</formula>
    </cfRule>
    <cfRule type="expression" dxfId="1410" priority="1432">
      <formula>$B384="x"</formula>
    </cfRule>
  </conditionalFormatting>
  <conditionalFormatting sqref="H384">
    <cfRule type="expression" dxfId="1409" priority="1429">
      <formula>$I384&lt;&gt;"Ativo"</formula>
    </cfRule>
    <cfRule type="expression" dxfId="1408" priority="1430">
      <formula>$B384="x"</formula>
    </cfRule>
  </conditionalFormatting>
  <conditionalFormatting sqref="H384">
    <cfRule type="expression" dxfId="1407" priority="1427">
      <formula>$I384&lt;&gt;"Ativo"</formula>
    </cfRule>
    <cfRule type="expression" dxfId="1406" priority="1428">
      <formula>$B384="x"</formula>
    </cfRule>
  </conditionalFormatting>
  <conditionalFormatting sqref="H384">
    <cfRule type="expression" dxfId="1405" priority="1425">
      <formula>$I384&lt;&gt;"Ativo"</formula>
    </cfRule>
    <cfRule type="expression" dxfId="1404" priority="1426">
      <formula>$B384="x"</formula>
    </cfRule>
  </conditionalFormatting>
  <conditionalFormatting sqref="H384">
    <cfRule type="expression" dxfId="1403" priority="1423">
      <formula>$I384&lt;&gt;"Ativo"</formula>
    </cfRule>
    <cfRule type="expression" dxfId="1402" priority="1424">
      <formula>$B384="x"</formula>
    </cfRule>
  </conditionalFormatting>
  <conditionalFormatting sqref="H384">
    <cfRule type="expression" dxfId="1401" priority="1421">
      <formula>$I384&lt;&gt;"Ativo"</formula>
    </cfRule>
    <cfRule type="expression" dxfId="1400" priority="1422">
      <formula>$B384="x"</formula>
    </cfRule>
  </conditionalFormatting>
  <conditionalFormatting sqref="AH384">
    <cfRule type="expression" dxfId="1399" priority="1419">
      <formula>$I384&lt;&gt;"Ativo"</formula>
    </cfRule>
    <cfRule type="expression" dxfId="1398" priority="1420">
      <formula>$B384="x"</formula>
    </cfRule>
  </conditionalFormatting>
  <conditionalFormatting sqref="AG371:AG384">
    <cfRule type="expression" dxfId="1397" priority="1417">
      <formula>$I371&lt;&gt;"Ativo"</formula>
    </cfRule>
    <cfRule type="expression" dxfId="1396" priority="1418">
      <formula>$B371="x"</formula>
    </cfRule>
  </conditionalFormatting>
  <conditionalFormatting sqref="AF371:AF383">
    <cfRule type="expression" dxfId="1395" priority="1415">
      <formula>$I371&lt;&gt;"Ativo"</formula>
    </cfRule>
    <cfRule type="expression" dxfId="1394" priority="1416">
      <formula>$B371="x"</formula>
    </cfRule>
  </conditionalFormatting>
  <conditionalFormatting sqref="AF372:AF376 AF378:AF380">
    <cfRule type="expression" dxfId="1393" priority="1413">
      <formula>$I372&lt;&gt;"Ativo"</formula>
    </cfRule>
    <cfRule type="expression" dxfId="1392" priority="1414">
      <formula>$B372="x"</formula>
    </cfRule>
  </conditionalFormatting>
  <conditionalFormatting sqref="AF371">
    <cfRule type="expression" dxfId="1391" priority="1411">
      <formula>$I371&lt;&gt;"Ativo"</formula>
    </cfRule>
    <cfRule type="expression" dxfId="1390" priority="1412">
      <formula>$B371="x"</formula>
    </cfRule>
  </conditionalFormatting>
  <conditionalFormatting sqref="AF377">
    <cfRule type="expression" dxfId="1389" priority="1409">
      <formula>$I377&lt;&gt;"Ativo"</formula>
    </cfRule>
    <cfRule type="expression" dxfId="1388" priority="1410">
      <formula>$B377="x"</formula>
    </cfRule>
  </conditionalFormatting>
  <conditionalFormatting sqref="AF381:AF383">
    <cfRule type="expression" dxfId="1387" priority="1407">
      <formula>$I381&lt;&gt;"Ativo"</formula>
    </cfRule>
    <cfRule type="expression" dxfId="1386" priority="1408">
      <formula>$B381="x"</formula>
    </cfRule>
  </conditionalFormatting>
  <conditionalFormatting sqref="AF384">
    <cfRule type="expression" dxfId="1385" priority="1405">
      <formula>$I384&lt;&gt;"Ativo"</formula>
    </cfRule>
    <cfRule type="expression" dxfId="1384" priority="1406">
      <formula>$B384="x"</formula>
    </cfRule>
  </conditionalFormatting>
  <conditionalFormatting sqref="AI371:AI383">
    <cfRule type="expression" dxfId="1383" priority="1403">
      <formula>$I371&lt;&gt;"Ativo"</formula>
    </cfRule>
    <cfRule type="expression" dxfId="1382" priority="1404">
      <formula>$B371="x"</formula>
    </cfRule>
  </conditionalFormatting>
  <conditionalFormatting sqref="AI378:AI380 AI372:AI376">
    <cfRule type="expression" dxfId="1381" priority="1401">
      <formula>$I372&lt;&gt;"Ativo"</formula>
    </cfRule>
    <cfRule type="expression" dxfId="1380" priority="1402">
      <formula>$B372="x"</formula>
    </cfRule>
  </conditionalFormatting>
  <conditionalFormatting sqref="AI371">
    <cfRule type="expression" dxfId="1379" priority="1399">
      <formula>$I371&lt;&gt;"Ativo"</formula>
    </cfRule>
    <cfRule type="expression" dxfId="1378" priority="1400">
      <formula>$B371="x"</formula>
    </cfRule>
  </conditionalFormatting>
  <conditionalFormatting sqref="AI377">
    <cfRule type="expression" dxfId="1377" priority="1397">
      <formula>$I377&lt;&gt;"Ativo"</formula>
    </cfRule>
    <cfRule type="expression" dxfId="1376" priority="1398">
      <formula>$B377="x"</formula>
    </cfRule>
  </conditionalFormatting>
  <conditionalFormatting sqref="AI381:AI383">
    <cfRule type="expression" dxfId="1375" priority="1395">
      <formula>$I381&lt;&gt;"Ativo"</formula>
    </cfRule>
    <cfRule type="expression" dxfId="1374" priority="1396">
      <formula>$B381="x"</formula>
    </cfRule>
  </conditionalFormatting>
  <conditionalFormatting sqref="AI384">
    <cfRule type="expression" dxfId="1373" priority="1393">
      <formula>$I384&lt;&gt;"Ativo"</formula>
    </cfRule>
    <cfRule type="expression" dxfId="1372" priority="1394">
      <formula>$B384="x"</formula>
    </cfRule>
  </conditionalFormatting>
  <conditionalFormatting sqref="AH384">
    <cfRule type="expression" dxfId="1371" priority="1391">
      <formula>$I384&lt;&gt;"Ativo"</formula>
    </cfRule>
    <cfRule type="expression" dxfId="1370" priority="1392">
      <formula>$B384="x"</formula>
    </cfRule>
  </conditionalFormatting>
  <conditionalFormatting sqref="AJ371:AJ383">
    <cfRule type="expression" dxfId="1369" priority="1389">
      <formula>$I371&lt;&gt;"Ativo"</formula>
    </cfRule>
    <cfRule type="expression" dxfId="1368" priority="1390">
      <formula>$B371="x"</formula>
    </cfRule>
  </conditionalFormatting>
  <conditionalFormatting sqref="AJ378:AJ380 AJ372:AJ376">
    <cfRule type="expression" dxfId="1367" priority="1387">
      <formula>$I372&lt;&gt;"Ativo"</formula>
    </cfRule>
    <cfRule type="expression" dxfId="1366" priority="1388">
      <formula>$B372="x"</formula>
    </cfRule>
  </conditionalFormatting>
  <conditionalFormatting sqref="AJ371">
    <cfRule type="expression" dxfId="1365" priority="1385">
      <formula>$I371&lt;&gt;"Ativo"</formula>
    </cfRule>
    <cfRule type="expression" dxfId="1364" priority="1386">
      <formula>$B371="x"</formula>
    </cfRule>
  </conditionalFormatting>
  <conditionalFormatting sqref="AJ377">
    <cfRule type="expression" dxfId="1363" priority="1383">
      <formula>$I377&lt;&gt;"Ativo"</formula>
    </cfRule>
    <cfRule type="expression" dxfId="1362" priority="1384">
      <formula>$B377="x"</formula>
    </cfRule>
  </conditionalFormatting>
  <conditionalFormatting sqref="AJ381:AJ383">
    <cfRule type="expression" dxfId="1361" priority="1381">
      <formula>$I381&lt;&gt;"Ativo"</formula>
    </cfRule>
    <cfRule type="expression" dxfId="1360" priority="1382">
      <formula>$B381="x"</formula>
    </cfRule>
  </conditionalFormatting>
  <conditionalFormatting sqref="AJ384">
    <cfRule type="expression" dxfId="1359" priority="1379">
      <formula>$I384&lt;&gt;"Ativo"</formula>
    </cfRule>
    <cfRule type="expression" dxfId="1358" priority="1380">
      <formula>$B384="x"</formula>
    </cfRule>
  </conditionalFormatting>
  <conditionalFormatting sqref="AK371:AK383">
    <cfRule type="expression" dxfId="1357" priority="1377">
      <formula>$I371&lt;&gt;"Ativo"</formula>
    </cfRule>
    <cfRule type="expression" dxfId="1356" priority="1378">
      <formula>$B371="x"</formula>
    </cfRule>
  </conditionalFormatting>
  <conditionalFormatting sqref="AK380 AK372:AK375">
    <cfRule type="expression" dxfId="1355" priority="1375">
      <formula>$I372&lt;&gt;"Ativo"</formula>
    </cfRule>
    <cfRule type="expression" dxfId="1354" priority="1376">
      <formula>$B372="x"</formula>
    </cfRule>
  </conditionalFormatting>
  <conditionalFormatting sqref="AK371">
    <cfRule type="expression" dxfId="1353" priority="1373">
      <formula>$I371&lt;&gt;"Ativo"</formula>
    </cfRule>
    <cfRule type="expression" dxfId="1352" priority="1374">
      <formula>$B371="x"</formula>
    </cfRule>
  </conditionalFormatting>
  <conditionalFormatting sqref="AK376:AK379">
    <cfRule type="expression" dxfId="1351" priority="1371">
      <formula>$I376&lt;&gt;"Ativo"</formula>
    </cfRule>
    <cfRule type="expression" dxfId="1350" priority="1372">
      <formula>$B376="x"</formula>
    </cfRule>
  </conditionalFormatting>
  <conditionalFormatting sqref="AK381:AK383">
    <cfRule type="expression" dxfId="1349" priority="1369">
      <formula>$I381&lt;&gt;"Ativo"</formula>
    </cfRule>
    <cfRule type="expression" dxfId="1348" priority="1370">
      <formula>$B381="x"</formula>
    </cfRule>
  </conditionalFormatting>
  <conditionalFormatting sqref="AK384">
    <cfRule type="expression" dxfId="1347" priority="1367">
      <formula>$I384&lt;&gt;"Ativo"</formula>
    </cfRule>
    <cfRule type="expression" dxfId="1346" priority="1368">
      <formula>$B384="x"</formula>
    </cfRule>
  </conditionalFormatting>
  <conditionalFormatting sqref="AL371:AL383">
    <cfRule type="expression" dxfId="1345" priority="1365">
      <formula>$I371&lt;&gt;"Ativo"</formula>
    </cfRule>
    <cfRule type="expression" dxfId="1344" priority="1366">
      <formula>$B371="x"</formula>
    </cfRule>
  </conditionalFormatting>
  <conditionalFormatting sqref="AL378:AL380 AL372:AL376">
    <cfRule type="expression" dxfId="1343" priority="1363">
      <formula>$I372&lt;&gt;"Ativo"</formula>
    </cfRule>
    <cfRule type="expression" dxfId="1342" priority="1364">
      <formula>$B372="x"</formula>
    </cfRule>
  </conditionalFormatting>
  <conditionalFormatting sqref="AL371">
    <cfRule type="expression" dxfId="1341" priority="1361">
      <formula>$I371&lt;&gt;"Ativo"</formula>
    </cfRule>
    <cfRule type="expression" dxfId="1340" priority="1362">
      <formula>$B371="x"</formula>
    </cfRule>
  </conditionalFormatting>
  <conditionalFormatting sqref="AL377">
    <cfRule type="expression" dxfId="1339" priority="1359">
      <formula>$I377&lt;&gt;"Ativo"</formula>
    </cfRule>
    <cfRule type="expression" dxfId="1338" priority="1360">
      <formula>$B377="x"</formula>
    </cfRule>
  </conditionalFormatting>
  <conditionalFormatting sqref="AL381:AL383">
    <cfRule type="expression" dxfId="1337" priority="1357">
      <formula>$I381&lt;&gt;"Ativo"</formula>
    </cfRule>
    <cfRule type="expression" dxfId="1336" priority="1358">
      <formula>$B381="x"</formula>
    </cfRule>
  </conditionalFormatting>
  <conditionalFormatting sqref="AL384">
    <cfRule type="expression" dxfId="1335" priority="1355">
      <formula>$I384&lt;&gt;"Ativo"</formula>
    </cfRule>
    <cfRule type="expression" dxfId="1334" priority="1356">
      <formula>$B384="x"</formula>
    </cfRule>
  </conditionalFormatting>
  <conditionalFormatting sqref="AN372:AN376 AN378:AN380">
    <cfRule type="expression" dxfId="1333" priority="1353">
      <formula>$I372&lt;&gt;"Ativo"</formula>
    </cfRule>
    <cfRule type="expression" dxfId="1332" priority="1354">
      <formula>$B372="x"</formula>
    </cfRule>
  </conditionalFormatting>
  <conditionalFormatting sqref="AN371">
    <cfRule type="expression" dxfId="1331" priority="1351">
      <formula>$I371&lt;&gt;"Ativo"</formula>
    </cfRule>
    <cfRule type="expression" dxfId="1330" priority="1352">
      <formula>$B371="x"</formula>
    </cfRule>
  </conditionalFormatting>
  <conditionalFormatting sqref="AN377">
    <cfRule type="expression" dxfId="1329" priority="1349">
      <formula>$I377&lt;&gt;"Ativo"</formula>
    </cfRule>
    <cfRule type="expression" dxfId="1328" priority="1350">
      <formula>$B377="x"</formula>
    </cfRule>
  </conditionalFormatting>
  <conditionalFormatting sqref="AN381:AN383">
    <cfRule type="expression" dxfId="1327" priority="1347">
      <formula>$I381&lt;&gt;"Ativo"</formula>
    </cfRule>
    <cfRule type="expression" dxfId="1326" priority="1348">
      <formula>$B381="x"</formula>
    </cfRule>
  </conditionalFormatting>
  <conditionalFormatting sqref="AN384">
    <cfRule type="expression" dxfId="1325" priority="1345">
      <formula>$I384&lt;&gt;"Ativo"</formula>
    </cfRule>
    <cfRule type="expression" dxfId="1324" priority="1346">
      <formula>$B384="x"</formula>
    </cfRule>
  </conditionalFormatting>
  <conditionalFormatting sqref="AP378:AP380 AP372:AP376">
    <cfRule type="expression" dxfId="1323" priority="1343">
      <formula>$I372&lt;&gt;"Ativo"</formula>
    </cfRule>
    <cfRule type="expression" dxfId="1322" priority="1344">
      <formula>$B372="x"</formula>
    </cfRule>
  </conditionalFormatting>
  <conditionalFormatting sqref="AP371">
    <cfRule type="expression" dxfId="1321" priority="1341">
      <formula>$I371&lt;&gt;"Ativo"</formula>
    </cfRule>
    <cfRule type="expression" dxfId="1320" priority="1342">
      <formula>$B371="x"</formula>
    </cfRule>
  </conditionalFormatting>
  <conditionalFormatting sqref="AP377">
    <cfRule type="expression" dxfId="1319" priority="1339">
      <formula>$I377&lt;&gt;"Ativo"</formula>
    </cfRule>
    <cfRule type="expression" dxfId="1318" priority="1340">
      <formula>$B377="x"</formula>
    </cfRule>
  </conditionalFormatting>
  <conditionalFormatting sqref="AP381:AP383">
    <cfRule type="expression" dxfId="1317" priority="1337">
      <formula>$I381&lt;&gt;"Ativo"</formula>
    </cfRule>
    <cfRule type="expression" dxfId="1316" priority="1338">
      <formula>$B381="x"</formula>
    </cfRule>
  </conditionalFormatting>
  <conditionalFormatting sqref="AP384">
    <cfRule type="expression" dxfId="1315" priority="1335">
      <formula>$I384&lt;&gt;"Ativo"</formula>
    </cfRule>
    <cfRule type="expression" dxfId="1314" priority="1336">
      <formula>$B384="x"</formula>
    </cfRule>
  </conditionalFormatting>
  <conditionalFormatting sqref="AQ378:AQ380 AQ372:AQ376">
    <cfRule type="expression" dxfId="1313" priority="1333">
      <formula>$I372&lt;&gt;"Ativo"</formula>
    </cfRule>
    <cfRule type="expression" dxfId="1312" priority="1334">
      <formula>$B372="x"</formula>
    </cfRule>
  </conditionalFormatting>
  <conditionalFormatting sqref="AQ371">
    <cfRule type="expression" dxfId="1311" priority="1331">
      <formula>$I371&lt;&gt;"Ativo"</formula>
    </cfRule>
    <cfRule type="expression" dxfId="1310" priority="1332">
      <formula>$B371="x"</formula>
    </cfRule>
  </conditionalFormatting>
  <conditionalFormatting sqref="AQ377">
    <cfRule type="expression" dxfId="1309" priority="1329">
      <formula>$I377&lt;&gt;"Ativo"</formula>
    </cfRule>
    <cfRule type="expression" dxfId="1308" priority="1330">
      <formula>$B377="x"</formula>
    </cfRule>
  </conditionalFormatting>
  <conditionalFormatting sqref="AQ381:AQ383">
    <cfRule type="expression" dxfId="1307" priority="1327">
      <formula>$I381&lt;&gt;"Ativo"</formula>
    </cfRule>
    <cfRule type="expression" dxfId="1306" priority="1328">
      <formula>$B381="x"</formula>
    </cfRule>
  </conditionalFormatting>
  <conditionalFormatting sqref="AQ384">
    <cfRule type="expression" dxfId="1305" priority="1325">
      <formula>$I384&lt;&gt;"Ativo"</formula>
    </cfRule>
    <cfRule type="expression" dxfId="1304" priority="1326">
      <formula>$B384="x"</formula>
    </cfRule>
  </conditionalFormatting>
  <conditionalFormatting sqref="AO378:AO380 AO372:AO376">
    <cfRule type="expression" dxfId="1303" priority="1323">
      <formula>$I372&lt;&gt;"Ativo"</formula>
    </cfRule>
    <cfRule type="expression" dxfId="1302" priority="1324">
      <formula>$B372="x"</formula>
    </cfRule>
  </conditionalFormatting>
  <conditionalFormatting sqref="AO371">
    <cfRule type="expression" dxfId="1301" priority="1321">
      <formula>$I371&lt;&gt;"Ativo"</formula>
    </cfRule>
    <cfRule type="expression" dxfId="1300" priority="1322">
      <formula>$B371="x"</formula>
    </cfRule>
  </conditionalFormatting>
  <conditionalFormatting sqref="AO377">
    <cfRule type="expression" dxfId="1299" priority="1319">
      <formula>$I377&lt;&gt;"Ativo"</formula>
    </cfRule>
    <cfRule type="expression" dxfId="1298" priority="1320">
      <formula>$B377="x"</formula>
    </cfRule>
  </conditionalFormatting>
  <conditionalFormatting sqref="AO381:AO383">
    <cfRule type="expression" dxfId="1297" priority="1317">
      <formula>$I381&lt;&gt;"Ativo"</formula>
    </cfRule>
    <cfRule type="expression" dxfId="1296" priority="1318">
      <formula>$B381="x"</formula>
    </cfRule>
  </conditionalFormatting>
  <conditionalFormatting sqref="AO384">
    <cfRule type="expression" dxfId="1295" priority="1315">
      <formula>$I384&lt;&gt;"Ativo"</formula>
    </cfRule>
    <cfRule type="expression" dxfId="1294" priority="1316">
      <formula>$B384="x"</formula>
    </cfRule>
  </conditionalFormatting>
  <conditionalFormatting sqref="K385:P385 I385">
    <cfRule type="expression" dxfId="1293" priority="1313">
      <formula>$I385&lt;&gt;"Ativo"</formula>
    </cfRule>
    <cfRule type="expression" dxfId="1292" priority="1314">
      <formula>$B385="x"</formula>
    </cfRule>
  </conditionalFormatting>
  <conditionalFormatting sqref="V385:X385">
    <cfRule type="expression" dxfId="1291" priority="1311">
      <formula>$G385&lt;&gt;"Ativo"</formula>
    </cfRule>
    <cfRule type="expression" dxfId="1290" priority="1312">
      <formula>$B385="x"</formula>
    </cfRule>
  </conditionalFormatting>
  <conditionalFormatting sqref="D385:AI385 AK385:AN385 AP385:AQ385">
    <cfRule type="expression" dxfId="1289" priority="1309">
      <formula>$I385&lt;&gt;"Ativo"</formula>
    </cfRule>
    <cfRule type="expression" dxfId="1288" priority="1310">
      <formula>$B385="x"</formula>
    </cfRule>
  </conditionalFormatting>
  <conditionalFormatting sqref="AH385">
    <cfRule type="expression" dxfId="1287" priority="1307">
      <formula>$I385&lt;&gt;"Ativo"</formula>
    </cfRule>
    <cfRule type="expression" dxfId="1286" priority="1308">
      <formula>$B385="x"</formula>
    </cfRule>
  </conditionalFormatting>
  <conditionalFormatting sqref="D386:G386 I386:AJ386 AL386:AO386 AQ386">
    <cfRule type="expression" dxfId="1285" priority="1305">
      <formula>$I386&lt;&gt;"Ativo"</formula>
    </cfRule>
    <cfRule type="expression" dxfId="1284" priority="1306">
      <formula>$B386="x"</formula>
    </cfRule>
  </conditionalFormatting>
  <conditionalFormatting sqref="K385">
    <cfRule type="expression" dxfId="1283" priority="1303">
      <formula>$I385&lt;&gt;"Ativo"</formula>
    </cfRule>
    <cfRule type="expression" dxfId="1282" priority="1304">
      <formula>$B385="x"</formula>
    </cfRule>
  </conditionalFormatting>
  <conditionalFormatting sqref="L385">
    <cfRule type="expression" dxfId="1281" priority="1301">
      <formula>$I385&lt;&gt;"Ativo"</formula>
    </cfRule>
    <cfRule type="expression" dxfId="1280" priority="1302">
      <formula>$B385="x"</formula>
    </cfRule>
  </conditionalFormatting>
  <conditionalFormatting sqref="M385">
    <cfRule type="expression" dxfId="1279" priority="1299">
      <formula>$I385&lt;&gt;"Ativo"</formula>
    </cfRule>
    <cfRule type="expression" dxfId="1278" priority="1300">
      <formula>$B385="x"</formula>
    </cfRule>
  </conditionalFormatting>
  <conditionalFormatting sqref="N385">
    <cfRule type="expression" dxfId="1277" priority="1297">
      <formula>$I385&lt;&gt;"Ativo"</formula>
    </cfRule>
    <cfRule type="expression" dxfId="1276" priority="1298">
      <formula>$B385="x"</formula>
    </cfRule>
  </conditionalFormatting>
  <conditionalFormatting sqref="O385:P385">
    <cfRule type="expression" dxfId="1275" priority="1295">
      <formula>$I385&lt;&gt;"Ativo"</formula>
    </cfRule>
    <cfRule type="expression" dxfId="1274" priority="1296">
      <formula>$B385="x"</formula>
    </cfRule>
  </conditionalFormatting>
  <conditionalFormatting sqref="H385">
    <cfRule type="expression" dxfId="1273" priority="1293">
      <formula>$I385&lt;&gt;"Ativo"</formula>
    </cfRule>
    <cfRule type="expression" dxfId="1272" priority="1294">
      <formula>$B385="x"</formula>
    </cfRule>
  </conditionalFormatting>
  <conditionalFormatting sqref="AE385">
    <cfRule type="expression" dxfId="1271" priority="1291">
      <formula>$I385&lt;&gt;"Ativo"</formula>
    </cfRule>
    <cfRule type="expression" dxfId="1270" priority="1292">
      <formula>$B385="x"</formula>
    </cfRule>
  </conditionalFormatting>
  <conditionalFormatting sqref="AJ385">
    <cfRule type="expression" dxfId="1269" priority="1289">
      <formula>$I385&lt;&gt;"Ativo"</formula>
    </cfRule>
    <cfRule type="expression" dxfId="1268" priority="1290">
      <formula>$B385="x"</formula>
    </cfRule>
  </conditionalFormatting>
  <conditionalFormatting sqref="AO385">
    <cfRule type="expression" dxfId="1267" priority="1287">
      <formula>$I385&lt;&gt;"Ativo"</formula>
    </cfRule>
    <cfRule type="expression" dxfId="1266" priority="1288">
      <formula>$B385="x"</formula>
    </cfRule>
  </conditionalFormatting>
  <conditionalFormatting sqref="V386:X386">
    <cfRule type="expression" dxfId="1265" priority="1285">
      <formula>$G386&lt;&gt;"Ativo"</formula>
    </cfRule>
    <cfRule type="expression" dxfId="1264" priority="1286">
      <formula>$B386="x"</formula>
    </cfRule>
  </conditionalFormatting>
  <conditionalFormatting sqref="K386:P386">
    <cfRule type="expression" dxfId="1263" priority="1283">
      <formula>$I386&lt;&gt;"Ativo"</formula>
    </cfRule>
    <cfRule type="expression" dxfId="1262" priority="1284">
      <formula>$B386="x"</formula>
    </cfRule>
  </conditionalFormatting>
  <conditionalFormatting sqref="H386">
    <cfRule type="expression" dxfId="1261" priority="1281">
      <formula>$I386&lt;&gt;"Ativo"</formula>
    </cfRule>
    <cfRule type="expression" dxfId="1260" priority="1282">
      <formula>$B386="x"</formula>
    </cfRule>
  </conditionalFormatting>
  <conditionalFormatting sqref="H386">
    <cfRule type="expression" dxfId="1259" priority="1279">
      <formula>$I386&lt;&gt;"Ativo"</formula>
    </cfRule>
    <cfRule type="expression" dxfId="1258" priority="1280">
      <formula>$B386="x"</formula>
    </cfRule>
  </conditionalFormatting>
  <conditionalFormatting sqref="H386">
    <cfRule type="expression" dxfId="1257" priority="1277">
      <formula>$I386&lt;&gt;"Ativo"</formula>
    </cfRule>
    <cfRule type="expression" dxfId="1256" priority="1278">
      <formula>$B386="x"</formula>
    </cfRule>
  </conditionalFormatting>
  <conditionalFormatting sqref="AK386">
    <cfRule type="expression" dxfId="1255" priority="1275">
      <formula>$I386&lt;&gt;"Ativo"</formula>
    </cfRule>
    <cfRule type="expression" dxfId="1254" priority="1276">
      <formula>$B386="x"</formula>
    </cfRule>
  </conditionalFormatting>
  <conditionalFormatting sqref="AP386">
    <cfRule type="expression" dxfId="1253" priority="1273">
      <formula>$I386&lt;&gt;"Ativo"</formula>
    </cfRule>
    <cfRule type="expression" dxfId="1252" priority="1274">
      <formula>$B386="x"</formula>
    </cfRule>
  </conditionalFormatting>
  <conditionalFormatting sqref="K387:P387 I387">
    <cfRule type="expression" dxfId="1251" priority="1271">
      <formula>$I387&lt;&gt;"Ativo"</formula>
    </cfRule>
    <cfRule type="expression" dxfId="1250" priority="1272">
      <formula>$B387="x"</formula>
    </cfRule>
  </conditionalFormatting>
  <conditionalFormatting sqref="V387:X387">
    <cfRule type="expression" dxfId="1249" priority="1269">
      <formula>$G387&lt;&gt;"Ativo"</formula>
    </cfRule>
    <cfRule type="expression" dxfId="1248" priority="1270">
      <formula>$B387="x"</formula>
    </cfRule>
  </conditionalFormatting>
  <conditionalFormatting sqref="AK387:AQ387 D387:AI387">
    <cfRule type="expression" dxfId="1247" priority="1267">
      <formula>$I387&lt;&gt;"Ativo"</formula>
    </cfRule>
    <cfRule type="expression" dxfId="1246" priority="1268">
      <formula>$B387="x"</formula>
    </cfRule>
  </conditionalFormatting>
  <conditionalFormatting sqref="AE387">
    <cfRule type="expression" dxfId="1245" priority="1265">
      <formula>$I387&lt;&gt;"Ativo"</formula>
    </cfRule>
    <cfRule type="expression" dxfId="1244" priority="1266">
      <formula>$B387="x"</formula>
    </cfRule>
  </conditionalFormatting>
  <conditionalFormatting sqref="AJ387">
    <cfRule type="expression" dxfId="1243" priority="1263">
      <formula>$I387&lt;&gt;"Ativo"</formula>
    </cfRule>
    <cfRule type="expression" dxfId="1242" priority="1264">
      <formula>$B387="x"</formula>
    </cfRule>
  </conditionalFormatting>
  <conditionalFormatting sqref="K387">
    <cfRule type="expression" dxfId="1241" priority="1261">
      <formula>$I387&lt;&gt;"Ativo"</formula>
    </cfRule>
    <cfRule type="expression" dxfId="1240" priority="1262">
      <formula>$B387="x"</formula>
    </cfRule>
  </conditionalFormatting>
  <conditionalFormatting sqref="L387">
    <cfRule type="expression" dxfId="1239" priority="1259">
      <formula>$I387&lt;&gt;"Ativo"</formula>
    </cfRule>
    <cfRule type="expression" dxfId="1238" priority="1260">
      <formula>$B387="x"</formula>
    </cfRule>
  </conditionalFormatting>
  <conditionalFormatting sqref="M387">
    <cfRule type="expression" dxfId="1237" priority="1257">
      <formula>$I387&lt;&gt;"Ativo"</formula>
    </cfRule>
    <cfRule type="expression" dxfId="1236" priority="1258">
      <formula>$B387="x"</formula>
    </cfRule>
  </conditionalFormatting>
  <conditionalFormatting sqref="N387">
    <cfRule type="expression" dxfId="1235" priority="1255">
      <formula>$I387&lt;&gt;"Ativo"</formula>
    </cfRule>
    <cfRule type="expression" dxfId="1234" priority="1256">
      <formula>$B387="x"</formula>
    </cfRule>
  </conditionalFormatting>
  <conditionalFormatting sqref="O387:P387">
    <cfRule type="expression" dxfId="1233" priority="1253">
      <formula>$I387&lt;&gt;"Ativo"</formula>
    </cfRule>
    <cfRule type="expression" dxfId="1232" priority="1254">
      <formula>$B387="x"</formula>
    </cfRule>
  </conditionalFormatting>
  <conditionalFormatting sqref="H387">
    <cfRule type="expression" dxfId="1231" priority="1251">
      <formula>$I387&lt;&gt;"Ativo"</formula>
    </cfRule>
    <cfRule type="expression" dxfId="1230" priority="1252">
      <formula>$B387="x"</formula>
    </cfRule>
  </conditionalFormatting>
  <conditionalFormatting sqref="C387">
    <cfRule type="expression" dxfId="1229" priority="1249">
      <formula>$I387&lt;&gt;"Ativo"</formula>
    </cfRule>
    <cfRule type="expression" dxfId="1228" priority="1250">
      <formula>$B387="x"</formula>
    </cfRule>
  </conditionalFormatting>
  <conditionalFormatting sqref="C387">
    <cfRule type="expression" dxfId="1227" priority="1247">
      <formula>$I387&lt;&gt;"Ativo"</formula>
    </cfRule>
    <cfRule type="expression" dxfId="1226" priority="1248">
      <formula>$B387="x"</formula>
    </cfRule>
  </conditionalFormatting>
  <conditionalFormatting sqref="V387:X387">
    <cfRule type="expression" dxfId="1225" priority="1245">
      <formula>$G387&lt;&gt;"Ativo"</formula>
    </cfRule>
    <cfRule type="expression" dxfId="1224" priority="1246">
      <formula>$B387="x"</formula>
    </cfRule>
  </conditionalFormatting>
  <conditionalFormatting sqref="V387:Y387">
    <cfRule type="expression" dxfId="1223" priority="1243">
      <formula>$I387&lt;&gt;"Ativo"</formula>
    </cfRule>
    <cfRule type="expression" dxfId="1222" priority="1244">
      <formula>$B387="x"</formula>
    </cfRule>
  </conditionalFormatting>
  <conditionalFormatting sqref="V388:X388">
    <cfRule type="expression" dxfId="1221" priority="1241">
      <formula>$G388&lt;&gt;"Ativo"</formula>
    </cfRule>
    <cfRule type="expression" dxfId="1220" priority="1242">
      <formula>$B388="x"</formula>
    </cfRule>
  </conditionalFormatting>
  <conditionalFormatting sqref="D388:G388 I388:AQ388">
    <cfRule type="expression" dxfId="1219" priority="1239">
      <formula>$I388&lt;&gt;"Ativo"</formula>
    </cfRule>
    <cfRule type="expression" dxfId="1218" priority="1240">
      <formula>$B388="x"</formula>
    </cfRule>
  </conditionalFormatting>
  <conditionalFormatting sqref="H388">
    <cfRule type="expression" dxfId="1217" priority="1237">
      <formula>$I388&lt;&gt;"Ativo"</formula>
    </cfRule>
    <cfRule type="expression" dxfId="1216" priority="1238">
      <formula>$B388="x"</formula>
    </cfRule>
  </conditionalFormatting>
  <conditionalFormatting sqref="H388">
    <cfRule type="expression" dxfId="1215" priority="1235">
      <formula>$I388&lt;&gt;"Ativo"</formula>
    </cfRule>
    <cfRule type="expression" dxfId="1214" priority="1236">
      <formula>$B388="x"</formula>
    </cfRule>
  </conditionalFormatting>
  <conditionalFormatting sqref="V389:X389">
    <cfRule type="expression" dxfId="1213" priority="1233">
      <formula>$G389&lt;&gt;"Ativo"</formula>
    </cfRule>
    <cfRule type="expression" dxfId="1212" priority="1234">
      <formula>$B389="x"</formula>
    </cfRule>
  </conditionalFormatting>
  <conditionalFormatting sqref="D389:AQ389">
    <cfRule type="expression" dxfId="1211" priority="1231">
      <formula>$I389&lt;&gt;"Ativo"</formula>
    </cfRule>
    <cfRule type="expression" dxfId="1210" priority="1232">
      <formula>$B389="x"</formula>
    </cfRule>
  </conditionalFormatting>
  <conditionalFormatting sqref="V390:X390">
    <cfRule type="expression" dxfId="1209" priority="1229">
      <formula>$G390&lt;&gt;"Ativo"</formula>
    </cfRule>
    <cfRule type="expression" dxfId="1208" priority="1230">
      <formula>$B390="x"</formula>
    </cfRule>
  </conditionalFormatting>
  <conditionalFormatting sqref="D390:AQ390">
    <cfRule type="expression" dxfId="1207" priority="1227">
      <formula>$I390&lt;&gt;"Ativo"</formula>
    </cfRule>
    <cfRule type="expression" dxfId="1206" priority="1228">
      <formula>$B390="x"</formula>
    </cfRule>
  </conditionalFormatting>
  <conditionalFormatting sqref="C390">
    <cfRule type="expression" dxfId="1205" priority="1225">
      <formula>$I390&lt;&gt;"Ativo"</formula>
    </cfRule>
    <cfRule type="expression" dxfId="1204" priority="1226">
      <formula>$B390="x"</formula>
    </cfRule>
  </conditionalFormatting>
  <conditionalFormatting sqref="C390">
    <cfRule type="expression" dxfId="1203" priority="1223">
      <formula>$I390&lt;&gt;"Ativo"</formula>
    </cfRule>
    <cfRule type="expression" dxfId="1202" priority="1224">
      <formula>$B390="x"</formula>
    </cfRule>
  </conditionalFormatting>
  <conditionalFormatting sqref="V390:X390">
    <cfRule type="expression" dxfId="1201" priority="1221">
      <formula>$G390&lt;&gt;"Ativo"</formula>
    </cfRule>
    <cfRule type="expression" dxfId="1200" priority="1222">
      <formula>$B390="x"</formula>
    </cfRule>
  </conditionalFormatting>
  <conditionalFormatting sqref="D390:AQ390">
    <cfRule type="expression" dxfId="1199" priority="1219">
      <formula>$I390&lt;&gt;"Ativo"</formula>
    </cfRule>
    <cfRule type="expression" dxfId="1198" priority="1220">
      <formula>$B390="x"</formula>
    </cfRule>
  </conditionalFormatting>
  <conditionalFormatting sqref="V391:X391">
    <cfRule type="expression" dxfId="1197" priority="1217">
      <formula>$G391&lt;&gt;"Ativo"</formula>
    </cfRule>
    <cfRule type="expression" dxfId="1196" priority="1218">
      <formula>$B391="x"</formula>
    </cfRule>
  </conditionalFormatting>
  <conditionalFormatting sqref="D391:G391 I391:AL391">
    <cfRule type="expression" dxfId="1195" priority="1215">
      <formula>$I391&lt;&gt;"Ativo"</formula>
    </cfRule>
    <cfRule type="expression" dxfId="1194" priority="1216">
      <formula>$B391="x"</formula>
    </cfRule>
  </conditionalFormatting>
  <conditionalFormatting sqref="K391:P391">
    <cfRule type="expression" dxfId="1193" priority="1213">
      <formula>$I391&lt;&gt;"Ativo"</formula>
    </cfRule>
    <cfRule type="expression" dxfId="1192" priority="1214">
      <formula>$B391="x"</formula>
    </cfRule>
  </conditionalFormatting>
  <conditionalFormatting sqref="H391">
    <cfRule type="expression" dxfId="1191" priority="1211">
      <formula>$I391&lt;&gt;"Ativo"</formula>
    </cfRule>
    <cfRule type="expression" dxfId="1190" priority="1212">
      <formula>$B391="x"</formula>
    </cfRule>
  </conditionalFormatting>
  <conditionalFormatting sqref="H391">
    <cfRule type="expression" dxfId="1189" priority="1209">
      <formula>$I391&lt;&gt;"Ativo"</formula>
    </cfRule>
    <cfRule type="expression" dxfId="1188" priority="1210">
      <formula>$B391="x"</formula>
    </cfRule>
  </conditionalFormatting>
  <conditionalFormatting sqref="K391:P391">
    <cfRule type="expression" dxfId="1187" priority="1207">
      <formula>$I391&lt;&gt;"Ativo"</formula>
    </cfRule>
    <cfRule type="expression" dxfId="1186" priority="1208">
      <formula>$B391="x"</formula>
    </cfRule>
  </conditionalFormatting>
  <conditionalFormatting sqref="K391:P391">
    <cfRule type="expression" dxfId="1185" priority="1205">
      <formula>$I391&lt;&gt;"Ativo"</formula>
    </cfRule>
    <cfRule type="expression" dxfId="1184" priority="1206">
      <formula>$B391="x"</formula>
    </cfRule>
  </conditionalFormatting>
  <conditionalFormatting sqref="K391:P391">
    <cfRule type="expression" dxfId="1183" priority="1203">
      <formula>$I391&lt;&gt;"Ativo"</formula>
    </cfRule>
    <cfRule type="expression" dxfId="1182" priority="1204">
      <formula>$B391="x"</formula>
    </cfRule>
  </conditionalFormatting>
  <conditionalFormatting sqref="K391:P391">
    <cfRule type="expression" dxfId="1181" priority="1201">
      <formula>$I391&lt;&gt;"Ativo"</formula>
    </cfRule>
    <cfRule type="expression" dxfId="1180" priority="1202">
      <formula>$B391="x"</formula>
    </cfRule>
  </conditionalFormatting>
  <conditionalFormatting sqref="K391">
    <cfRule type="expression" dxfId="1179" priority="1199">
      <formula>$I391&lt;&gt;"Ativo"</formula>
    </cfRule>
    <cfRule type="expression" dxfId="1178" priority="1200">
      <formula>$B391="x"</formula>
    </cfRule>
  </conditionalFormatting>
  <conditionalFormatting sqref="L391">
    <cfRule type="expression" dxfId="1177" priority="1197">
      <formula>$I391&lt;&gt;"Ativo"</formula>
    </cfRule>
    <cfRule type="expression" dxfId="1176" priority="1198">
      <formula>$B391="x"</formula>
    </cfRule>
  </conditionalFormatting>
  <conditionalFormatting sqref="M391">
    <cfRule type="expression" dxfId="1175" priority="1195">
      <formula>$I391&lt;&gt;"Ativo"</formula>
    </cfRule>
    <cfRule type="expression" dxfId="1174" priority="1196">
      <formula>$B391="x"</formula>
    </cfRule>
  </conditionalFormatting>
  <conditionalFormatting sqref="N391">
    <cfRule type="expression" dxfId="1173" priority="1193">
      <formula>$I391&lt;&gt;"Ativo"</formula>
    </cfRule>
    <cfRule type="expression" dxfId="1172" priority="1194">
      <formula>$B391="x"</formula>
    </cfRule>
  </conditionalFormatting>
  <conditionalFormatting sqref="O391:P391">
    <cfRule type="expression" dxfId="1171" priority="1191">
      <formula>$I391&lt;&gt;"Ativo"</formula>
    </cfRule>
    <cfRule type="expression" dxfId="1170" priority="1192">
      <formula>$B391="x"</formula>
    </cfRule>
  </conditionalFormatting>
  <conditionalFormatting sqref="H391">
    <cfRule type="expression" dxfId="1169" priority="1189">
      <formula>$I391&lt;&gt;"Ativo"</formula>
    </cfRule>
    <cfRule type="expression" dxfId="1168" priority="1190">
      <formula>$B391="x"</formula>
    </cfRule>
  </conditionalFormatting>
  <conditionalFormatting sqref="H391">
    <cfRule type="expression" dxfId="1167" priority="1187">
      <formula>$I391&lt;&gt;"Ativo"</formula>
    </cfRule>
    <cfRule type="expression" dxfId="1166" priority="1188">
      <formula>$B391="x"</formula>
    </cfRule>
  </conditionalFormatting>
  <conditionalFormatting sqref="H391">
    <cfRule type="expression" dxfId="1165" priority="1185">
      <formula>$I391&lt;&gt;"Ativo"</formula>
    </cfRule>
    <cfRule type="expression" dxfId="1164" priority="1186">
      <formula>$B391="x"</formula>
    </cfRule>
  </conditionalFormatting>
  <conditionalFormatting sqref="K392:P392">
    <cfRule type="expression" dxfId="1163" priority="1183">
      <formula>$I392&lt;&gt;"Ativo"</formula>
    </cfRule>
    <cfRule type="expression" dxfId="1162" priority="1184">
      <formula>$B392="x"</formula>
    </cfRule>
  </conditionalFormatting>
  <conditionalFormatting sqref="V392:X392">
    <cfRule type="expression" dxfId="1161" priority="1181">
      <formula>$G392&lt;&gt;"Ativo"</formula>
    </cfRule>
    <cfRule type="expression" dxfId="1160" priority="1182">
      <formula>$B392="x"</formula>
    </cfRule>
  </conditionalFormatting>
  <conditionalFormatting sqref="AK392:AL392 AH392 D392:AC392 AE392:AF392">
    <cfRule type="expression" dxfId="1159" priority="1179">
      <formula>$I392&lt;&gt;"Ativo"</formula>
    </cfRule>
    <cfRule type="expression" dxfId="1158" priority="1180">
      <formula>$B392="x"</formula>
    </cfRule>
  </conditionalFormatting>
  <conditionalFormatting sqref="D392:J392">
    <cfRule type="expression" dxfId="1157" priority="1177">
      <formula>$I392&lt;&gt;"Ativo"</formula>
    </cfRule>
    <cfRule type="expression" dxfId="1156" priority="1178">
      <formula>$B392="x"</formula>
    </cfRule>
  </conditionalFormatting>
  <conditionalFormatting sqref="F392">
    <cfRule type="expression" dxfId="1155" priority="1175">
      <formula>$I392&lt;&gt;"Ativo"</formula>
    </cfRule>
    <cfRule type="expression" dxfId="1154" priority="1176">
      <formula>$B392="x"</formula>
    </cfRule>
  </conditionalFormatting>
  <conditionalFormatting sqref="AD392">
    <cfRule type="expression" dxfId="1153" priority="1173">
      <formula>$I392&lt;&gt;"Ativo"</formula>
    </cfRule>
    <cfRule type="expression" dxfId="1152" priority="1174">
      <formula>$B392="x"</formula>
    </cfRule>
  </conditionalFormatting>
  <conditionalFormatting sqref="AG392">
    <cfRule type="expression" dxfId="1151" priority="1171">
      <formula>$I392&lt;&gt;"Ativo"</formula>
    </cfRule>
    <cfRule type="expression" dxfId="1150" priority="1172">
      <formula>$B392="x"</formula>
    </cfRule>
  </conditionalFormatting>
  <conditionalFormatting sqref="AI392">
    <cfRule type="expression" dxfId="1149" priority="1169">
      <formula>$I392&lt;&gt;"Ativo"</formula>
    </cfRule>
    <cfRule type="expression" dxfId="1148" priority="1170">
      <formula>$B392="x"</formula>
    </cfRule>
  </conditionalFormatting>
  <conditionalFormatting sqref="AJ392">
    <cfRule type="expression" dxfId="1147" priority="1167">
      <formula>$I392&lt;&gt;"Ativo"</formula>
    </cfRule>
    <cfRule type="expression" dxfId="1146" priority="1168">
      <formula>$B392="x"</formula>
    </cfRule>
  </conditionalFormatting>
  <conditionalFormatting sqref="V393:X393">
    <cfRule type="expression" dxfId="1145" priority="1165">
      <formula>$G393&lt;&gt;"Ativo"</formula>
    </cfRule>
    <cfRule type="expression" dxfId="1144" priority="1166">
      <formula>$B393="x"</formula>
    </cfRule>
  </conditionalFormatting>
  <conditionalFormatting sqref="D393:AL393">
    <cfRule type="expression" dxfId="1143" priority="1163">
      <formula>$I393&lt;&gt;"Ativo"</formula>
    </cfRule>
    <cfRule type="expression" dxfId="1142" priority="1164">
      <formula>$B393="x"</formula>
    </cfRule>
  </conditionalFormatting>
  <conditionalFormatting sqref="V391:X391 V393:X394 V396:X396 V398:X398 V400:X401 V406:X408">
    <cfRule type="expression" dxfId="1141" priority="1161">
      <formula>$G391&lt;&gt;"Ativo"</formula>
    </cfRule>
    <cfRule type="expression" dxfId="1140" priority="1162">
      <formula>$B391="x"</formula>
    </cfRule>
  </conditionalFormatting>
  <conditionalFormatting sqref="U392 Y392:AC392 C391:T392 U391:AC391 C393:AC394 Y395:AC395 C395:U395 D396:AC396 K397:P397 I397 AJ399 AE399 R399 T399 K399:P399 I399 G400 C400:E400 C401:G401 AM401:AQ401 I402:I405 T402:T405 R402:R405 D402:F405 K402:P405 C406:AQ407 C408:AK408 I400:AF401 AG401:AK401 AG400:AQ400 C398:AQ398 AD391:AQ396">
    <cfRule type="expression" dxfId="1139" priority="1159">
      <formula>$I391&lt;&gt;"Ativo"</formula>
    </cfRule>
    <cfRule type="expression" dxfId="1138" priority="1160">
      <formula>$B391="x"</formula>
    </cfRule>
  </conditionalFormatting>
  <conditionalFormatting sqref="V392:X392">
    <cfRule type="expression" dxfId="1137" priority="1157">
      <formula>$G392&lt;&gt;"Ativo"</formula>
    </cfRule>
    <cfRule type="expression" dxfId="1136" priority="1158">
      <formula>$B392="x"</formula>
    </cfRule>
  </conditionalFormatting>
  <conditionalFormatting sqref="V392:X392">
    <cfRule type="expression" dxfId="1135" priority="1155">
      <formula>$I392&lt;&gt;"Ativo"</formula>
    </cfRule>
    <cfRule type="expression" dxfId="1134" priority="1156">
      <formula>$B392="x"</formula>
    </cfRule>
  </conditionalFormatting>
  <conditionalFormatting sqref="V395:X395">
    <cfRule type="expression" dxfId="1133" priority="1153">
      <formula>$G395&lt;&gt;"Ativo"</formula>
    </cfRule>
    <cfRule type="expression" dxfId="1132" priority="1154">
      <formula>$B395="x"</formula>
    </cfRule>
  </conditionalFormatting>
  <conditionalFormatting sqref="V395:X395">
    <cfRule type="expression" dxfId="1131" priority="1151">
      <formula>$I395&lt;&gt;"Ativo"</formula>
    </cfRule>
    <cfRule type="expression" dxfId="1130" priority="1152">
      <formula>$B395="x"</formula>
    </cfRule>
  </conditionalFormatting>
  <conditionalFormatting sqref="K396:P396">
    <cfRule type="expression" dxfId="1129" priority="1149">
      <formula>$I396&lt;&gt;"Ativo"</formula>
    </cfRule>
    <cfRule type="expression" dxfId="1128" priority="1150">
      <formula>$B396="x"</formula>
    </cfRule>
  </conditionalFormatting>
  <conditionalFormatting sqref="C396 C399">
    <cfRule type="expression" dxfId="1127" priority="1147">
      <formula>$I396&lt;&gt;"Ativo"</formula>
    </cfRule>
    <cfRule type="expression" dxfId="1126" priority="1148">
      <formula>$B396="x"</formula>
    </cfRule>
  </conditionalFormatting>
  <conditionalFormatting sqref="C396 C399">
    <cfRule type="expression" dxfId="1125" priority="1145">
      <formula>$I396&lt;&gt;"Ativo"</formula>
    </cfRule>
    <cfRule type="expression" dxfId="1124" priority="1146">
      <formula>$B396="x"</formula>
    </cfRule>
  </conditionalFormatting>
  <conditionalFormatting sqref="V397:X397">
    <cfRule type="expression" dxfId="1123" priority="1143">
      <formula>$G397&lt;&gt;"Ativo"</formula>
    </cfRule>
    <cfRule type="expression" dxfId="1122" priority="1144">
      <formula>$B397="x"</formula>
    </cfRule>
  </conditionalFormatting>
  <conditionalFormatting sqref="D397:J397 Q397:AQ397">
    <cfRule type="expression" dxfId="1121" priority="1141">
      <formula>$I397&lt;&gt;"Ativo"</formula>
    </cfRule>
    <cfRule type="expression" dxfId="1120" priority="1142">
      <formula>$B397="x"</formula>
    </cfRule>
  </conditionalFormatting>
  <conditionalFormatting sqref="K397:P397">
    <cfRule type="expression" dxfId="1119" priority="1139">
      <formula>$I397&lt;&gt;"Ativo"</formula>
    </cfRule>
    <cfRule type="expression" dxfId="1118" priority="1140">
      <formula>$B397="x"</formula>
    </cfRule>
  </conditionalFormatting>
  <conditionalFormatting sqref="K397:P397">
    <cfRule type="expression" dxfId="1117" priority="1137">
      <formula>$I397&lt;&gt;"Ativo"</formula>
    </cfRule>
    <cfRule type="expression" dxfId="1116" priority="1138">
      <formula>$B397="x"</formula>
    </cfRule>
  </conditionalFormatting>
  <conditionalFormatting sqref="C397">
    <cfRule type="expression" dxfId="1115" priority="1135">
      <formula>$I397&lt;&gt;"Ativo"</formula>
    </cfRule>
    <cfRule type="expression" dxfId="1114" priority="1136">
      <formula>$B397="x"</formula>
    </cfRule>
  </conditionalFormatting>
  <conditionalFormatting sqref="C397">
    <cfRule type="expression" dxfId="1113" priority="1133">
      <formula>$I397&lt;&gt;"Ativo"</formula>
    </cfRule>
    <cfRule type="expression" dxfId="1112" priority="1134">
      <formula>$B397="x"</formula>
    </cfRule>
  </conditionalFormatting>
  <conditionalFormatting sqref="V399:X399">
    <cfRule type="expression" dxfId="1111" priority="1131">
      <formula>$G399&lt;&gt;"Ativo"</formula>
    </cfRule>
    <cfRule type="expression" dxfId="1110" priority="1132">
      <formula>$B399="x"</formula>
    </cfRule>
  </conditionalFormatting>
  <conditionalFormatting sqref="AK399:AQ399 D399:G399 S399 Q399 I399:J399 U399:AI399">
    <cfRule type="expression" dxfId="1109" priority="1129">
      <formula>$I399&lt;&gt;"Ativo"</formula>
    </cfRule>
    <cfRule type="expression" dxfId="1108" priority="1130">
      <formula>$B399="x"</formula>
    </cfRule>
  </conditionalFormatting>
  <conditionalFormatting sqref="K399:P399">
    <cfRule type="expression" dxfId="1107" priority="1127">
      <formula>$I399&lt;&gt;"Ativo"</formula>
    </cfRule>
    <cfRule type="expression" dxfId="1106" priority="1128">
      <formula>$B399="x"</formula>
    </cfRule>
  </conditionalFormatting>
  <conditionalFormatting sqref="H399">
    <cfRule type="expression" dxfId="1105" priority="1125">
      <formula>$I399&lt;&gt;"Ativo"</formula>
    </cfRule>
    <cfRule type="expression" dxfId="1104" priority="1126">
      <formula>$B399="x"</formula>
    </cfRule>
  </conditionalFormatting>
  <conditionalFormatting sqref="H399">
    <cfRule type="expression" dxfId="1103" priority="1123">
      <formula>$I399&lt;&gt;"Ativo"</formula>
    </cfRule>
    <cfRule type="expression" dxfId="1102" priority="1124">
      <formula>$B399="x"</formula>
    </cfRule>
  </conditionalFormatting>
  <conditionalFormatting sqref="K399:P399">
    <cfRule type="expression" dxfId="1101" priority="1121">
      <formula>$I399&lt;&gt;"Ativo"</formula>
    </cfRule>
    <cfRule type="expression" dxfId="1100" priority="1122">
      <formula>$B399="x"</formula>
    </cfRule>
  </conditionalFormatting>
  <conditionalFormatting sqref="K399">
    <cfRule type="expression" dxfId="1099" priority="1119">
      <formula>$I399&lt;&gt;"Ativo"</formula>
    </cfRule>
    <cfRule type="expression" dxfId="1098" priority="1120">
      <formula>$B399="x"</formula>
    </cfRule>
  </conditionalFormatting>
  <conditionalFormatting sqref="L399">
    <cfRule type="expression" dxfId="1097" priority="1117">
      <formula>$I399&lt;&gt;"Ativo"</formula>
    </cfRule>
    <cfRule type="expression" dxfId="1096" priority="1118">
      <formula>$B399="x"</formula>
    </cfRule>
  </conditionalFormatting>
  <conditionalFormatting sqref="M399">
    <cfRule type="expression" dxfId="1095" priority="1115">
      <formula>$I399&lt;&gt;"Ativo"</formula>
    </cfRule>
    <cfRule type="expression" dxfId="1094" priority="1116">
      <formula>$B399="x"</formula>
    </cfRule>
  </conditionalFormatting>
  <conditionalFormatting sqref="N399">
    <cfRule type="expression" dxfId="1093" priority="1113">
      <formula>$I399&lt;&gt;"Ativo"</formula>
    </cfRule>
    <cfRule type="expression" dxfId="1092" priority="1114">
      <formula>$B399="x"</formula>
    </cfRule>
  </conditionalFormatting>
  <conditionalFormatting sqref="O399:P399">
    <cfRule type="expression" dxfId="1091" priority="1111">
      <formula>$I399&lt;&gt;"Ativo"</formula>
    </cfRule>
    <cfRule type="expression" dxfId="1090" priority="1112">
      <formula>$B399="x"</formula>
    </cfRule>
  </conditionalFormatting>
  <conditionalFormatting sqref="H399">
    <cfRule type="expression" dxfId="1089" priority="1109">
      <formula>$I399&lt;&gt;"Ativo"</formula>
    </cfRule>
    <cfRule type="expression" dxfId="1088" priority="1110">
      <formula>$B399="x"</formula>
    </cfRule>
  </conditionalFormatting>
  <conditionalFormatting sqref="F400">
    <cfRule type="expression" dxfId="1087" priority="1107">
      <formula>$I400&lt;&gt;"Ativo"</formula>
    </cfRule>
    <cfRule type="expression" dxfId="1086" priority="1108">
      <formula>$B400="x"</formula>
    </cfRule>
  </conditionalFormatting>
  <conditionalFormatting sqref="K400:P400">
    <cfRule type="expression" dxfId="1085" priority="1105">
      <formula>$I400&lt;&gt;"Ativo"</formula>
    </cfRule>
    <cfRule type="expression" dxfId="1084" priority="1106">
      <formula>$B400="x"</formula>
    </cfRule>
  </conditionalFormatting>
  <conditionalFormatting sqref="H400">
    <cfRule type="expression" dxfId="1083" priority="1103">
      <formula>$I400&lt;&gt;"Ativo"</formula>
    </cfRule>
    <cfRule type="expression" dxfId="1082" priority="1104">
      <formula>$B400="x"</formula>
    </cfRule>
  </conditionalFormatting>
  <conditionalFormatting sqref="H400">
    <cfRule type="expression" dxfId="1081" priority="1101">
      <formula>$I400&lt;&gt;"Ativo"</formula>
    </cfRule>
    <cfRule type="expression" dxfId="1080" priority="1102">
      <formula>$B400="x"</formula>
    </cfRule>
  </conditionalFormatting>
  <conditionalFormatting sqref="K400:P400">
    <cfRule type="expression" dxfId="1079" priority="1099">
      <formula>$I400&lt;&gt;"Ativo"</formula>
    </cfRule>
    <cfRule type="expression" dxfId="1078" priority="1100">
      <formula>$B400="x"</formula>
    </cfRule>
  </conditionalFormatting>
  <conditionalFormatting sqref="K400:P400">
    <cfRule type="expression" dxfId="1077" priority="1097">
      <formula>$I400&lt;&gt;"Ativo"</formula>
    </cfRule>
    <cfRule type="expression" dxfId="1076" priority="1098">
      <formula>$B400="x"</formula>
    </cfRule>
  </conditionalFormatting>
  <conditionalFormatting sqref="K400">
    <cfRule type="expression" dxfId="1075" priority="1095">
      <formula>$I400&lt;&gt;"Ativo"</formula>
    </cfRule>
    <cfRule type="expression" dxfId="1074" priority="1096">
      <formula>$B400="x"</formula>
    </cfRule>
  </conditionalFormatting>
  <conditionalFormatting sqref="L400">
    <cfRule type="expression" dxfId="1073" priority="1093">
      <formula>$I400&lt;&gt;"Ativo"</formula>
    </cfRule>
    <cfRule type="expression" dxfId="1072" priority="1094">
      <formula>$B400="x"</formula>
    </cfRule>
  </conditionalFormatting>
  <conditionalFormatting sqref="M400">
    <cfRule type="expression" dxfId="1071" priority="1091">
      <formula>$I400&lt;&gt;"Ativo"</formula>
    </cfRule>
    <cfRule type="expression" dxfId="1070" priority="1092">
      <formula>$B400="x"</formula>
    </cfRule>
  </conditionalFormatting>
  <conditionalFormatting sqref="N400">
    <cfRule type="expression" dxfId="1069" priority="1089">
      <formula>$I400&lt;&gt;"Ativo"</formula>
    </cfRule>
    <cfRule type="expression" dxfId="1068" priority="1090">
      <formula>$B400="x"</formula>
    </cfRule>
  </conditionalFormatting>
  <conditionalFormatting sqref="O400:P400">
    <cfRule type="expression" dxfId="1067" priority="1087">
      <formula>$I400&lt;&gt;"Ativo"</formula>
    </cfRule>
    <cfRule type="expression" dxfId="1066" priority="1088">
      <formula>$B400="x"</formula>
    </cfRule>
  </conditionalFormatting>
  <conditionalFormatting sqref="H400">
    <cfRule type="expression" dxfId="1065" priority="1085">
      <formula>$I400&lt;&gt;"Ativo"</formula>
    </cfRule>
    <cfRule type="expression" dxfId="1064" priority="1086">
      <formula>$B400="x"</formula>
    </cfRule>
  </conditionalFormatting>
  <conditionalFormatting sqref="K401:P401">
    <cfRule type="expression" dxfId="1063" priority="1083">
      <formula>$I401&lt;&gt;"Ativo"</formula>
    </cfRule>
    <cfRule type="expression" dxfId="1062" priority="1084">
      <formula>$B401="x"</formula>
    </cfRule>
  </conditionalFormatting>
  <conditionalFormatting sqref="H401">
    <cfRule type="expression" dxfId="1061" priority="1081">
      <formula>$I401&lt;&gt;"Ativo"</formula>
    </cfRule>
    <cfRule type="expression" dxfId="1060" priority="1082">
      <formula>$B401="x"</formula>
    </cfRule>
  </conditionalFormatting>
  <conditionalFormatting sqref="H401">
    <cfRule type="expression" dxfId="1059" priority="1079">
      <formula>$I401&lt;&gt;"Ativo"</formula>
    </cfRule>
    <cfRule type="expression" dxfId="1058" priority="1080">
      <formula>$B401="x"</formula>
    </cfRule>
  </conditionalFormatting>
  <conditionalFormatting sqref="K401:P401">
    <cfRule type="expression" dxfId="1057" priority="1077">
      <formula>$I401&lt;&gt;"Ativo"</formula>
    </cfRule>
    <cfRule type="expression" dxfId="1056" priority="1078">
      <formula>$B401="x"</formula>
    </cfRule>
  </conditionalFormatting>
  <conditionalFormatting sqref="K401:P401">
    <cfRule type="expression" dxfId="1055" priority="1075">
      <formula>$I401&lt;&gt;"Ativo"</formula>
    </cfRule>
    <cfRule type="expression" dxfId="1054" priority="1076">
      <formula>$B401="x"</formula>
    </cfRule>
  </conditionalFormatting>
  <conditionalFormatting sqref="K401:P401">
    <cfRule type="expression" dxfId="1053" priority="1073">
      <formula>$I401&lt;&gt;"Ativo"</formula>
    </cfRule>
    <cfRule type="expression" dxfId="1052" priority="1074">
      <formula>$B401="x"</formula>
    </cfRule>
  </conditionalFormatting>
  <conditionalFormatting sqref="K401">
    <cfRule type="expression" dxfId="1051" priority="1071">
      <formula>$I401&lt;&gt;"Ativo"</formula>
    </cfRule>
    <cfRule type="expression" dxfId="1050" priority="1072">
      <formula>$B401="x"</formula>
    </cfRule>
  </conditionalFormatting>
  <conditionalFormatting sqref="L401">
    <cfRule type="expression" dxfId="1049" priority="1069">
      <formula>$I401&lt;&gt;"Ativo"</formula>
    </cfRule>
    <cfRule type="expression" dxfId="1048" priority="1070">
      <formula>$B401="x"</formula>
    </cfRule>
  </conditionalFormatting>
  <conditionalFormatting sqref="M401">
    <cfRule type="expression" dxfId="1047" priority="1067">
      <formula>$I401&lt;&gt;"Ativo"</formula>
    </cfRule>
    <cfRule type="expression" dxfId="1046" priority="1068">
      <formula>$B401="x"</formula>
    </cfRule>
  </conditionalFormatting>
  <conditionalFormatting sqref="N401">
    <cfRule type="expression" dxfId="1045" priority="1065">
      <formula>$I401&lt;&gt;"Ativo"</formula>
    </cfRule>
    <cfRule type="expression" dxfId="1044" priority="1066">
      <formula>$B401="x"</formula>
    </cfRule>
  </conditionalFormatting>
  <conditionalFormatting sqref="O401:P401">
    <cfRule type="expression" dxfId="1043" priority="1063">
      <formula>$I401&lt;&gt;"Ativo"</formula>
    </cfRule>
    <cfRule type="expression" dxfId="1042" priority="1064">
      <formula>$B401="x"</formula>
    </cfRule>
  </conditionalFormatting>
  <conditionalFormatting sqref="H401">
    <cfRule type="expression" dxfId="1041" priority="1061">
      <formula>$I401&lt;&gt;"Ativo"</formula>
    </cfRule>
    <cfRule type="expression" dxfId="1040" priority="1062">
      <formula>$B401="x"</formula>
    </cfRule>
  </conditionalFormatting>
  <conditionalFormatting sqref="H401">
    <cfRule type="expression" dxfId="1039" priority="1059">
      <formula>$I401&lt;&gt;"Ativo"</formula>
    </cfRule>
    <cfRule type="expression" dxfId="1038" priority="1060">
      <formula>$B401="x"</formula>
    </cfRule>
  </conditionalFormatting>
  <conditionalFormatting sqref="H401">
    <cfRule type="expression" dxfId="1037" priority="1057">
      <formula>$I401&lt;&gt;"Ativo"</formula>
    </cfRule>
    <cfRule type="expression" dxfId="1036" priority="1058">
      <formula>$B401="x"</formula>
    </cfRule>
  </conditionalFormatting>
  <conditionalFormatting sqref="AL401">
    <cfRule type="expression" dxfId="1035" priority="1055">
      <formula>$I401&lt;&gt;"Ativo"</formula>
    </cfRule>
    <cfRule type="expression" dxfId="1034" priority="1056">
      <formula>$B401="x"</formula>
    </cfRule>
  </conditionalFormatting>
  <conditionalFormatting sqref="V402:X402">
    <cfRule type="expression" dxfId="1033" priority="1053">
      <formula>$G402&lt;&gt;"Ativo"</formula>
    </cfRule>
    <cfRule type="expression" dxfId="1032" priority="1054">
      <formula>$B402="x"</formula>
    </cfRule>
  </conditionalFormatting>
  <conditionalFormatting sqref="D402:G402 S402 Q402 I402:J402 AL402:AN402 AP402:AQ402 U402:AJ402">
    <cfRule type="expression" dxfId="1031" priority="1051">
      <formula>$I402&lt;&gt;"Ativo"</formula>
    </cfRule>
    <cfRule type="expression" dxfId="1030" priority="1052">
      <formula>$B402="x"</formula>
    </cfRule>
  </conditionalFormatting>
  <conditionalFormatting sqref="K402:P402">
    <cfRule type="expression" dxfId="1029" priority="1049">
      <formula>$I402&lt;&gt;"Ativo"</formula>
    </cfRule>
    <cfRule type="expression" dxfId="1028" priority="1050">
      <formula>$B402="x"</formula>
    </cfRule>
  </conditionalFormatting>
  <conditionalFormatting sqref="H402">
    <cfRule type="expression" dxfId="1027" priority="1047">
      <formula>$I402&lt;&gt;"Ativo"</formula>
    </cfRule>
    <cfRule type="expression" dxfId="1026" priority="1048">
      <formula>$B402="x"</formula>
    </cfRule>
  </conditionalFormatting>
  <conditionalFormatting sqref="H402">
    <cfRule type="expression" dxfId="1025" priority="1045">
      <formula>$I402&lt;&gt;"Ativo"</formula>
    </cfRule>
    <cfRule type="expression" dxfId="1024" priority="1046">
      <formula>$B402="x"</formula>
    </cfRule>
  </conditionalFormatting>
  <conditionalFormatting sqref="K402:P402">
    <cfRule type="expression" dxfId="1023" priority="1043">
      <formula>$I402&lt;&gt;"Ativo"</formula>
    </cfRule>
    <cfRule type="expression" dxfId="1022" priority="1044">
      <formula>$B402="x"</formula>
    </cfRule>
  </conditionalFormatting>
  <conditionalFormatting sqref="K402:P402">
    <cfRule type="expression" dxfId="1021" priority="1041">
      <formula>$I402&lt;&gt;"Ativo"</formula>
    </cfRule>
    <cfRule type="expression" dxfId="1020" priority="1042">
      <formula>$B402="x"</formula>
    </cfRule>
  </conditionalFormatting>
  <conditionalFormatting sqref="K402:P402">
    <cfRule type="expression" dxfId="1019" priority="1039">
      <formula>$I402&lt;&gt;"Ativo"</formula>
    </cfRule>
    <cfRule type="expression" dxfId="1018" priority="1040">
      <formula>$B402="x"</formula>
    </cfRule>
  </conditionalFormatting>
  <conditionalFormatting sqref="K402:P402">
    <cfRule type="expression" dxfId="1017" priority="1037">
      <formula>$I402&lt;&gt;"Ativo"</formula>
    </cfRule>
    <cfRule type="expression" dxfId="1016" priority="1038">
      <formula>$B402="x"</formula>
    </cfRule>
  </conditionalFormatting>
  <conditionalFormatting sqref="K402:P402">
    <cfRule type="expression" dxfId="1015" priority="1035">
      <formula>$I402&lt;&gt;"Ativo"</formula>
    </cfRule>
    <cfRule type="expression" dxfId="1014" priority="1036">
      <formula>$B402="x"</formula>
    </cfRule>
  </conditionalFormatting>
  <conditionalFormatting sqref="K402:P402">
    <cfRule type="expression" dxfId="1013" priority="1033">
      <formula>$I402&lt;&gt;"Ativo"</formula>
    </cfRule>
    <cfRule type="expression" dxfId="1012" priority="1034">
      <formula>$B402="x"</formula>
    </cfRule>
  </conditionalFormatting>
  <conditionalFormatting sqref="K402:P402">
    <cfRule type="expression" dxfId="1011" priority="1031">
      <formula>$I402&lt;&gt;"Ativo"</formula>
    </cfRule>
    <cfRule type="expression" dxfId="1010" priority="1032">
      <formula>$B402="x"</formula>
    </cfRule>
  </conditionalFormatting>
  <conditionalFormatting sqref="K402:P402">
    <cfRule type="expression" dxfId="1009" priority="1029">
      <formula>$I402&lt;&gt;"Ativo"</formula>
    </cfRule>
    <cfRule type="expression" dxfId="1008" priority="1030">
      <formula>$B402="x"</formula>
    </cfRule>
  </conditionalFormatting>
  <conditionalFormatting sqref="K402:P402">
    <cfRule type="expression" dxfId="1007" priority="1027">
      <formula>$I402&lt;&gt;"Ativo"</formula>
    </cfRule>
    <cfRule type="expression" dxfId="1006" priority="1028">
      <formula>$B402="x"</formula>
    </cfRule>
  </conditionalFormatting>
  <conditionalFormatting sqref="K402">
    <cfRule type="expression" dxfId="1005" priority="1025">
      <formula>$I402&lt;&gt;"Ativo"</formula>
    </cfRule>
    <cfRule type="expression" dxfId="1004" priority="1026">
      <formula>$B402="x"</formula>
    </cfRule>
  </conditionalFormatting>
  <conditionalFormatting sqref="L402">
    <cfRule type="expression" dxfId="1003" priority="1023">
      <formula>$I402&lt;&gt;"Ativo"</formula>
    </cfRule>
    <cfRule type="expression" dxfId="1002" priority="1024">
      <formula>$B402="x"</formula>
    </cfRule>
  </conditionalFormatting>
  <conditionalFormatting sqref="M402">
    <cfRule type="expression" dxfId="1001" priority="1021">
      <formula>$I402&lt;&gt;"Ativo"</formula>
    </cfRule>
    <cfRule type="expression" dxfId="1000" priority="1022">
      <formula>$B402="x"</formula>
    </cfRule>
  </conditionalFormatting>
  <conditionalFormatting sqref="N402">
    <cfRule type="expression" dxfId="999" priority="1019">
      <formula>$I402&lt;&gt;"Ativo"</formula>
    </cfRule>
    <cfRule type="expression" dxfId="998" priority="1020">
      <formula>$B402="x"</formula>
    </cfRule>
  </conditionalFormatting>
  <conditionalFormatting sqref="O402:P402">
    <cfRule type="expression" dxfId="997" priority="1017">
      <formula>$I402&lt;&gt;"Ativo"</formula>
    </cfRule>
    <cfRule type="expression" dxfId="996" priority="1018">
      <formula>$B402="x"</formula>
    </cfRule>
  </conditionalFormatting>
  <conditionalFormatting sqref="H402">
    <cfRule type="expression" dxfId="995" priority="1015">
      <formula>$I402&lt;&gt;"Ativo"</formula>
    </cfRule>
    <cfRule type="expression" dxfId="994" priority="1016">
      <formula>$B402="x"</formula>
    </cfRule>
  </conditionalFormatting>
  <conditionalFormatting sqref="H402">
    <cfRule type="expression" dxfId="993" priority="1013">
      <formula>$I402&lt;&gt;"Ativo"</formula>
    </cfRule>
    <cfRule type="expression" dxfId="992" priority="1014">
      <formula>$B402="x"</formula>
    </cfRule>
  </conditionalFormatting>
  <conditionalFormatting sqref="H402">
    <cfRule type="expression" dxfId="991" priority="1011">
      <formula>$I402&lt;&gt;"Ativo"</formula>
    </cfRule>
    <cfRule type="expression" dxfId="990" priority="1012">
      <formula>$B402="x"</formula>
    </cfRule>
  </conditionalFormatting>
  <conditionalFormatting sqref="H402">
    <cfRule type="expression" dxfId="989" priority="1009">
      <formula>$I402&lt;&gt;"Ativo"</formula>
    </cfRule>
    <cfRule type="expression" dxfId="988" priority="1010">
      <formula>$B402="x"</formula>
    </cfRule>
  </conditionalFormatting>
  <conditionalFormatting sqref="H402">
    <cfRule type="expression" dxfId="987" priority="1007">
      <formula>$I402&lt;&gt;"Ativo"</formula>
    </cfRule>
    <cfRule type="expression" dxfId="986" priority="1008">
      <formula>$B402="x"</formula>
    </cfRule>
  </conditionalFormatting>
  <conditionalFormatting sqref="H402">
    <cfRule type="expression" dxfId="985" priority="1005">
      <formula>$I402&lt;&gt;"Ativo"</formula>
    </cfRule>
    <cfRule type="expression" dxfId="984" priority="1006">
      <formula>$B402="x"</formula>
    </cfRule>
  </conditionalFormatting>
  <conditionalFormatting sqref="C402">
    <cfRule type="expression" dxfId="983" priority="1003">
      <formula>$I402&lt;&gt;"Ativo"</formula>
    </cfRule>
    <cfRule type="expression" dxfId="982" priority="1004">
      <formula>$B402="x"</formula>
    </cfRule>
  </conditionalFormatting>
  <conditionalFormatting sqref="C402">
    <cfRule type="expression" dxfId="981" priority="1001">
      <formula>$I402&lt;&gt;"Ativo"</formula>
    </cfRule>
    <cfRule type="expression" dxfId="980" priority="1002">
      <formula>$B402="x"</formula>
    </cfRule>
  </conditionalFormatting>
  <conditionalFormatting sqref="V403:X405">
    <cfRule type="expression" dxfId="979" priority="999">
      <formula>$G403&lt;&gt;"Ativo"</formula>
    </cfRule>
    <cfRule type="expression" dxfId="978" priority="1000">
      <formula>$B403="x"</formula>
    </cfRule>
  </conditionalFormatting>
  <conditionalFormatting sqref="D403:G405 S403:S405 U403:AO405 Q403:Q405 I403:J405 AQ403:AS405 AU403:AV405">
    <cfRule type="expression" dxfId="977" priority="997">
      <formula>$I403&lt;&gt;"Ativo"</formula>
    </cfRule>
    <cfRule type="expression" dxfId="976" priority="998">
      <formula>$B403="x"</formula>
    </cfRule>
  </conditionalFormatting>
  <conditionalFormatting sqref="K403:P405">
    <cfRule type="expression" dxfId="975" priority="995">
      <formula>$I403&lt;&gt;"Ativo"</formula>
    </cfRule>
    <cfRule type="expression" dxfId="974" priority="996">
      <formula>$B403="x"</formula>
    </cfRule>
  </conditionalFormatting>
  <conditionalFormatting sqref="H403:H405">
    <cfRule type="expression" dxfId="973" priority="993">
      <formula>$I403&lt;&gt;"Ativo"</formula>
    </cfRule>
    <cfRule type="expression" dxfId="972" priority="994">
      <formula>$B403="x"</formula>
    </cfRule>
  </conditionalFormatting>
  <conditionalFormatting sqref="H403:H405">
    <cfRule type="expression" dxfId="971" priority="991">
      <formula>$I403&lt;&gt;"Ativo"</formula>
    </cfRule>
    <cfRule type="expression" dxfId="970" priority="992">
      <formula>$B403="x"</formula>
    </cfRule>
  </conditionalFormatting>
  <conditionalFormatting sqref="K403:P405">
    <cfRule type="expression" dxfId="969" priority="989">
      <formula>$I403&lt;&gt;"Ativo"</formula>
    </cfRule>
    <cfRule type="expression" dxfId="968" priority="990">
      <formula>$B403="x"</formula>
    </cfRule>
  </conditionalFormatting>
  <conditionalFormatting sqref="K403:P405">
    <cfRule type="expression" dxfId="967" priority="987">
      <formula>$I403&lt;&gt;"Ativo"</formula>
    </cfRule>
    <cfRule type="expression" dxfId="966" priority="988">
      <formula>$B403="x"</formula>
    </cfRule>
  </conditionalFormatting>
  <conditionalFormatting sqref="K403:P405">
    <cfRule type="expression" dxfId="965" priority="985">
      <formula>$I403&lt;&gt;"Ativo"</formula>
    </cfRule>
    <cfRule type="expression" dxfId="964" priority="986">
      <formula>$B403="x"</formula>
    </cfRule>
  </conditionalFormatting>
  <conditionalFormatting sqref="K403:P405">
    <cfRule type="expression" dxfId="963" priority="983">
      <formula>$I403&lt;&gt;"Ativo"</formula>
    </cfRule>
    <cfRule type="expression" dxfId="962" priority="984">
      <formula>$B403="x"</formula>
    </cfRule>
  </conditionalFormatting>
  <conditionalFormatting sqref="K403:P405">
    <cfRule type="expression" dxfId="961" priority="981">
      <formula>$I403&lt;&gt;"Ativo"</formula>
    </cfRule>
    <cfRule type="expression" dxfId="960" priority="982">
      <formula>$B403="x"</formula>
    </cfRule>
  </conditionalFormatting>
  <conditionalFormatting sqref="K403:P405">
    <cfRule type="expression" dxfId="959" priority="979">
      <formula>$I403&lt;&gt;"Ativo"</formula>
    </cfRule>
    <cfRule type="expression" dxfId="958" priority="980">
      <formula>$B403="x"</formula>
    </cfRule>
  </conditionalFormatting>
  <conditionalFormatting sqref="K403:P405">
    <cfRule type="expression" dxfId="957" priority="977">
      <formula>$I403&lt;&gt;"Ativo"</formula>
    </cfRule>
    <cfRule type="expression" dxfId="956" priority="978">
      <formula>$B403="x"</formula>
    </cfRule>
  </conditionalFormatting>
  <conditionalFormatting sqref="K403:P405">
    <cfRule type="expression" dxfId="955" priority="975">
      <formula>$I403&lt;&gt;"Ativo"</formula>
    </cfRule>
    <cfRule type="expression" dxfId="954" priority="976">
      <formula>$B403="x"</formula>
    </cfRule>
  </conditionalFormatting>
  <conditionalFormatting sqref="K403:P405">
    <cfRule type="expression" dxfId="953" priority="973">
      <formula>$I403&lt;&gt;"Ativo"</formula>
    </cfRule>
    <cfRule type="expression" dxfId="952" priority="974">
      <formula>$B403="x"</formula>
    </cfRule>
  </conditionalFormatting>
  <conditionalFormatting sqref="K403:K405">
    <cfRule type="expression" dxfId="951" priority="971">
      <formula>$I403&lt;&gt;"Ativo"</formula>
    </cfRule>
    <cfRule type="expression" dxfId="950" priority="972">
      <formula>$B403="x"</formula>
    </cfRule>
  </conditionalFormatting>
  <conditionalFormatting sqref="L403:L405">
    <cfRule type="expression" dxfId="949" priority="969">
      <formula>$I403&lt;&gt;"Ativo"</formula>
    </cfRule>
    <cfRule type="expression" dxfId="948" priority="970">
      <formula>$B403="x"</formula>
    </cfRule>
  </conditionalFormatting>
  <conditionalFormatting sqref="M403:M405">
    <cfRule type="expression" dxfId="947" priority="967">
      <formula>$I403&lt;&gt;"Ativo"</formula>
    </cfRule>
    <cfRule type="expression" dxfId="946" priority="968">
      <formula>$B403="x"</formula>
    </cfRule>
  </conditionalFormatting>
  <conditionalFormatting sqref="N403:N405">
    <cfRule type="expression" dxfId="945" priority="965">
      <formula>$I403&lt;&gt;"Ativo"</formula>
    </cfRule>
    <cfRule type="expression" dxfId="944" priority="966">
      <formula>$B403="x"</formula>
    </cfRule>
  </conditionalFormatting>
  <conditionalFormatting sqref="O403:P405">
    <cfRule type="expression" dxfId="943" priority="963">
      <formula>$I403&lt;&gt;"Ativo"</formula>
    </cfRule>
    <cfRule type="expression" dxfId="942" priority="964">
      <formula>$B403="x"</formula>
    </cfRule>
  </conditionalFormatting>
  <conditionalFormatting sqref="H403:H405">
    <cfRule type="expression" dxfId="941" priority="961">
      <formula>$I403&lt;&gt;"Ativo"</formula>
    </cfRule>
    <cfRule type="expression" dxfId="940" priority="962">
      <formula>$B403="x"</formula>
    </cfRule>
  </conditionalFormatting>
  <conditionalFormatting sqref="H403:H405">
    <cfRule type="expression" dxfId="939" priority="959">
      <formula>$I403&lt;&gt;"Ativo"</formula>
    </cfRule>
    <cfRule type="expression" dxfId="938" priority="960">
      <formula>$B403="x"</formula>
    </cfRule>
  </conditionalFormatting>
  <conditionalFormatting sqref="H403:H405">
    <cfRule type="expression" dxfId="937" priority="957">
      <formula>$I403&lt;&gt;"Ativo"</formula>
    </cfRule>
    <cfRule type="expression" dxfId="936" priority="958">
      <formula>$B403="x"</formula>
    </cfRule>
  </conditionalFormatting>
  <conditionalFormatting sqref="H403:H405">
    <cfRule type="expression" dxfId="935" priority="955">
      <formula>$I403&lt;&gt;"Ativo"</formula>
    </cfRule>
    <cfRule type="expression" dxfId="934" priority="956">
      <formula>$B403="x"</formula>
    </cfRule>
  </conditionalFormatting>
  <conditionalFormatting sqref="H403:H405">
    <cfRule type="expression" dxfId="933" priority="953">
      <formula>$I403&lt;&gt;"Ativo"</formula>
    </cfRule>
    <cfRule type="expression" dxfId="932" priority="954">
      <formula>$B403="x"</formula>
    </cfRule>
  </conditionalFormatting>
  <conditionalFormatting sqref="H403:H405">
    <cfRule type="expression" dxfId="931" priority="951">
      <formula>$I403&lt;&gt;"Ativo"</formula>
    </cfRule>
    <cfRule type="expression" dxfId="930" priority="952">
      <formula>$B403="x"</formula>
    </cfRule>
  </conditionalFormatting>
  <conditionalFormatting sqref="C403:C405">
    <cfRule type="expression" dxfId="929" priority="949">
      <formula>$I403&lt;&gt;"Ativo"</formula>
    </cfRule>
    <cfRule type="expression" dxfId="928" priority="950">
      <formula>$B403="x"</formula>
    </cfRule>
  </conditionalFormatting>
  <conditionalFormatting sqref="C403:C405">
    <cfRule type="expression" dxfId="927" priority="947">
      <formula>$I403&lt;&gt;"Ativo"</formula>
    </cfRule>
    <cfRule type="expression" dxfId="926" priority="948">
      <formula>$B403="x"</formula>
    </cfRule>
  </conditionalFormatting>
  <conditionalFormatting sqref="V403:X403">
    <cfRule type="expression" dxfId="925" priority="945">
      <formula>$G403&lt;&gt;"Ativo"</formula>
    </cfRule>
    <cfRule type="expression" dxfId="924" priority="946">
      <formula>$B403="x"</formula>
    </cfRule>
  </conditionalFormatting>
  <conditionalFormatting sqref="D403:G403 I403:AQ403">
    <cfRule type="expression" dxfId="923" priority="943">
      <formula>$I403&lt;&gt;"Ativo"</formula>
    </cfRule>
    <cfRule type="expression" dxfId="922" priority="944">
      <formula>$B403="x"</formula>
    </cfRule>
  </conditionalFormatting>
  <conditionalFormatting sqref="K403:P403">
    <cfRule type="expression" dxfId="921" priority="941">
      <formula>$I403&lt;&gt;"Ativo"</formula>
    </cfRule>
    <cfRule type="expression" dxfId="920" priority="942">
      <formula>$B403="x"</formula>
    </cfRule>
  </conditionalFormatting>
  <conditionalFormatting sqref="H403">
    <cfRule type="expression" dxfId="919" priority="939">
      <formula>$I403&lt;&gt;"Ativo"</formula>
    </cfRule>
    <cfRule type="expression" dxfId="918" priority="940">
      <formula>$B403="x"</formula>
    </cfRule>
  </conditionalFormatting>
  <conditionalFormatting sqref="H403">
    <cfRule type="expression" dxfId="917" priority="937">
      <formula>$I403&lt;&gt;"Ativo"</formula>
    </cfRule>
    <cfRule type="expression" dxfId="916" priority="938">
      <formula>$B403="x"</formula>
    </cfRule>
  </conditionalFormatting>
  <conditionalFormatting sqref="K403:P403">
    <cfRule type="expression" dxfId="915" priority="935">
      <formula>$I403&lt;&gt;"Ativo"</formula>
    </cfRule>
    <cfRule type="expression" dxfId="914" priority="936">
      <formula>$B403="x"</formula>
    </cfRule>
  </conditionalFormatting>
  <conditionalFormatting sqref="K403:P403">
    <cfRule type="expression" dxfId="913" priority="933">
      <formula>$I403&lt;&gt;"Ativo"</formula>
    </cfRule>
    <cfRule type="expression" dxfId="912" priority="934">
      <formula>$B403="x"</formula>
    </cfRule>
  </conditionalFormatting>
  <conditionalFormatting sqref="K403:P403">
    <cfRule type="expression" dxfId="911" priority="931">
      <formula>$I403&lt;&gt;"Ativo"</formula>
    </cfRule>
    <cfRule type="expression" dxfId="910" priority="932">
      <formula>$B403="x"</formula>
    </cfRule>
  </conditionalFormatting>
  <conditionalFormatting sqref="K403:P403">
    <cfRule type="expression" dxfId="909" priority="929">
      <formula>$I403&lt;&gt;"Ativo"</formula>
    </cfRule>
    <cfRule type="expression" dxfId="908" priority="930">
      <formula>$B403="x"</formula>
    </cfRule>
  </conditionalFormatting>
  <conditionalFormatting sqref="K403">
    <cfRule type="expression" dxfId="907" priority="927">
      <formula>$I403&lt;&gt;"Ativo"</formula>
    </cfRule>
    <cfRule type="expression" dxfId="906" priority="928">
      <formula>$B403="x"</formula>
    </cfRule>
  </conditionalFormatting>
  <conditionalFormatting sqref="L403">
    <cfRule type="expression" dxfId="905" priority="925">
      <formula>$I403&lt;&gt;"Ativo"</formula>
    </cfRule>
    <cfRule type="expression" dxfId="904" priority="926">
      <formula>$B403="x"</formula>
    </cfRule>
  </conditionalFormatting>
  <conditionalFormatting sqref="M403">
    <cfRule type="expression" dxfId="903" priority="923">
      <formula>$I403&lt;&gt;"Ativo"</formula>
    </cfRule>
    <cfRule type="expression" dxfId="902" priority="924">
      <formula>$B403="x"</formula>
    </cfRule>
  </conditionalFormatting>
  <conditionalFormatting sqref="N403">
    <cfRule type="expression" dxfId="901" priority="921">
      <formula>$I403&lt;&gt;"Ativo"</formula>
    </cfRule>
    <cfRule type="expression" dxfId="900" priority="922">
      <formula>$B403="x"</formula>
    </cfRule>
  </conditionalFormatting>
  <conditionalFormatting sqref="O403:P403">
    <cfRule type="expression" dxfId="899" priority="919">
      <formula>$I403&lt;&gt;"Ativo"</formula>
    </cfRule>
    <cfRule type="expression" dxfId="898" priority="920">
      <formula>$B403="x"</formula>
    </cfRule>
  </conditionalFormatting>
  <conditionalFormatting sqref="H403">
    <cfRule type="expression" dxfId="897" priority="917">
      <formula>$I403&lt;&gt;"Ativo"</formula>
    </cfRule>
    <cfRule type="expression" dxfId="896" priority="918">
      <formula>$B403="x"</formula>
    </cfRule>
  </conditionalFormatting>
  <conditionalFormatting sqref="H403">
    <cfRule type="expression" dxfId="895" priority="915">
      <formula>$I403&lt;&gt;"Ativo"</formula>
    </cfRule>
    <cfRule type="expression" dxfId="894" priority="916">
      <formula>$B403="x"</formula>
    </cfRule>
  </conditionalFormatting>
  <conditionalFormatting sqref="H403">
    <cfRule type="expression" dxfId="893" priority="913">
      <formula>$I403&lt;&gt;"Ativo"</formula>
    </cfRule>
    <cfRule type="expression" dxfId="892" priority="914">
      <formula>$B403="x"</formula>
    </cfRule>
  </conditionalFormatting>
  <conditionalFormatting sqref="K404:P404">
    <cfRule type="expression" dxfId="891" priority="911">
      <formula>$I404&lt;&gt;"Ativo"</formula>
    </cfRule>
    <cfRule type="expression" dxfId="890" priority="912">
      <formula>$B404="x"</formula>
    </cfRule>
  </conditionalFormatting>
  <conditionalFormatting sqref="V404:X404">
    <cfRule type="expression" dxfId="889" priority="909">
      <formula>$G404&lt;&gt;"Ativo"</formula>
    </cfRule>
    <cfRule type="expression" dxfId="888" priority="910">
      <formula>$B404="x"</formula>
    </cfRule>
  </conditionalFormatting>
  <conditionalFormatting sqref="AP404:AQ404 AM404 D404:AD404 AF404:AK404">
    <cfRule type="expression" dxfId="887" priority="907">
      <formula>$I404&lt;&gt;"Ativo"</formula>
    </cfRule>
    <cfRule type="expression" dxfId="886" priority="908">
      <formula>$B404="x"</formula>
    </cfRule>
  </conditionalFormatting>
  <conditionalFormatting sqref="D404:J404">
    <cfRule type="expression" dxfId="885" priority="905">
      <formula>$I404&lt;&gt;"Ativo"</formula>
    </cfRule>
    <cfRule type="expression" dxfId="884" priority="906">
      <formula>$B404="x"</formula>
    </cfRule>
  </conditionalFormatting>
  <conditionalFormatting sqref="F404">
    <cfRule type="expression" dxfId="883" priority="903">
      <formula>$I404&lt;&gt;"Ativo"</formula>
    </cfRule>
    <cfRule type="expression" dxfId="882" priority="904">
      <formula>$B404="x"</formula>
    </cfRule>
  </conditionalFormatting>
  <conditionalFormatting sqref="AE404">
    <cfRule type="expression" dxfId="881" priority="901">
      <formula>$I404&lt;&gt;"Ativo"</formula>
    </cfRule>
    <cfRule type="expression" dxfId="880" priority="902">
      <formula>$B404="x"</formula>
    </cfRule>
  </conditionalFormatting>
  <conditionalFormatting sqref="AL404">
    <cfRule type="expression" dxfId="879" priority="899">
      <formula>$I404&lt;&gt;"Ativo"</formula>
    </cfRule>
    <cfRule type="expression" dxfId="878" priority="900">
      <formula>$B404="x"</formula>
    </cfRule>
  </conditionalFormatting>
  <conditionalFormatting sqref="AN404">
    <cfRule type="expression" dxfId="877" priority="897">
      <formula>$I404&lt;&gt;"Ativo"</formula>
    </cfRule>
    <cfRule type="expression" dxfId="876" priority="898">
      <formula>$B404="x"</formula>
    </cfRule>
  </conditionalFormatting>
  <conditionalFormatting sqref="AO404">
    <cfRule type="expression" dxfId="875" priority="895">
      <formula>$I404&lt;&gt;"Ativo"</formula>
    </cfRule>
    <cfRule type="expression" dxfId="874" priority="896">
      <formula>$B404="x"</formula>
    </cfRule>
  </conditionalFormatting>
  <conditionalFormatting sqref="V405:X405">
    <cfRule type="expression" dxfId="873" priority="893">
      <formula>$G405&lt;&gt;"Ativo"</formula>
    </cfRule>
    <cfRule type="expression" dxfId="872" priority="894">
      <formula>$B405="x"</formula>
    </cfRule>
  </conditionalFormatting>
  <conditionalFormatting sqref="D405:AQ405">
    <cfRule type="expression" dxfId="871" priority="891">
      <formula>$I405&lt;&gt;"Ativo"</formula>
    </cfRule>
    <cfRule type="expression" dxfId="870" priority="892">
      <formula>$B405="x"</formula>
    </cfRule>
  </conditionalFormatting>
  <conditionalFormatting sqref="H406">
    <cfRule type="expression" dxfId="869" priority="889">
      <formula>$I406&lt;&gt;"Ativo"</formula>
    </cfRule>
    <cfRule type="expression" dxfId="868" priority="890">
      <formula>$B406="x"</formula>
    </cfRule>
  </conditionalFormatting>
  <conditionalFormatting sqref="H406">
    <cfRule type="expression" dxfId="867" priority="887">
      <formula>$I406&lt;&gt;"Ativo"</formula>
    </cfRule>
    <cfRule type="expression" dxfId="866" priority="888">
      <formula>$B406="x"</formula>
    </cfRule>
  </conditionalFormatting>
  <conditionalFormatting sqref="H406">
    <cfRule type="expression" dxfId="865" priority="885">
      <formula>$I406&lt;&gt;"Ativo"</formula>
    </cfRule>
    <cfRule type="expression" dxfId="864" priority="886">
      <formula>$B406="x"</formula>
    </cfRule>
  </conditionalFormatting>
  <conditionalFormatting sqref="H406">
    <cfRule type="expression" dxfId="863" priority="883">
      <formula>$I406&lt;&gt;"Ativo"</formula>
    </cfRule>
    <cfRule type="expression" dxfId="862" priority="884">
      <formula>$B406="x"</formula>
    </cfRule>
  </conditionalFormatting>
  <conditionalFormatting sqref="H406">
    <cfRule type="expression" dxfId="861" priority="881">
      <formula>$I406&lt;&gt;"Ativo"</formula>
    </cfRule>
    <cfRule type="expression" dxfId="860" priority="882">
      <formula>$B406="x"</formula>
    </cfRule>
  </conditionalFormatting>
  <conditionalFormatting sqref="K407:P407">
    <cfRule type="expression" dxfId="859" priority="879">
      <formula>$I407&lt;&gt;"Ativo"</formula>
    </cfRule>
    <cfRule type="expression" dxfId="858" priority="880">
      <formula>$B407="x"</formula>
    </cfRule>
  </conditionalFormatting>
  <conditionalFormatting sqref="N407:P407">
    <cfRule type="expression" dxfId="857" priority="877">
      <formula>$I407&lt;&gt;"Ativo"</formula>
    </cfRule>
    <cfRule type="expression" dxfId="856" priority="878">
      <formula>$B407="x"</formula>
    </cfRule>
  </conditionalFormatting>
  <conditionalFormatting sqref="H407">
    <cfRule type="expression" dxfId="855" priority="875">
      <formula>$I407&lt;&gt;"Ativo"</formula>
    </cfRule>
    <cfRule type="expression" dxfId="854" priority="876">
      <formula>$B407="x"</formula>
    </cfRule>
  </conditionalFormatting>
  <conditionalFormatting sqref="H407">
    <cfRule type="expression" dxfId="853" priority="873">
      <formula>$I407&lt;&gt;"Ativo"</formula>
    </cfRule>
    <cfRule type="expression" dxfId="852" priority="874">
      <formula>$B407="x"</formula>
    </cfRule>
  </conditionalFormatting>
  <conditionalFormatting sqref="H407">
    <cfRule type="expression" dxfId="851" priority="871">
      <formula>$I407&lt;&gt;"Ativo"</formula>
    </cfRule>
    <cfRule type="expression" dxfId="850" priority="872">
      <formula>$B407="x"</formula>
    </cfRule>
  </conditionalFormatting>
  <conditionalFormatting sqref="H407">
    <cfRule type="expression" dxfId="849" priority="869">
      <formula>$I407&lt;&gt;"Ativo"</formula>
    </cfRule>
    <cfRule type="expression" dxfId="848" priority="870">
      <formula>$B407="x"</formula>
    </cfRule>
  </conditionalFormatting>
  <conditionalFormatting sqref="H407">
    <cfRule type="expression" dxfId="847" priority="867">
      <formula>$I407&lt;&gt;"Ativo"</formula>
    </cfRule>
    <cfRule type="expression" dxfId="846" priority="868">
      <formula>$B407="x"</formula>
    </cfRule>
  </conditionalFormatting>
  <conditionalFormatting sqref="V408:X408">
    <cfRule type="expression" dxfId="845" priority="865">
      <formula>$G408&lt;&gt;"Ativo"</formula>
    </cfRule>
    <cfRule type="expression" dxfId="844" priority="866">
      <formula>$B408="x"</formula>
    </cfRule>
  </conditionalFormatting>
  <conditionalFormatting sqref="V408:X408">
    <cfRule type="expression" dxfId="843" priority="863">
      <formula>$I408&lt;&gt;"Ativo"</formula>
    </cfRule>
    <cfRule type="expression" dxfId="842" priority="864">
      <formula>$B408="x"</formula>
    </cfRule>
  </conditionalFormatting>
  <conditionalFormatting sqref="H408">
    <cfRule type="expression" dxfId="841" priority="861">
      <formula>$I408&lt;&gt;"Ativo"</formula>
    </cfRule>
    <cfRule type="expression" dxfId="840" priority="862">
      <formula>$B408="x"</formula>
    </cfRule>
  </conditionalFormatting>
  <conditionalFormatting sqref="H408">
    <cfRule type="expression" dxfId="839" priority="859">
      <formula>$I408&lt;&gt;"Ativo"</formula>
    </cfRule>
    <cfRule type="expression" dxfId="838" priority="860">
      <formula>$B408="x"</formula>
    </cfRule>
  </conditionalFormatting>
  <conditionalFormatting sqref="H408">
    <cfRule type="expression" dxfId="837" priority="857">
      <formula>$I408&lt;&gt;"Ativo"</formula>
    </cfRule>
    <cfRule type="expression" dxfId="836" priority="858">
      <formula>$B408="x"</formula>
    </cfRule>
  </conditionalFormatting>
  <conditionalFormatting sqref="H408">
    <cfRule type="expression" dxfId="835" priority="855">
      <formula>$I408&lt;&gt;"Ativo"</formula>
    </cfRule>
    <cfRule type="expression" dxfId="834" priority="856">
      <formula>$B408="x"</formula>
    </cfRule>
  </conditionalFormatting>
  <conditionalFormatting sqref="H408">
    <cfRule type="expression" dxfId="833" priority="853">
      <formula>$I408&lt;&gt;"Ativo"</formula>
    </cfRule>
    <cfRule type="expression" dxfId="832" priority="854">
      <formula>$B408="x"</formula>
    </cfRule>
  </conditionalFormatting>
  <conditionalFormatting sqref="V413:X417">
    <cfRule type="expression" dxfId="831" priority="851">
      <formula>$G413&lt;&gt;"Ativo"</formula>
    </cfRule>
    <cfRule type="expression" dxfId="830" priority="852">
      <formula>$B413="x"</formula>
    </cfRule>
  </conditionalFormatting>
  <conditionalFormatting sqref="C413:G414 I413:AC414 D415:AC415 C416:AC417 AE413:AI417">
    <cfRule type="expression" dxfId="829" priority="849">
      <formula>$I413&lt;&gt;"Ativo"</formula>
    </cfRule>
    <cfRule type="expression" dxfId="828" priority="850">
      <formula>$B413="x"</formula>
    </cfRule>
  </conditionalFormatting>
  <conditionalFormatting sqref="K413:P413">
    <cfRule type="expression" dxfId="827" priority="847">
      <formula>$I413&lt;&gt;"Ativo"</formula>
    </cfRule>
    <cfRule type="expression" dxfId="826" priority="848">
      <formula>$B413="x"</formula>
    </cfRule>
  </conditionalFormatting>
  <conditionalFormatting sqref="H413">
    <cfRule type="expression" dxfId="825" priority="845">
      <formula>$I413&lt;&gt;"Ativo"</formula>
    </cfRule>
    <cfRule type="expression" dxfId="824" priority="846">
      <formula>$B413="x"</formula>
    </cfRule>
  </conditionalFormatting>
  <conditionalFormatting sqref="H413">
    <cfRule type="expression" dxfId="823" priority="843">
      <formula>$I413&lt;&gt;"Ativo"</formula>
    </cfRule>
    <cfRule type="expression" dxfId="822" priority="844">
      <formula>$B413="x"</formula>
    </cfRule>
  </conditionalFormatting>
  <conditionalFormatting sqref="K413:P413">
    <cfRule type="expression" dxfId="821" priority="841">
      <formula>$I413&lt;&gt;"Ativo"</formula>
    </cfRule>
    <cfRule type="expression" dxfId="820" priority="842">
      <formula>$B413="x"</formula>
    </cfRule>
  </conditionalFormatting>
  <conditionalFormatting sqref="K413:P413">
    <cfRule type="expression" dxfId="819" priority="839">
      <formula>$I413&lt;&gt;"Ativo"</formula>
    </cfRule>
    <cfRule type="expression" dxfId="818" priority="840">
      <formula>$B413="x"</formula>
    </cfRule>
  </conditionalFormatting>
  <conditionalFormatting sqref="K413:P413">
    <cfRule type="expression" dxfId="817" priority="837">
      <formula>$I413&lt;&gt;"Ativo"</formula>
    </cfRule>
    <cfRule type="expression" dxfId="816" priority="838">
      <formula>$B413="x"</formula>
    </cfRule>
  </conditionalFormatting>
  <conditionalFormatting sqref="K413:P413">
    <cfRule type="expression" dxfId="815" priority="835">
      <formula>$I413&lt;&gt;"Ativo"</formula>
    </cfRule>
    <cfRule type="expression" dxfId="814" priority="836">
      <formula>$B413="x"</formula>
    </cfRule>
  </conditionalFormatting>
  <conditionalFormatting sqref="K413">
    <cfRule type="expression" dxfId="813" priority="833">
      <formula>$I413&lt;&gt;"Ativo"</formula>
    </cfRule>
    <cfRule type="expression" dxfId="812" priority="834">
      <formula>$B413="x"</formula>
    </cfRule>
  </conditionalFormatting>
  <conditionalFormatting sqref="L413">
    <cfRule type="expression" dxfId="811" priority="831">
      <formula>$I413&lt;&gt;"Ativo"</formula>
    </cfRule>
    <cfRule type="expression" dxfId="810" priority="832">
      <formula>$B413="x"</formula>
    </cfRule>
  </conditionalFormatting>
  <conditionalFormatting sqref="M413">
    <cfRule type="expression" dxfId="809" priority="829">
      <formula>$I413&lt;&gt;"Ativo"</formula>
    </cfRule>
    <cfRule type="expression" dxfId="808" priority="830">
      <formula>$B413="x"</formula>
    </cfRule>
  </conditionalFormatting>
  <conditionalFormatting sqref="N413">
    <cfRule type="expression" dxfId="807" priority="827">
      <formula>$I413&lt;&gt;"Ativo"</formula>
    </cfRule>
    <cfRule type="expression" dxfId="806" priority="828">
      <formula>$B413="x"</formula>
    </cfRule>
  </conditionalFormatting>
  <conditionalFormatting sqref="O413:P413">
    <cfRule type="expression" dxfId="805" priority="825">
      <formula>$I413&lt;&gt;"Ativo"</formula>
    </cfRule>
    <cfRule type="expression" dxfId="804" priority="826">
      <formula>$B413="x"</formula>
    </cfRule>
  </conditionalFormatting>
  <conditionalFormatting sqref="H413">
    <cfRule type="expression" dxfId="803" priority="823">
      <formula>$I413&lt;&gt;"Ativo"</formula>
    </cfRule>
    <cfRule type="expression" dxfId="802" priority="824">
      <formula>$B413="x"</formula>
    </cfRule>
  </conditionalFormatting>
  <conditionalFormatting sqref="H413">
    <cfRule type="expression" dxfId="801" priority="821">
      <formula>$I413&lt;&gt;"Ativo"</formula>
    </cfRule>
    <cfRule type="expression" dxfId="800" priority="822">
      <formula>$B413="x"</formula>
    </cfRule>
  </conditionalFormatting>
  <conditionalFormatting sqref="H413">
    <cfRule type="expression" dxfId="799" priority="819">
      <formula>$I413&lt;&gt;"Ativo"</formula>
    </cfRule>
    <cfRule type="expression" dxfId="798" priority="820">
      <formula>$B413="x"</formula>
    </cfRule>
  </conditionalFormatting>
  <conditionalFormatting sqref="H413">
    <cfRule type="expression" dxfId="797" priority="817">
      <formula>$I413&lt;&gt;"Ativo"</formula>
    </cfRule>
    <cfRule type="expression" dxfId="796" priority="818">
      <formula>$B413="x"</formula>
    </cfRule>
  </conditionalFormatting>
  <conditionalFormatting sqref="H413">
    <cfRule type="expression" dxfId="795" priority="815">
      <formula>$I413&lt;&gt;"Ativo"</formula>
    </cfRule>
    <cfRule type="expression" dxfId="794" priority="816">
      <formula>$B413="x"</formula>
    </cfRule>
  </conditionalFormatting>
  <conditionalFormatting sqref="K413:L413">
    <cfRule type="expression" dxfId="793" priority="813">
      <formula>$I413&lt;&gt;"Ativo"</formula>
    </cfRule>
    <cfRule type="expression" dxfId="792" priority="814">
      <formula>$B413="x"</formula>
    </cfRule>
  </conditionalFormatting>
  <conditionalFormatting sqref="K413:L413">
    <cfRule type="expression" dxfId="791" priority="811">
      <formula>$I413&lt;&gt;"Ativo"</formula>
    </cfRule>
    <cfRule type="expression" dxfId="790" priority="812">
      <formula>$B413="x"</formula>
    </cfRule>
  </conditionalFormatting>
  <conditionalFormatting sqref="K413:L413">
    <cfRule type="expression" dxfId="789" priority="809">
      <formula>$I413&lt;&gt;"Ativo"</formula>
    </cfRule>
    <cfRule type="expression" dxfId="788" priority="810">
      <formula>$B413="x"</formula>
    </cfRule>
  </conditionalFormatting>
  <conditionalFormatting sqref="K413:L413">
    <cfRule type="expression" dxfId="787" priority="807">
      <formula>$I413&lt;&gt;"Ativo"</formula>
    </cfRule>
    <cfRule type="expression" dxfId="786" priority="808">
      <formula>$B413="x"</formula>
    </cfRule>
  </conditionalFormatting>
  <conditionalFormatting sqref="K413:L413">
    <cfRule type="expression" dxfId="785" priority="805">
      <formula>$I413&lt;&gt;"Ativo"</formula>
    </cfRule>
    <cfRule type="expression" dxfId="784" priority="806">
      <formula>$B413="x"</formula>
    </cfRule>
  </conditionalFormatting>
  <conditionalFormatting sqref="K413">
    <cfRule type="expression" dxfId="783" priority="803">
      <formula>$I413&lt;&gt;"Ativo"</formula>
    </cfRule>
    <cfRule type="expression" dxfId="782" priority="804">
      <formula>$B413="x"</formula>
    </cfRule>
  </conditionalFormatting>
  <conditionalFormatting sqref="L413">
    <cfRule type="expression" dxfId="781" priority="801">
      <formula>$I413&lt;&gt;"Ativo"</formula>
    </cfRule>
    <cfRule type="expression" dxfId="780" priority="802">
      <formula>$B413="x"</formula>
    </cfRule>
  </conditionalFormatting>
  <conditionalFormatting sqref="K413:L413">
    <cfRule type="expression" dxfId="779" priority="799">
      <formula>$I413&lt;&gt;"Ativo"</formula>
    </cfRule>
    <cfRule type="expression" dxfId="778" priority="800">
      <formula>$B413="x"</formula>
    </cfRule>
  </conditionalFormatting>
  <conditionalFormatting sqref="K413:L413">
    <cfRule type="expression" dxfId="777" priority="797">
      <formula>$I413&lt;&gt;"Ativo"</formula>
    </cfRule>
    <cfRule type="expression" dxfId="776" priority="798">
      <formula>$B413="x"</formula>
    </cfRule>
  </conditionalFormatting>
  <conditionalFormatting sqref="K413:L413">
    <cfRule type="expression" dxfId="775" priority="795">
      <formula>$I413&lt;&gt;"Ativo"</formula>
    </cfRule>
    <cfRule type="expression" dxfId="774" priority="796">
      <formula>$B413="x"</formula>
    </cfRule>
  </conditionalFormatting>
  <conditionalFormatting sqref="K413:L413">
    <cfRule type="expression" dxfId="773" priority="793">
      <formula>$I413&lt;&gt;"Ativo"</formula>
    </cfRule>
    <cfRule type="expression" dxfId="772" priority="794">
      <formula>$B413="x"</formula>
    </cfRule>
  </conditionalFormatting>
  <conditionalFormatting sqref="K413:L413">
    <cfRule type="expression" dxfId="771" priority="791">
      <formula>$I413&lt;&gt;"Ativo"</formula>
    </cfRule>
    <cfRule type="expression" dxfId="770" priority="792">
      <formula>$B413="x"</formula>
    </cfRule>
  </conditionalFormatting>
  <conditionalFormatting sqref="K413">
    <cfRule type="expression" dxfId="769" priority="789">
      <formula>$I413&lt;&gt;"Ativo"</formula>
    </cfRule>
    <cfRule type="expression" dxfId="768" priority="790">
      <formula>$B413="x"</formula>
    </cfRule>
  </conditionalFormatting>
  <conditionalFormatting sqref="L413">
    <cfRule type="expression" dxfId="767" priority="787">
      <formula>$I413&lt;&gt;"Ativo"</formula>
    </cfRule>
    <cfRule type="expression" dxfId="766" priority="788">
      <formula>$B413="x"</formula>
    </cfRule>
  </conditionalFormatting>
  <conditionalFormatting sqref="N413:P413">
    <cfRule type="expression" dxfId="765" priority="785">
      <formula>$I413&lt;&gt;"Ativo"</formula>
    </cfRule>
    <cfRule type="expression" dxfId="764" priority="786">
      <formula>$B413="x"</formula>
    </cfRule>
  </conditionalFormatting>
  <conditionalFormatting sqref="N413:P413">
    <cfRule type="expression" dxfId="763" priority="783">
      <formula>$I413&lt;&gt;"Ativo"</formula>
    </cfRule>
    <cfRule type="expression" dxfId="762" priority="784">
      <formula>$B413="x"</formula>
    </cfRule>
  </conditionalFormatting>
  <conditionalFormatting sqref="N413:P413">
    <cfRule type="expression" dxfId="761" priority="781">
      <formula>$I413&lt;&gt;"Ativo"</formula>
    </cfRule>
    <cfRule type="expression" dxfId="760" priority="782">
      <formula>$B413="x"</formula>
    </cfRule>
  </conditionalFormatting>
  <conditionalFormatting sqref="N413:P413">
    <cfRule type="expression" dxfId="759" priority="779">
      <formula>$I413&lt;&gt;"Ativo"</formula>
    </cfRule>
    <cfRule type="expression" dxfId="758" priority="780">
      <formula>$B413="x"</formula>
    </cfRule>
  </conditionalFormatting>
  <conditionalFormatting sqref="N413:P413">
    <cfRule type="expression" dxfId="757" priority="777">
      <formula>$I413&lt;&gt;"Ativo"</formula>
    </cfRule>
    <cfRule type="expression" dxfId="756" priority="778">
      <formula>$B413="x"</formula>
    </cfRule>
  </conditionalFormatting>
  <conditionalFormatting sqref="N413">
    <cfRule type="expression" dxfId="755" priority="775">
      <formula>$I413&lt;&gt;"Ativo"</formula>
    </cfRule>
    <cfRule type="expression" dxfId="754" priority="776">
      <formula>$B413="x"</formula>
    </cfRule>
  </conditionalFormatting>
  <conditionalFormatting sqref="O413:P413">
    <cfRule type="expression" dxfId="753" priority="773">
      <formula>$I413&lt;&gt;"Ativo"</formula>
    </cfRule>
    <cfRule type="expression" dxfId="752" priority="774">
      <formula>$B413="x"</formula>
    </cfRule>
  </conditionalFormatting>
  <conditionalFormatting sqref="K413:P413">
    <cfRule type="expression" dxfId="751" priority="771">
      <formula>$I413&lt;&gt;"Ativo"</formula>
    </cfRule>
    <cfRule type="expression" dxfId="750" priority="772">
      <formula>$B413="x"</formula>
    </cfRule>
  </conditionalFormatting>
  <conditionalFormatting sqref="K413:P413">
    <cfRule type="expression" dxfId="749" priority="769">
      <formula>$I413&lt;&gt;"Ativo"</formula>
    </cfRule>
    <cfRule type="expression" dxfId="748" priority="770">
      <formula>$B413="x"</formula>
    </cfRule>
  </conditionalFormatting>
  <conditionalFormatting sqref="K413:P413">
    <cfRule type="expression" dxfId="747" priority="767">
      <formula>$I413&lt;&gt;"Ativo"</formula>
    </cfRule>
    <cfRule type="expression" dxfId="746" priority="768">
      <formula>$B413="x"</formula>
    </cfRule>
  </conditionalFormatting>
  <conditionalFormatting sqref="K413">
    <cfRule type="expression" dxfId="745" priority="765">
      <formula>$I413&lt;&gt;"Ativo"</formula>
    </cfRule>
    <cfRule type="expression" dxfId="744" priority="766">
      <formula>$B413="x"</formula>
    </cfRule>
  </conditionalFormatting>
  <conditionalFormatting sqref="L413">
    <cfRule type="expression" dxfId="743" priority="763">
      <formula>$I413&lt;&gt;"Ativo"</formula>
    </cfRule>
    <cfRule type="expression" dxfId="742" priority="764">
      <formula>$B413="x"</formula>
    </cfRule>
  </conditionalFormatting>
  <conditionalFormatting sqref="M413">
    <cfRule type="expression" dxfId="741" priority="761">
      <formula>$I413&lt;&gt;"Ativo"</formula>
    </cfRule>
    <cfRule type="expression" dxfId="740" priority="762">
      <formula>$B413="x"</formula>
    </cfRule>
  </conditionalFormatting>
  <conditionalFormatting sqref="N413">
    <cfRule type="expression" dxfId="739" priority="759">
      <formula>$I413&lt;&gt;"Ativo"</formula>
    </cfRule>
    <cfRule type="expression" dxfId="738" priority="760">
      <formula>$B413="x"</formula>
    </cfRule>
  </conditionalFormatting>
  <conditionalFormatting sqref="O413:P413">
    <cfRule type="expression" dxfId="737" priority="757">
      <formula>$I413&lt;&gt;"Ativo"</formula>
    </cfRule>
    <cfRule type="expression" dxfId="736" priority="758">
      <formula>$B413="x"</formula>
    </cfRule>
  </conditionalFormatting>
  <conditionalFormatting sqref="Y413">
    <cfRule type="expression" dxfId="735" priority="755">
      <formula>$I413&lt;&gt;"Ativo"</formula>
    </cfRule>
    <cfRule type="expression" dxfId="734" priority="756">
      <formula>$B413="x"</formula>
    </cfRule>
  </conditionalFormatting>
  <conditionalFormatting sqref="K414:P414">
    <cfRule type="expression" dxfId="733" priority="753">
      <formula>$I414&lt;&gt;"Ativo"</formula>
    </cfRule>
    <cfRule type="expression" dxfId="732" priority="754">
      <formula>$B414="x"</formula>
    </cfRule>
  </conditionalFormatting>
  <conditionalFormatting sqref="H414">
    <cfRule type="expression" dxfId="731" priority="751">
      <formula>$I414&lt;&gt;"Ativo"</formula>
    </cfRule>
    <cfRule type="expression" dxfId="730" priority="752">
      <formula>$B414="x"</formula>
    </cfRule>
  </conditionalFormatting>
  <conditionalFormatting sqref="H414">
    <cfRule type="expression" dxfId="729" priority="749">
      <formula>$I414&lt;&gt;"Ativo"</formula>
    </cfRule>
    <cfRule type="expression" dxfId="728" priority="750">
      <formula>$B414="x"</formula>
    </cfRule>
  </conditionalFormatting>
  <conditionalFormatting sqref="H414">
    <cfRule type="expression" dxfId="727" priority="747">
      <formula>$I414&lt;&gt;"Ativo"</formula>
    </cfRule>
    <cfRule type="expression" dxfId="726" priority="748">
      <formula>$B414="x"</formula>
    </cfRule>
  </conditionalFormatting>
  <conditionalFormatting sqref="K414:P414">
    <cfRule type="expression" dxfId="725" priority="745">
      <formula>$I414&lt;&gt;"Ativo"</formula>
    </cfRule>
    <cfRule type="expression" dxfId="724" priority="746">
      <formula>$B414="x"</formula>
    </cfRule>
  </conditionalFormatting>
  <conditionalFormatting sqref="K414:P414">
    <cfRule type="expression" dxfId="723" priority="743">
      <formula>$I414&lt;&gt;"Ativo"</formula>
    </cfRule>
    <cfRule type="expression" dxfId="722" priority="744">
      <formula>$B414="x"</formula>
    </cfRule>
  </conditionalFormatting>
  <conditionalFormatting sqref="K414:P414">
    <cfRule type="expression" dxfId="721" priority="741">
      <formula>$I414&lt;&gt;"Ativo"</formula>
    </cfRule>
    <cfRule type="expression" dxfId="720" priority="742">
      <formula>$B414="x"</formula>
    </cfRule>
  </conditionalFormatting>
  <conditionalFormatting sqref="K414:P414">
    <cfRule type="expression" dxfId="719" priority="739">
      <formula>$I414&lt;&gt;"Ativo"</formula>
    </cfRule>
    <cfRule type="expression" dxfId="718" priority="740">
      <formula>$B414="x"</formula>
    </cfRule>
  </conditionalFormatting>
  <conditionalFormatting sqref="K414:P414">
    <cfRule type="expression" dxfId="717" priority="737">
      <formula>$I414&lt;&gt;"Ativo"</formula>
    </cfRule>
    <cfRule type="expression" dxfId="716" priority="738">
      <formula>$B414="x"</formula>
    </cfRule>
  </conditionalFormatting>
  <conditionalFormatting sqref="K414:P414">
    <cfRule type="expression" dxfId="715" priority="735">
      <formula>$I414&lt;&gt;"Ativo"</formula>
    </cfRule>
    <cfRule type="expression" dxfId="714" priority="736">
      <formula>$B414="x"</formula>
    </cfRule>
  </conditionalFormatting>
  <conditionalFormatting sqref="K414">
    <cfRule type="expression" dxfId="713" priority="733">
      <formula>$I414&lt;&gt;"Ativo"</formula>
    </cfRule>
    <cfRule type="expression" dxfId="712" priority="734">
      <formula>$B414="x"</formula>
    </cfRule>
  </conditionalFormatting>
  <conditionalFormatting sqref="L414">
    <cfRule type="expression" dxfId="711" priority="731">
      <formula>$I414&lt;&gt;"Ativo"</formula>
    </cfRule>
    <cfRule type="expression" dxfId="710" priority="732">
      <formula>$B414="x"</formula>
    </cfRule>
  </conditionalFormatting>
  <conditionalFormatting sqref="M414">
    <cfRule type="expression" dxfId="709" priority="729">
      <formula>$I414&lt;&gt;"Ativo"</formula>
    </cfRule>
    <cfRule type="expression" dxfId="708" priority="730">
      <formula>$B414="x"</formula>
    </cfRule>
  </conditionalFormatting>
  <conditionalFormatting sqref="N414">
    <cfRule type="expression" dxfId="707" priority="727">
      <formula>$I414&lt;&gt;"Ativo"</formula>
    </cfRule>
    <cfRule type="expression" dxfId="706" priority="728">
      <formula>$B414="x"</formula>
    </cfRule>
  </conditionalFormatting>
  <conditionalFormatting sqref="O414:P414">
    <cfRule type="expression" dxfId="705" priority="725">
      <formula>$I414&lt;&gt;"Ativo"</formula>
    </cfRule>
    <cfRule type="expression" dxfId="704" priority="726">
      <formula>$B414="x"</formula>
    </cfRule>
  </conditionalFormatting>
  <conditionalFormatting sqref="H414">
    <cfRule type="expression" dxfId="703" priority="723">
      <formula>$I414&lt;&gt;"Ativo"</formula>
    </cfRule>
    <cfRule type="expression" dxfId="702" priority="724">
      <formula>$B414="x"</formula>
    </cfRule>
  </conditionalFormatting>
  <conditionalFormatting sqref="H414">
    <cfRule type="expression" dxfId="701" priority="721">
      <formula>$I414&lt;&gt;"Ativo"</formula>
    </cfRule>
    <cfRule type="expression" dxfId="700" priority="722">
      <formula>$B414="x"</formula>
    </cfRule>
  </conditionalFormatting>
  <conditionalFormatting sqref="H414">
    <cfRule type="expression" dxfId="699" priority="719">
      <formula>$I414&lt;&gt;"Ativo"</formula>
    </cfRule>
    <cfRule type="expression" dxfId="698" priority="720">
      <formula>$B414="x"</formula>
    </cfRule>
  </conditionalFormatting>
  <conditionalFormatting sqref="H414">
    <cfRule type="expression" dxfId="697" priority="717">
      <formula>$I414&lt;&gt;"Ativo"</formula>
    </cfRule>
    <cfRule type="expression" dxfId="696" priority="718">
      <formula>$B414="x"</formula>
    </cfRule>
  </conditionalFormatting>
  <conditionalFormatting sqref="H414">
    <cfRule type="expression" dxfId="695" priority="715">
      <formula>$I414&lt;&gt;"Ativo"</formula>
    </cfRule>
    <cfRule type="expression" dxfId="694" priority="716">
      <formula>$B414="x"</formula>
    </cfRule>
  </conditionalFormatting>
  <conditionalFormatting sqref="H414">
    <cfRule type="expression" dxfId="693" priority="713">
      <formula>$I414&lt;&gt;"Ativo"</formula>
    </cfRule>
    <cfRule type="expression" dxfId="692" priority="714">
      <formula>$B414="x"</formula>
    </cfRule>
  </conditionalFormatting>
  <conditionalFormatting sqref="K414:P414">
    <cfRule type="expression" dxfId="691" priority="711">
      <formula>$I414&lt;&gt;"Ativo"</formula>
    </cfRule>
    <cfRule type="expression" dxfId="690" priority="712">
      <formula>$B414="x"</formula>
    </cfRule>
  </conditionalFormatting>
  <conditionalFormatting sqref="K414:P414">
    <cfRule type="expression" dxfId="689" priority="709">
      <formula>$I414&lt;&gt;"Ativo"</formula>
    </cfRule>
    <cfRule type="expression" dxfId="688" priority="710">
      <formula>$B414="x"</formula>
    </cfRule>
  </conditionalFormatting>
  <conditionalFormatting sqref="K414:P414">
    <cfRule type="expression" dxfId="687" priority="707">
      <formula>$I414&lt;&gt;"Ativo"</formula>
    </cfRule>
    <cfRule type="expression" dxfId="686" priority="708">
      <formula>$B414="x"</formula>
    </cfRule>
  </conditionalFormatting>
  <conditionalFormatting sqref="K414:P414">
    <cfRule type="expression" dxfId="685" priority="705">
      <formula>$I414&lt;&gt;"Ativo"</formula>
    </cfRule>
    <cfRule type="expression" dxfId="684" priority="706">
      <formula>$B414="x"</formula>
    </cfRule>
  </conditionalFormatting>
  <conditionalFormatting sqref="K414:P414">
    <cfRule type="expression" dxfId="683" priority="703">
      <formula>$I414&lt;&gt;"Ativo"</formula>
    </cfRule>
    <cfRule type="expression" dxfId="682" priority="704">
      <formula>$B414="x"</formula>
    </cfRule>
  </conditionalFormatting>
  <conditionalFormatting sqref="K414">
    <cfRule type="expression" dxfId="681" priority="701">
      <formula>$I414&lt;&gt;"Ativo"</formula>
    </cfRule>
    <cfRule type="expression" dxfId="680" priority="702">
      <formula>$B414="x"</formula>
    </cfRule>
  </conditionalFormatting>
  <conditionalFormatting sqref="L414">
    <cfRule type="expression" dxfId="679" priority="699">
      <formula>$I414&lt;&gt;"Ativo"</formula>
    </cfRule>
    <cfRule type="expression" dxfId="678" priority="700">
      <formula>$B414="x"</formula>
    </cfRule>
  </conditionalFormatting>
  <conditionalFormatting sqref="M414">
    <cfRule type="expression" dxfId="677" priority="697">
      <formula>$I414&lt;&gt;"Ativo"</formula>
    </cfRule>
    <cfRule type="expression" dxfId="676" priority="698">
      <formula>$B414="x"</formula>
    </cfRule>
  </conditionalFormatting>
  <conditionalFormatting sqref="N414">
    <cfRule type="expression" dxfId="675" priority="695">
      <formula>$I414&lt;&gt;"Ativo"</formula>
    </cfRule>
    <cfRule type="expression" dxfId="674" priority="696">
      <formula>$B414="x"</formula>
    </cfRule>
  </conditionalFormatting>
  <conditionalFormatting sqref="O414:P414">
    <cfRule type="expression" dxfId="673" priority="693">
      <formula>$I414&lt;&gt;"Ativo"</formula>
    </cfRule>
    <cfRule type="expression" dxfId="672" priority="694">
      <formula>$B414="x"</formula>
    </cfRule>
  </conditionalFormatting>
  <conditionalFormatting sqref="K414:L414">
    <cfRule type="expression" dxfId="671" priority="691">
      <formula>$I414&lt;&gt;"Ativo"</formula>
    </cfRule>
    <cfRule type="expression" dxfId="670" priority="692">
      <formula>$B414="x"</formula>
    </cfRule>
  </conditionalFormatting>
  <conditionalFormatting sqref="K414:L414">
    <cfRule type="expression" dxfId="669" priority="689">
      <formula>$I414&lt;&gt;"Ativo"</formula>
    </cfRule>
    <cfRule type="expression" dxfId="668" priority="690">
      <formula>$B414="x"</formula>
    </cfRule>
  </conditionalFormatting>
  <conditionalFormatting sqref="K414:L414">
    <cfRule type="expression" dxfId="667" priority="687">
      <formula>$I414&lt;&gt;"Ativo"</formula>
    </cfRule>
    <cfRule type="expression" dxfId="666" priority="688">
      <formula>$B414="x"</formula>
    </cfRule>
  </conditionalFormatting>
  <conditionalFormatting sqref="K414:L414">
    <cfRule type="expression" dxfId="665" priority="685">
      <formula>$I414&lt;&gt;"Ativo"</formula>
    </cfRule>
    <cfRule type="expression" dxfId="664" priority="686">
      <formula>$B414="x"</formula>
    </cfRule>
  </conditionalFormatting>
  <conditionalFormatting sqref="K414:L414">
    <cfRule type="expression" dxfId="663" priority="683">
      <formula>$I414&lt;&gt;"Ativo"</formula>
    </cfRule>
    <cfRule type="expression" dxfId="662" priority="684">
      <formula>$B414="x"</formula>
    </cfRule>
  </conditionalFormatting>
  <conditionalFormatting sqref="K414">
    <cfRule type="expression" dxfId="661" priority="681">
      <formula>$I414&lt;&gt;"Ativo"</formula>
    </cfRule>
    <cfRule type="expression" dxfId="660" priority="682">
      <formula>$B414="x"</formula>
    </cfRule>
  </conditionalFormatting>
  <conditionalFormatting sqref="L414">
    <cfRule type="expression" dxfId="659" priority="679">
      <formula>$I414&lt;&gt;"Ativo"</formula>
    </cfRule>
    <cfRule type="expression" dxfId="658" priority="680">
      <formula>$B414="x"</formula>
    </cfRule>
  </conditionalFormatting>
  <conditionalFormatting sqref="K414:L414">
    <cfRule type="expression" dxfId="657" priority="677">
      <formula>$I414&lt;&gt;"Ativo"</formula>
    </cfRule>
    <cfRule type="expression" dxfId="656" priority="678">
      <formula>$B414="x"</formula>
    </cfRule>
  </conditionalFormatting>
  <conditionalFormatting sqref="K414:L414">
    <cfRule type="expression" dxfId="655" priority="675">
      <formula>$I414&lt;&gt;"Ativo"</formula>
    </cfRule>
    <cfRule type="expression" dxfId="654" priority="676">
      <formula>$B414="x"</formula>
    </cfRule>
  </conditionalFormatting>
  <conditionalFormatting sqref="K414:L414">
    <cfRule type="expression" dxfId="653" priority="673">
      <formula>$I414&lt;&gt;"Ativo"</formula>
    </cfRule>
    <cfRule type="expression" dxfId="652" priority="674">
      <formula>$B414="x"</formula>
    </cfRule>
  </conditionalFormatting>
  <conditionalFormatting sqref="K414:L414">
    <cfRule type="expression" dxfId="651" priority="671">
      <formula>$I414&lt;&gt;"Ativo"</formula>
    </cfRule>
    <cfRule type="expression" dxfId="650" priority="672">
      <formula>$B414="x"</formula>
    </cfRule>
  </conditionalFormatting>
  <conditionalFormatting sqref="K414:L414">
    <cfRule type="expression" dxfId="649" priority="669">
      <formula>$I414&lt;&gt;"Ativo"</formula>
    </cfRule>
    <cfRule type="expression" dxfId="648" priority="670">
      <formula>$B414="x"</formula>
    </cfRule>
  </conditionalFormatting>
  <conditionalFormatting sqref="K414">
    <cfRule type="expression" dxfId="647" priority="667">
      <formula>$I414&lt;&gt;"Ativo"</formula>
    </cfRule>
    <cfRule type="expression" dxfId="646" priority="668">
      <formula>$B414="x"</formula>
    </cfRule>
  </conditionalFormatting>
  <conditionalFormatting sqref="L414">
    <cfRule type="expression" dxfId="645" priority="665">
      <formula>$I414&lt;&gt;"Ativo"</formula>
    </cfRule>
    <cfRule type="expression" dxfId="644" priority="666">
      <formula>$B414="x"</formula>
    </cfRule>
  </conditionalFormatting>
  <conditionalFormatting sqref="N414:P414">
    <cfRule type="expression" dxfId="643" priority="663">
      <formula>$I414&lt;&gt;"Ativo"</formula>
    </cfRule>
    <cfRule type="expression" dxfId="642" priority="664">
      <formula>$B414="x"</formula>
    </cfRule>
  </conditionalFormatting>
  <conditionalFormatting sqref="N414:P414">
    <cfRule type="expression" dxfId="641" priority="661">
      <formula>$I414&lt;&gt;"Ativo"</formula>
    </cfRule>
    <cfRule type="expression" dxfId="640" priority="662">
      <formula>$B414="x"</formula>
    </cfRule>
  </conditionalFormatting>
  <conditionalFormatting sqref="N414:P414">
    <cfRule type="expression" dxfId="639" priority="659">
      <formula>$I414&lt;&gt;"Ativo"</formula>
    </cfRule>
    <cfRule type="expression" dxfId="638" priority="660">
      <formula>$B414="x"</formula>
    </cfRule>
  </conditionalFormatting>
  <conditionalFormatting sqref="N414:P414">
    <cfRule type="expression" dxfId="637" priority="657">
      <formula>$I414&lt;&gt;"Ativo"</formula>
    </cfRule>
    <cfRule type="expression" dxfId="636" priority="658">
      <formula>$B414="x"</formula>
    </cfRule>
  </conditionalFormatting>
  <conditionalFormatting sqref="N414:P414">
    <cfRule type="expression" dxfId="635" priority="655">
      <formula>$I414&lt;&gt;"Ativo"</formula>
    </cfRule>
    <cfRule type="expression" dxfId="634" priority="656">
      <formula>$B414="x"</formula>
    </cfRule>
  </conditionalFormatting>
  <conditionalFormatting sqref="N414">
    <cfRule type="expression" dxfId="633" priority="653">
      <formula>$I414&lt;&gt;"Ativo"</formula>
    </cfRule>
    <cfRule type="expression" dxfId="632" priority="654">
      <formula>$B414="x"</formula>
    </cfRule>
  </conditionalFormatting>
  <conditionalFormatting sqref="O414:P414">
    <cfRule type="expression" dxfId="631" priority="651">
      <formula>$I414&lt;&gt;"Ativo"</formula>
    </cfRule>
    <cfRule type="expression" dxfId="630" priority="652">
      <formula>$B414="x"</formula>
    </cfRule>
  </conditionalFormatting>
  <conditionalFormatting sqref="K414:P414">
    <cfRule type="expression" dxfId="629" priority="649">
      <formula>$I414&lt;&gt;"Ativo"</formula>
    </cfRule>
    <cfRule type="expression" dxfId="628" priority="650">
      <formula>$B414="x"</formula>
    </cfRule>
  </conditionalFormatting>
  <conditionalFormatting sqref="K414:P414">
    <cfRule type="expression" dxfId="627" priority="647">
      <formula>$I414&lt;&gt;"Ativo"</formula>
    </cfRule>
    <cfRule type="expression" dxfId="626" priority="648">
      <formula>$B414="x"</formula>
    </cfRule>
  </conditionalFormatting>
  <conditionalFormatting sqref="K414:P414">
    <cfRule type="expression" dxfId="625" priority="645">
      <formula>$I414&lt;&gt;"Ativo"</formula>
    </cfRule>
    <cfRule type="expression" dxfId="624" priority="646">
      <formula>$B414="x"</formula>
    </cfRule>
  </conditionalFormatting>
  <conditionalFormatting sqref="K414">
    <cfRule type="expression" dxfId="623" priority="643">
      <formula>$I414&lt;&gt;"Ativo"</formula>
    </cfRule>
    <cfRule type="expression" dxfId="622" priority="644">
      <formula>$B414="x"</formula>
    </cfRule>
  </conditionalFormatting>
  <conditionalFormatting sqref="L414">
    <cfRule type="expression" dxfId="621" priority="641">
      <formula>$I414&lt;&gt;"Ativo"</formula>
    </cfRule>
    <cfRule type="expression" dxfId="620" priority="642">
      <formula>$B414="x"</formula>
    </cfRule>
  </conditionalFormatting>
  <conditionalFormatting sqref="M414">
    <cfRule type="expression" dxfId="619" priority="639">
      <formula>$I414&lt;&gt;"Ativo"</formula>
    </cfRule>
    <cfRule type="expression" dxfId="618" priority="640">
      <formula>$B414="x"</formula>
    </cfRule>
  </conditionalFormatting>
  <conditionalFormatting sqref="N414">
    <cfRule type="expression" dxfId="617" priority="637">
      <formula>$I414&lt;&gt;"Ativo"</formula>
    </cfRule>
    <cfRule type="expression" dxfId="616" priority="638">
      <formula>$B414="x"</formula>
    </cfRule>
  </conditionalFormatting>
  <conditionalFormatting sqref="O414:P414">
    <cfRule type="expression" dxfId="615" priority="635">
      <formula>$I414&lt;&gt;"Ativo"</formula>
    </cfRule>
    <cfRule type="expression" dxfId="614" priority="636">
      <formula>$B414="x"</formula>
    </cfRule>
  </conditionalFormatting>
  <conditionalFormatting sqref="C415">
    <cfRule type="expression" dxfId="613" priority="633">
      <formula>$I415&lt;&gt;"Ativo"</formula>
    </cfRule>
    <cfRule type="expression" dxfId="612" priority="634">
      <formula>$B415="x"</formula>
    </cfRule>
  </conditionalFormatting>
  <conditionalFormatting sqref="C415">
    <cfRule type="expression" dxfId="611" priority="631">
      <formula>$I415&lt;&gt;"Ativo"</formula>
    </cfRule>
    <cfRule type="expression" dxfId="610" priority="632">
      <formula>$B415="x"</formula>
    </cfRule>
  </conditionalFormatting>
  <conditionalFormatting sqref="N416:P416">
    <cfRule type="expression" dxfId="609" priority="629">
      <formula>$I416&lt;&gt;"Ativo"</formula>
    </cfRule>
    <cfRule type="expression" dxfId="608" priority="630">
      <formula>$B416="x"</formula>
    </cfRule>
  </conditionalFormatting>
  <conditionalFormatting sqref="H416">
    <cfRule type="expression" dxfId="607" priority="627">
      <formula>$I416&lt;&gt;"Ativo"</formula>
    </cfRule>
    <cfRule type="expression" dxfId="606" priority="628">
      <formula>$B416="x"</formula>
    </cfRule>
  </conditionalFormatting>
  <conditionalFormatting sqref="H416">
    <cfRule type="expression" dxfId="605" priority="625">
      <formula>$I416&lt;&gt;"Ativo"</formula>
    </cfRule>
    <cfRule type="expression" dxfId="604" priority="626">
      <formula>$B416="x"</formula>
    </cfRule>
  </conditionalFormatting>
  <conditionalFormatting sqref="H416">
    <cfRule type="expression" dxfId="603" priority="623">
      <formula>$I416&lt;&gt;"Ativo"</formula>
    </cfRule>
    <cfRule type="expression" dxfId="602" priority="624">
      <formula>$B416="x"</formula>
    </cfRule>
  </conditionalFormatting>
  <conditionalFormatting sqref="H416">
    <cfRule type="expression" dxfId="601" priority="621">
      <formula>$I416&lt;&gt;"Ativo"</formula>
    </cfRule>
    <cfRule type="expression" dxfId="600" priority="622">
      <formula>$B416="x"</formula>
    </cfRule>
  </conditionalFormatting>
  <conditionalFormatting sqref="H416">
    <cfRule type="expression" dxfId="599" priority="619">
      <formula>$I416&lt;&gt;"Ativo"</formula>
    </cfRule>
    <cfRule type="expression" dxfId="598" priority="620">
      <formula>$B416="x"</formula>
    </cfRule>
  </conditionalFormatting>
  <conditionalFormatting sqref="K417:P417">
    <cfRule type="expression" dxfId="597" priority="617">
      <formula>$I417&lt;&gt;"Ativo"</formula>
    </cfRule>
    <cfRule type="expression" dxfId="596" priority="618">
      <formula>$B417="x"</formula>
    </cfRule>
  </conditionalFormatting>
  <conditionalFormatting sqref="N417:P417">
    <cfRule type="expression" dxfId="595" priority="615">
      <formula>$I417&lt;&gt;"Ativo"</formula>
    </cfRule>
    <cfRule type="expression" dxfId="594" priority="616">
      <formula>$B417="x"</formula>
    </cfRule>
  </conditionalFormatting>
  <conditionalFormatting sqref="H417">
    <cfRule type="expression" dxfId="593" priority="613">
      <formula>$I417&lt;&gt;"Ativo"</formula>
    </cfRule>
    <cfRule type="expression" dxfId="592" priority="614">
      <formula>$B417="x"</formula>
    </cfRule>
  </conditionalFormatting>
  <conditionalFormatting sqref="H417">
    <cfRule type="expression" dxfId="591" priority="611">
      <formula>$I417&lt;&gt;"Ativo"</formula>
    </cfRule>
    <cfRule type="expression" dxfId="590" priority="612">
      <formula>$B417="x"</formula>
    </cfRule>
  </conditionalFormatting>
  <conditionalFormatting sqref="H417">
    <cfRule type="expression" dxfId="589" priority="609">
      <formula>$I417&lt;&gt;"Ativo"</formula>
    </cfRule>
    <cfRule type="expression" dxfId="588" priority="610">
      <formula>$B417="x"</formula>
    </cfRule>
  </conditionalFormatting>
  <conditionalFormatting sqref="H417">
    <cfRule type="expression" dxfId="587" priority="607">
      <formula>$I417&lt;&gt;"Ativo"</formula>
    </cfRule>
    <cfRule type="expression" dxfId="586" priority="608">
      <formula>$B417="x"</formula>
    </cfRule>
  </conditionalFormatting>
  <conditionalFormatting sqref="H417">
    <cfRule type="expression" dxfId="585" priority="605">
      <formula>$I417&lt;&gt;"Ativo"</formula>
    </cfRule>
    <cfRule type="expression" dxfId="584" priority="606">
      <formula>$B417="x"</formula>
    </cfRule>
  </conditionalFormatting>
  <conditionalFormatting sqref="N417:P417">
    <cfRule type="expression" dxfId="583" priority="603">
      <formula>$I417&lt;&gt;"Ativo"</formula>
    </cfRule>
    <cfRule type="expression" dxfId="582" priority="604">
      <formula>$B417="x"</formula>
    </cfRule>
  </conditionalFormatting>
  <conditionalFormatting sqref="K417:P417">
    <cfRule type="expression" dxfId="581" priority="601">
      <formula>$I417&lt;&gt;"Ativo"</formula>
    </cfRule>
    <cfRule type="expression" dxfId="580" priority="602">
      <formula>$B417="x"</formula>
    </cfRule>
  </conditionalFormatting>
  <conditionalFormatting sqref="N417:P417">
    <cfRule type="expression" dxfId="579" priority="599">
      <formula>$I417&lt;&gt;"Ativo"</formula>
    </cfRule>
    <cfRule type="expression" dxfId="578" priority="600">
      <formula>$B417="x"</formula>
    </cfRule>
  </conditionalFormatting>
  <conditionalFormatting sqref="D418:AC418 D420:AC420 AF418 AF420:AK421 D421:AD433 AF422:AP433">
    <cfRule type="expression" dxfId="577" priority="597">
      <formula>$I418&lt;&gt;"Ativo"</formula>
    </cfRule>
    <cfRule type="expression" dxfId="576" priority="598">
      <formula>$B418="x"</formula>
    </cfRule>
  </conditionalFormatting>
  <conditionalFormatting sqref="V418:Y418 V420:Y433">
    <cfRule type="expression" dxfId="575" priority="595">
      <formula>$G418&lt;&gt;"Ativo"</formula>
    </cfRule>
    <cfRule type="expression" dxfId="574" priority="596">
      <formula>$B418="x"</formula>
    </cfRule>
  </conditionalFormatting>
  <conditionalFormatting sqref="Y418 Y420:Y433">
    <cfRule type="expression" dxfId="573" priority="593">
      <formula>$I418&lt;&gt;"Ativo"</formula>
    </cfRule>
    <cfRule type="expression" dxfId="572" priority="594">
      <formula>$B418="x"</formula>
    </cfRule>
  </conditionalFormatting>
  <conditionalFormatting sqref="Y418 Y420:Y433">
    <cfRule type="expression" dxfId="571" priority="591">
      <formula>$I418&lt;&gt;"Ativo"</formula>
    </cfRule>
    <cfRule type="expression" dxfId="570" priority="592">
      <formula>$B418="x"</formula>
    </cfRule>
  </conditionalFormatting>
  <conditionalFormatting sqref="V419:X419">
    <cfRule type="expression" dxfId="569" priority="589">
      <formula>$G419&lt;&gt;"Ativo"</formula>
    </cfRule>
    <cfRule type="expression" dxfId="568" priority="590">
      <formula>$B419="x"</formula>
    </cfRule>
  </conditionalFormatting>
  <conditionalFormatting sqref="D419:AC419 AF419:AQ419">
    <cfRule type="expression" dxfId="567" priority="587">
      <formula>$I419&lt;&gt;"Ativo"</formula>
    </cfRule>
    <cfRule type="expression" dxfId="566" priority="588">
      <formula>$B419="x"</formula>
    </cfRule>
  </conditionalFormatting>
  <conditionalFormatting sqref="F419">
    <cfRule type="expression" dxfId="565" priority="585">
      <formula>$I419&lt;&gt;"Ativo"</formula>
    </cfRule>
    <cfRule type="expression" dxfId="564" priority="586">
      <formula>$B419="x"</formula>
    </cfRule>
  </conditionalFormatting>
  <conditionalFormatting sqref="H419">
    <cfRule type="expression" dxfId="563" priority="583">
      <formula>$I419&lt;&gt;"Ativo"</formula>
    </cfRule>
    <cfRule type="expression" dxfId="562" priority="584">
      <formula>$B419="x"</formula>
    </cfRule>
  </conditionalFormatting>
  <conditionalFormatting sqref="H419">
    <cfRule type="expression" dxfId="561" priority="581">
      <formula>$I419&lt;&gt;"Ativo"</formula>
    </cfRule>
    <cfRule type="expression" dxfId="560" priority="582">
      <formula>$B419="x"</formula>
    </cfRule>
  </conditionalFormatting>
  <conditionalFormatting sqref="H419">
    <cfRule type="expression" dxfId="559" priority="579">
      <formula>$I419&lt;&gt;"Ativo"</formula>
    </cfRule>
    <cfRule type="expression" dxfId="558" priority="580">
      <formula>$B419="x"</formula>
    </cfRule>
  </conditionalFormatting>
  <conditionalFormatting sqref="H419">
    <cfRule type="expression" dxfId="557" priority="577">
      <formula>$I419&lt;&gt;"Ativo"</formula>
    </cfRule>
    <cfRule type="expression" dxfId="556" priority="578">
      <formula>$B419="x"</formula>
    </cfRule>
  </conditionalFormatting>
  <conditionalFormatting sqref="H419">
    <cfRule type="expression" dxfId="555" priority="575">
      <formula>$I419&lt;&gt;"Ativo"</formula>
    </cfRule>
    <cfRule type="expression" dxfId="554" priority="576">
      <formula>$B419="x"</formula>
    </cfRule>
  </conditionalFormatting>
  <conditionalFormatting sqref="V419:X419">
    <cfRule type="expression" dxfId="553" priority="573">
      <formula>$I419&lt;&gt;"Ativo"</formula>
    </cfRule>
    <cfRule type="expression" dxfId="552" priority="574">
      <formula>$B419="x"</formula>
    </cfRule>
  </conditionalFormatting>
  <conditionalFormatting sqref="V419:X419">
    <cfRule type="expression" dxfId="551" priority="571">
      <formula>$G419&lt;&gt;"Ativo"</formula>
    </cfRule>
    <cfRule type="expression" dxfId="550" priority="572">
      <formula>$B419="x"</formula>
    </cfRule>
  </conditionalFormatting>
  <conditionalFormatting sqref="AD411:AD417">
    <cfRule type="expression" dxfId="549" priority="569">
      <formula>$I411&lt;&gt;"Ativo"</formula>
    </cfRule>
    <cfRule type="expression" dxfId="548" priority="570">
      <formula>$B411="x"</formula>
    </cfRule>
  </conditionalFormatting>
  <conditionalFormatting sqref="AJ413:AQ417">
    <cfRule type="expression" dxfId="547" priority="567">
      <formula>$I413&lt;&gt;"Ativo"</formula>
    </cfRule>
    <cfRule type="expression" dxfId="546" priority="568">
      <formula>$B413="x"</formula>
    </cfRule>
  </conditionalFormatting>
  <conditionalFormatting sqref="AD418">
    <cfRule type="expression" dxfId="545" priority="565">
      <formula>$I418&lt;&gt;"Ativo"</formula>
    </cfRule>
    <cfRule type="expression" dxfId="544" priority="566">
      <formula>$B418="x"</formula>
    </cfRule>
  </conditionalFormatting>
  <conditionalFormatting sqref="AE418">
    <cfRule type="expression" dxfId="543" priority="563">
      <formula>$I418&lt;&gt;"Ativo"</formula>
    </cfRule>
    <cfRule type="expression" dxfId="542" priority="564">
      <formula>$B418="x"</formula>
    </cfRule>
  </conditionalFormatting>
  <conditionalFormatting sqref="AQ418">
    <cfRule type="expression" dxfId="541" priority="561">
      <formula>$I418&lt;&gt;"Ativo"</formula>
    </cfRule>
    <cfRule type="expression" dxfId="540" priority="562">
      <formula>$B418="x"</formula>
    </cfRule>
  </conditionalFormatting>
  <conditionalFormatting sqref="AO418">
    <cfRule type="expression" dxfId="539" priority="559">
      <formula>$I418&lt;&gt;"Ativo"</formula>
    </cfRule>
    <cfRule type="expression" dxfId="538" priority="560">
      <formula>$B418="x"</formula>
    </cfRule>
  </conditionalFormatting>
  <conditionalFormatting sqref="AN418">
    <cfRule type="expression" dxfId="537" priority="557">
      <formula>$I418&lt;&gt;"Ativo"</formula>
    </cfRule>
    <cfRule type="expression" dxfId="536" priority="558">
      <formula>$B418="x"</formula>
    </cfRule>
  </conditionalFormatting>
  <conditionalFormatting sqref="AD419">
    <cfRule type="expression" dxfId="535" priority="555">
      <formula>$I419&lt;&gt;"Ativo"</formula>
    </cfRule>
    <cfRule type="expression" dxfId="534" priority="556">
      <formula>$B419="x"</formula>
    </cfRule>
  </conditionalFormatting>
  <conditionalFormatting sqref="AD420">
    <cfRule type="expression" dxfId="533" priority="553">
      <formula>$I420&lt;&gt;"Ativo"</formula>
    </cfRule>
    <cfRule type="expression" dxfId="532" priority="554">
      <formula>$B420="x"</formula>
    </cfRule>
  </conditionalFormatting>
  <conditionalFormatting sqref="AL420:AP420">
    <cfRule type="expression" dxfId="531" priority="551">
      <formula>$I420&lt;&gt;"Ativo"</formula>
    </cfRule>
    <cfRule type="expression" dxfId="530" priority="552">
      <formula>$B420="x"</formula>
    </cfRule>
  </conditionalFormatting>
  <conditionalFormatting sqref="AQ420">
    <cfRule type="expression" dxfId="529" priority="549">
      <formula>$I420&lt;&gt;"Ativo"</formula>
    </cfRule>
    <cfRule type="expression" dxfId="528" priority="550">
      <formula>$B420="x"</formula>
    </cfRule>
  </conditionalFormatting>
  <conditionalFormatting sqref="AE419:AE433">
    <cfRule type="expression" dxfId="527" priority="547">
      <formula>$I419&lt;&gt;"Ativo"</formula>
    </cfRule>
    <cfRule type="expression" dxfId="526" priority="548">
      <formula>$B419="x"</formula>
    </cfRule>
  </conditionalFormatting>
  <conditionalFormatting sqref="AM421:AQ421">
    <cfRule type="expression" dxfId="525" priority="545">
      <formula>$I421&lt;&gt;"Ativo"</formula>
    </cfRule>
    <cfRule type="expression" dxfId="524" priority="546">
      <formula>$B421="x"</formula>
    </cfRule>
  </conditionalFormatting>
  <conditionalFormatting sqref="AL421">
    <cfRule type="expression" dxfId="523" priority="543">
      <formula>$I421&lt;&gt;"Ativo"</formula>
    </cfRule>
    <cfRule type="expression" dxfId="522" priority="544">
      <formula>$B421="x"</formula>
    </cfRule>
  </conditionalFormatting>
  <conditionalFormatting sqref="AD422">
    <cfRule type="expression" dxfId="521" priority="541">
      <formula>$I422&lt;&gt;"Ativo"</formula>
    </cfRule>
    <cfRule type="expression" dxfId="520" priority="542">
      <formula>$B422="x"</formula>
    </cfRule>
  </conditionalFormatting>
  <conditionalFormatting sqref="V425:X427">
    <cfRule type="expression" dxfId="519" priority="539">
      <formula>$G425&lt;&gt;"Ativo"</formula>
    </cfRule>
    <cfRule type="expression" dxfId="518" priority="540">
      <formula>$B425="x"</formula>
    </cfRule>
  </conditionalFormatting>
  <conditionalFormatting sqref="C425:AQ425 I426:AP426 C426:G427 I427:AQ427">
    <cfRule type="expression" dxfId="517" priority="537">
      <formula>$I425&lt;&gt;"Ativo"</formula>
    </cfRule>
    <cfRule type="expression" dxfId="516" priority="538">
      <formula>$B425="x"</formula>
    </cfRule>
  </conditionalFormatting>
  <conditionalFormatting sqref="K426:P426">
    <cfRule type="expression" dxfId="515" priority="535">
      <formula>$I426&lt;&gt;"Ativo"</formula>
    </cfRule>
    <cfRule type="expression" dxfId="514" priority="536">
      <formula>$B426="x"</formula>
    </cfRule>
  </conditionalFormatting>
  <conditionalFormatting sqref="H426">
    <cfRule type="expression" dxfId="513" priority="533">
      <formula>$I426&lt;&gt;"Ativo"</formula>
    </cfRule>
    <cfRule type="expression" dxfId="512" priority="534">
      <formula>$B426="x"</formula>
    </cfRule>
  </conditionalFormatting>
  <conditionalFormatting sqref="H426">
    <cfRule type="expression" dxfId="511" priority="531">
      <formula>$I426&lt;&gt;"Ativo"</formula>
    </cfRule>
    <cfRule type="expression" dxfId="510" priority="532">
      <formula>$B426="x"</formula>
    </cfRule>
  </conditionalFormatting>
  <conditionalFormatting sqref="K426:P426">
    <cfRule type="expression" dxfId="509" priority="529">
      <formula>$I426&lt;&gt;"Ativo"</formula>
    </cfRule>
    <cfRule type="expression" dxfId="508" priority="530">
      <formula>$B426="x"</formula>
    </cfRule>
  </conditionalFormatting>
  <conditionalFormatting sqref="K426:P426">
    <cfRule type="expression" dxfId="507" priority="527">
      <formula>$I426&lt;&gt;"Ativo"</formula>
    </cfRule>
    <cfRule type="expression" dxfId="506" priority="528">
      <formula>$B426="x"</formula>
    </cfRule>
  </conditionalFormatting>
  <conditionalFormatting sqref="K426:P426">
    <cfRule type="expression" dxfId="505" priority="525">
      <formula>$I426&lt;&gt;"Ativo"</formula>
    </cfRule>
    <cfRule type="expression" dxfId="504" priority="526">
      <formula>$B426="x"</formula>
    </cfRule>
  </conditionalFormatting>
  <conditionalFormatting sqref="K426">
    <cfRule type="expression" dxfId="503" priority="523">
      <formula>$I426&lt;&gt;"Ativo"</formula>
    </cfRule>
    <cfRule type="expression" dxfId="502" priority="524">
      <formula>$B426="x"</formula>
    </cfRule>
  </conditionalFormatting>
  <conditionalFormatting sqref="L426">
    <cfRule type="expression" dxfId="501" priority="521">
      <formula>$I426&lt;&gt;"Ativo"</formula>
    </cfRule>
    <cfRule type="expression" dxfId="500" priority="522">
      <formula>$B426="x"</formula>
    </cfRule>
  </conditionalFormatting>
  <conditionalFormatting sqref="M426">
    <cfRule type="expression" dxfId="499" priority="519">
      <formula>$I426&lt;&gt;"Ativo"</formula>
    </cfRule>
    <cfRule type="expression" dxfId="498" priority="520">
      <formula>$B426="x"</formula>
    </cfRule>
  </conditionalFormatting>
  <conditionalFormatting sqref="N426">
    <cfRule type="expression" dxfId="497" priority="517">
      <formula>$I426&lt;&gt;"Ativo"</formula>
    </cfRule>
    <cfRule type="expression" dxfId="496" priority="518">
      <formula>$B426="x"</formula>
    </cfRule>
  </conditionalFormatting>
  <conditionalFormatting sqref="O426:P426">
    <cfRule type="expression" dxfId="495" priority="515">
      <formula>$I426&lt;&gt;"Ativo"</formula>
    </cfRule>
    <cfRule type="expression" dxfId="494" priority="516">
      <formula>$B426="x"</formula>
    </cfRule>
  </conditionalFormatting>
  <conditionalFormatting sqref="H426">
    <cfRule type="expression" dxfId="493" priority="513">
      <formula>$I426&lt;&gt;"Ativo"</formula>
    </cfRule>
    <cfRule type="expression" dxfId="492" priority="514">
      <formula>$B426="x"</formula>
    </cfRule>
  </conditionalFormatting>
  <conditionalFormatting sqref="H426">
    <cfRule type="expression" dxfId="491" priority="511">
      <formula>$I426&lt;&gt;"Ativo"</formula>
    </cfRule>
    <cfRule type="expression" dxfId="490" priority="512">
      <formula>$B426="x"</formula>
    </cfRule>
  </conditionalFormatting>
  <conditionalFormatting sqref="H426">
    <cfRule type="expression" dxfId="489" priority="509">
      <formula>$I426&lt;&gt;"Ativo"</formula>
    </cfRule>
    <cfRule type="expression" dxfId="488" priority="510">
      <formula>$B426="x"</formula>
    </cfRule>
  </conditionalFormatting>
  <conditionalFormatting sqref="AQ426">
    <cfRule type="expression" dxfId="487" priority="507">
      <formula>$I426&lt;&gt;"Ativo"</formula>
    </cfRule>
    <cfRule type="expression" dxfId="486" priority="508">
      <formula>$B426="x"</formula>
    </cfRule>
  </conditionalFormatting>
  <conditionalFormatting sqref="K426:P426">
    <cfRule type="expression" dxfId="485" priority="505">
      <formula>$I426&lt;&gt;"Ativo"</formula>
    </cfRule>
    <cfRule type="expression" dxfId="484" priority="506">
      <formula>$B426="x"</formula>
    </cfRule>
  </conditionalFormatting>
  <conditionalFormatting sqref="K426:P426">
    <cfRule type="expression" dxfId="483" priority="503">
      <formula>$I426&lt;&gt;"Ativo"</formula>
    </cfRule>
    <cfRule type="expression" dxfId="482" priority="504">
      <formula>$B426="x"</formula>
    </cfRule>
  </conditionalFormatting>
  <conditionalFormatting sqref="K426:P426">
    <cfRule type="expression" dxfId="481" priority="501">
      <formula>$I426&lt;&gt;"Ativo"</formula>
    </cfRule>
    <cfRule type="expression" dxfId="480" priority="502">
      <formula>$B426="x"</formula>
    </cfRule>
  </conditionalFormatting>
  <conditionalFormatting sqref="K426">
    <cfRule type="expression" dxfId="479" priority="499">
      <formula>$I426&lt;&gt;"Ativo"</formula>
    </cfRule>
    <cfRule type="expression" dxfId="478" priority="500">
      <formula>$B426="x"</formula>
    </cfRule>
  </conditionalFormatting>
  <conditionalFormatting sqref="L426">
    <cfRule type="expression" dxfId="477" priority="497">
      <formula>$I426&lt;&gt;"Ativo"</formula>
    </cfRule>
    <cfRule type="expression" dxfId="476" priority="498">
      <formula>$B426="x"</formula>
    </cfRule>
  </conditionalFormatting>
  <conditionalFormatting sqref="M426">
    <cfRule type="expression" dxfId="475" priority="495">
      <formula>$I426&lt;&gt;"Ativo"</formula>
    </cfRule>
    <cfRule type="expression" dxfId="474" priority="496">
      <formula>$B426="x"</formula>
    </cfRule>
  </conditionalFormatting>
  <conditionalFormatting sqref="N426">
    <cfRule type="expression" dxfId="473" priority="493">
      <formula>$I426&lt;&gt;"Ativo"</formula>
    </cfRule>
    <cfRule type="expression" dxfId="472" priority="494">
      <formula>$B426="x"</formula>
    </cfRule>
  </conditionalFormatting>
  <conditionalFormatting sqref="O426:P426">
    <cfRule type="expression" dxfId="471" priority="491">
      <formula>$I426&lt;&gt;"Ativo"</formula>
    </cfRule>
    <cfRule type="expression" dxfId="470" priority="492">
      <formula>$B426="x"</formula>
    </cfRule>
  </conditionalFormatting>
  <conditionalFormatting sqref="K427:P427">
    <cfRule type="expression" dxfId="469" priority="489">
      <formula>$I427&lt;&gt;"Ativo"</formula>
    </cfRule>
    <cfRule type="expression" dxfId="468" priority="490">
      <formula>$B427="x"</formula>
    </cfRule>
  </conditionalFormatting>
  <conditionalFormatting sqref="H427">
    <cfRule type="expression" dxfId="467" priority="487">
      <formula>$I427&lt;&gt;"Ativo"</formula>
    </cfRule>
    <cfRule type="expression" dxfId="466" priority="488">
      <formula>$B427="x"</formula>
    </cfRule>
  </conditionalFormatting>
  <conditionalFormatting sqref="H427">
    <cfRule type="expression" dxfId="465" priority="485">
      <formula>$I427&lt;&gt;"Ativo"</formula>
    </cfRule>
    <cfRule type="expression" dxfId="464" priority="486">
      <formula>$B427="x"</formula>
    </cfRule>
  </conditionalFormatting>
  <conditionalFormatting sqref="H427">
    <cfRule type="expression" dxfId="463" priority="483">
      <formula>$I427&lt;&gt;"Ativo"</formula>
    </cfRule>
    <cfRule type="expression" dxfId="462" priority="484">
      <formula>$B427="x"</formula>
    </cfRule>
  </conditionalFormatting>
  <conditionalFormatting sqref="K427:P427">
    <cfRule type="expression" dxfId="461" priority="481">
      <formula>$I427&lt;&gt;"Ativo"</formula>
    </cfRule>
    <cfRule type="expression" dxfId="460" priority="482">
      <formula>$B427="x"</formula>
    </cfRule>
  </conditionalFormatting>
  <conditionalFormatting sqref="K427:P427">
    <cfRule type="expression" dxfId="459" priority="479">
      <formula>$I427&lt;&gt;"Ativo"</formula>
    </cfRule>
    <cfRule type="expression" dxfId="458" priority="480">
      <formula>$B427="x"</formula>
    </cfRule>
  </conditionalFormatting>
  <conditionalFormatting sqref="K427:P427">
    <cfRule type="expression" dxfId="457" priority="477">
      <formula>$I427&lt;&gt;"Ativo"</formula>
    </cfRule>
    <cfRule type="expression" dxfId="456" priority="478">
      <formula>$B427="x"</formula>
    </cfRule>
  </conditionalFormatting>
  <conditionalFormatting sqref="K427:P427">
    <cfRule type="expression" dxfId="455" priority="475">
      <formula>$I427&lt;&gt;"Ativo"</formula>
    </cfRule>
    <cfRule type="expression" dxfId="454" priority="476">
      <formula>$B427="x"</formula>
    </cfRule>
  </conditionalFormatting>
  <conditionalFormatting sqref="K427:P427">
    <cfRule type="expression" dxfId="453" priority="473">
      <formula>$I427&lt;&gt;"Ativo"</formula>
    </cfRule>
    <cfRule type="expression" dxfId="452" priority="474">
      <formula>$B427="x"</formula>
    </cfRule>
  </conditionalFormatting>
  <conditionalFormatting sqref="K427:P427">
    <cfRule type="expression" dxfId="451" priority="471">
      <formula>$I427&lt;&gt;"Ativo"</formula>
    </cfRule>
    <cfRule type="expression" dxfId="450" priority="472">
      <formula>$B427="x"</formula>
    </cfRule>
  </conditionalFormatting>
  <conditionalFormatting sqref="K427">
    <cfRule type="expression" dxfId="449" priority="469">
      <formula>$I427&lt;&gt;"Ativo"</formula>
    </cfRule>
    <cfRule type="expression" dxfId="448" priority="470">
      <formula>$B427="x"</formula>
    </cfRule>
  </conditionalFormatting>
  <conditionalFormatting sqref="L427">
    <cfRule type="expression" dxfId="447" priority="467">
      <formula>$I427&lt;&gt;"Ativo"</formula>
    </cfRule>
    <cfRule type="expression" dxfId="446" priority="468">
      <formula>$B427="x"</formula>
    </cfRule>
  </conditionalFormatting>
  <conditionalFormatting sqref="M427">
    <cfRule type="expression" dxfId="445" priority="465">
      <formula>$I427&lt;&gt;"Ativo"</formula>
    </cfRule>
    <cfRule type="expression" dxfId="444" priority="466">
      <formula>$B427="x"</formula>
    </cfRule>
  </conditionalFormatting>
  <conditionalFormatting sqref="N427">
    <cfRule type="expression" dxfId="443" priority="463">
      <formula>$I427&lt;&gt;"Ativo"</formula>
    </cfRule>
    <cfRule type="expression" dxfId="442" priority="464">
      <formula>$B427="x"</formula>
    </cfRule>
  </conditionalFormatting>
  <conditionalFormatting sqref="O427:P427">
    <cfRule type="expression" dxfId="441" priority="461">
      <formula>$I427&lt;&gt;"Ativo"</formula>
    </cfRule>
    <cfRule type="expression" dxfId="440" priority="462">
      <formula>$B427="x"</formula>
    </cfRule>
  </conditionalFormatting>
  <conditionalFormatting sqref="H427">
    <cfRule type="expression" dxfId="439" priority="459">
      <formula>$I427&lt;&gt;"Ativo"</formula>
    </cfRule>
    <cfRule type="expression" dxfId="438" priority="460">
      <formula>$B427="x"</formula>
    </cfRule>
  </conditionalFormatting>
  <conditionalFormatting sqref="H427">
    <cfRule type="expression" dxfId="437" priority="457">
      <formula>$I427&lt;&gt;"Ativo"</formula>
    </cfRule>
    <cfRule type="expression" dxfId="436" priority="458">
      <formula>$B427="x"</formula>
    </cfRule>
  </conditionalFormatting>
  <conditionalFormatting sqref="H427">
    <cfRule type="expression" dxfId="435" priority="455">
      <formula>$I427&lt;&gt;"Ativo"</formula>
    </cfRule>
    <cfRule type="expression" dxfId="434" priority="456">
      <formula>$B427="x"</formula>
    </cfRule>
  </conditionalFormatting>
  <conditionalFormatting sqref="H427">
    <cfRule type="expression" dxfId="433" priority="453">
      <formula>$I427&lt;&gt;"Ativo"</formula>
    </cfRule>
    <cfRule type="expression" dxfId="432" priority="454">
      <formula>$B427="x"</formula>
    </cfRule>
  </conditionalFormatting>
  <conditionalFormatting sqref="H427">
    <cfRule type="expression" dxfId="431" priority="451">
      <formula>$I427&lt;&gt;"Ativo"</formula>
    </cfRule>
    <cfRule type="expression" dxfId="430" priority="452">
      <formula>$B427="x"</formula>
    </cfRule>
  </conditionalFormatting>
  <conditionalFormatting sqref="H427">
    <cfRule type="expression" dxfId="429" priority="449">
      <formula>$I427&lt;&gt;"Ativo"</formula>
    </cfRule>
    <cfRule type="expression" dxfId="428" priority="450">
      <formula>$B427="x"</formula>
    </cfRule>
  </conditionalFormatting>
  <conditionalFormatting sqref="K427:P427">
    <cfRule type="expression" dxfId="427" priority="447">
      <formula>$I427&lt;&gt;"Ativo"</formula>
    </cfRule>
    <cfRule type="expression" dxfId="426" priority="448">
      <formula>$B427="x"</formula>
    </cfRule>
  </conditionalFormatting>
  <conditionalFormatting sqref="K427:P427">
    <cfRule type="expression" dxfId="425" priority="445">
      <formula>$I427&lt;&gt;"Ativo"</formula>
    </cfRule>
    <cfRule type="expression" dxfId="424" priority="446">
      <formula>$B427="x"</formula>
    </cfRule>
  </conditionalFormatting>
  <conditionalFormatting sqref="K427:P427">
    <cfRule type="expression" dxfId="423" priority="443">
      <formula>$I427&lt;&gt;"Ativo"</formula>
    </cfRule>
    <cfRule type="expression" dxfId="422" priority="444">
      <formula>$B427="x"</formula>
    </cfRule>
  </conditionalFormatting>
  <conditionalFormatting sqref="K427:P427">
    <cfRule type="expression" dxfId="421" priority="441">
      <formula>$I427&lt;&gt;"Ativo"</formula>
    </cfRule>
    <cfRule type="expression" dxfId="420" priority="442">
      <formula>$B427="x"</formula>
    </cfRule>
  </conditionalFormatting>
  <conditionalFormatting sqref="K427:P427">
    <cfRule type="expression" dxfId="419" priority="439">
      <formula>$I427&lt;&gt;"Ativo"</formula>
    </cfRule>
    <cfRule type="expression" dxfId="418" priority="440">
      <formula>$B427="x"</formula>
    </cfRule>
  </conditionalFormatting>
  <conditionalFormatting sqref="K427">
    <cfRule type="expression" dxfId="417" priority="437">
      <formula>$I427&lt;&gt;"Ativo"</formula>
    </cfRule>
    <cfRule type="expression" dxfId="416" priority="438">
      <formula>$B427="x"</formula>
    </cfRule>
  </conditionalFormatting>
  <conditionalFormatting sqref="L427">
    <cfRule type="expression" dxfId="415" priority="435">
      <formula>$I427&lt;&gt;"Ativo"</formula>
    </cfRule>
    <cfRule type="expression" dxfId="414" priority="436">
      <formula>$B427="x"</formula>
    </cfRule>
  </conditionalFormatting>
  <conditionalFormatting sqref="M427">
    <cfRule type="expression" dxfId="413" priority="433">
      <formula>$I427&lt;&gt;"Ativo"</formula>
    </cfRule>
    <cfRule type="expression" dxfId="412" priority="434">
      <formula>$B427="x"</formula>
    </cfRule>
  </conditionalFormatting>
  <conditionalFormatting sqref="N427">
    <cfRule type="expression" dxfId="411" priority="431">
      <formula>$I427&lt;&gt;"Ativo"</formula>
    </cfRule>
    <cfRule type="expression" dxfId="410" priority="432">
      <formula>$B427="x"</formula>
    </cfRule>
  </conditionalFormatting>
  <conditionalFormatting sqref="O427:P427">
    <cfRule type="expression" dxfId="409" priority="429">
      <formula>$I427&lt;&gt;"Ativo"</formula>
    </cfRule>
    <cfRule type="expression" dxfId="408" priority="430">
      <formula>$B427="x"</formula>
    </cfRule>
  </conditionalFormatting>
  <conditionalFormatting sqref="K427:L427">
    <cfRule type="expression" dxfId="407" priority="427">
      <formula>$I427&lt;&gt;"Ativo"</formula>
    </cfRule>
    <cfRule type="expression" dxfId="406" priority="428">
      <formula>$B427="x"</formula>
    </cfRule>
  </conditionalFormatting>
  <conditionalFormatting sqref="K427:L427">
    <cfRule type="expression" dxfId="405" priority="425">
      <formula>$I427&lt;&gt;"Ativo"</formula>
    </cfRule>
    <cfRule type="expression" dxfId="404" priority="426">
      <formula>$B427="x"</formula>
    </cfRule>
  </conditionalFormatting>
  <conditionalFormatting sqref="K427:L427">
    <cfRule type="expression" dxfId="403" priority="423">
      <formula>$I427&lt;&gt;"Ativo"</formula>
    </cfRule>
    <cfRule type="expression" dxfId="402" priority="424">
      <formula>$B427="x"</formula>
    </cfRule>
  </conditionalFormatting>
  <conditionalFormatting sqref="K427:L427">
    <cfRule type="expression" dxfId="401" priority="421">
      <formula>$I427&lt;&gt;"Ativo"</formula>
    </cfRule>
    <cfRule type="expression" dxfId="400" priority="422">
      <formula>$B427="x"</formula>
    </cfRule>
  </conditionalFormatting>
  <conditionalFormatting sqref="K427:L427">
    <cfRule type="expression" dxfId="399" priority="419">
      <formula>$I427&lt;&gt;"Ativo"</formula>
    </cfRule>
    <cfRule type="expression" dxfId="398" priority="420">
      <formula>$B427="x"</formula>
    </cfRule>
  </conditionalFormatting>
  <conditionalFormatting sqref="K427">
    <cfRule type="expression" dxfId="397" priority="417">
      <formula>$I427&lt;&gt;"Ativo"</formula>
    </cfRule>
    <cfRule type="expression" dxfId="396" priority="418">
      <formula>$B427="x"</formula>
    </cfRule>
  </conditionalFormatting>
  <conditionalFormatting sqref="L427">
    <cfRule type="expression" dxfId="395" priority="415">
      <formula>$I427&lt;&gt;"Ativo"</formula>
    </cfRule>
    <cfRule type="expression" dxfId="394" priority="416">
      <formula>$B427="x"</formula>
    </cfRule>
  </conditionalFormatting>
  <conditionalFormatting sqref="K427:L427">
    <cfRule type="expression" dxfId="393" priority="413">
      <formula>$I427&lt;&gt;"Ativo"</formula>
    </cfRule>
    <cfRule type="expression" dxfId="392" priority="414">
      <formula>$B427="x"</formula>
    </cfRule>
  </conditionalFormatting>
  <conditionalFormatting sqref="K427:L427">
    <cfRule type="expression" dxfId="391" priority="411">
      <formula>$I427&lt;&gt;"Ativo"</formula>
    </cfRule>
    <cfRule type="expression" dxfId="390" priority="412">
      <formula>$B427="x"</formula>
    </cfRule>
  </conditionalFormatting>
  <conditionalFormatting sqref="K427:L427">
    <cfRule type="expression" dxfId="389" priority="409">
      <formula>$I427&lt;&gt;"Ativo"</formula>
    </cfRule>
    <cfRule type="expression" dxfId="388" priority="410">
      <formula>$B427="x"</formula>
    </cfRule>
  </conditionalFormatting>
  <conditionalFormatting sqref="K427:L427">
    <cfRule type="expression" dxfId="387" priority="407">
      <formula>$I427&lt;&gt;"Ativo"</formula>
    </cfRule>
    <cfRule type="expression" dxfId="386" priority="408">
      <formula>$B427="x"</formula>
    </cfRule>
  </conditionalFormatting>
  <conditionalFormatting sqref="K427:L427">
    <cfRule type="expression" dxfId="385" priority="405">
      <formula>$I427&lt;&gt;"Ativo"</formula>
    </cfRule>
    <cfRule type="expression" dxfId="384" priority="406">
      <formula>$B427="x"</formula>
    </cfRule>
  </conditionalFormatting>
  <conditionalFormatting sqref="K427">
    <cfRule type="expression" dxfId="383" priority="403">
      <formula>$I427&lt;&gt;"Ativo"</formula>
    </cfRule>
    <cfRule type="expression" dxfId="382" priority="404">
      <formula>$B427="x"</formula>
    </cfRule>
  </conditionalFormatting>
  <conditionalFormatting sqref="L427">
    <cfRule type="expression" dxfId="381" priority="401">
      <formula>$I427&lt;&gt;"Ativo"</formula>
    </cfRule>
    <cfRule type="expression" dxfId="380" priority="402">
      <formula>$B427="x"</formula>
    </cfRule>
  </conditionalFormatting>
  <conditionalFormatting sqref="N427:P427">
    <cfRule type="expression" dxfId="379" priority="399">
      <formula>$I427&lt;&gt;"Ativo"</formula>
    </cfRule>
    <cfRule type="expression" dxfId="378" priority="400">
      <formula>$B427="x"</formula>
    </cfRule>
  </conditionalFormatting>
  <conditionalFormatting sqref="N427:P427">
    <cfRule type="expression" dxfId="377" priority="397">
      <formula>$I427&lt;&gt;"Ativo"</formula>
    </cfRule>
    <cfRule type="expression" dxfId="376" priority="398">
      <formula>$B427="x"</formula>
    </cfRule>
  </conditionalFormatting>
  <conditionalFormatting sqref="N427:P427">
    <cfRule type="expression" dxfId="375" priority="395">
      <formula>$I427&lt;&gt;"Ativo"</formula>
    </cfRule>
    <cfRule type="expression" dxfId="374" priority="396">
      <formula>$B427="x"</formula>
    </cfRule>
  </conditionalFormatting>
  <conditionalFormatting sqref="N427:P427">
    <cfRule type="expression" dxfId="373" priority="393">
      <formula>$I427&lt;&gt;"Ativo"</formula>
    </cfRule>
    <cfRule type="expression" dxfId="372" priority="394">
      <formula>$B427="x"</formula>
    </cfRule>
  </conditionalFormatting>
  <conditionalFormatting sqref="N427:P427">
    <cfRule type="expression" dxfId="371" priority="391">
      <formula>$I427&lt;&gt;"Ativo"</formula>
    </cfRule>
    <cfRule type="expression" dxfId="370" priority="392">
      <formula>$B427="x"</formula>
    </cfRule>
  </conditionalFormatting>
  <conditionalFormatting sqref="N427">
    <cfRule type="expression" dxfId="369" priority="389">
      <formula>$I427&lt;&gt;"Ativo"</formula>
    </cfRule>
    <cfRule type="expression" dxfId="368" priority="390">
      <formula>$B427="x"</formula>
    </cfRule>
  </conditionalFormatting>
  <conditionalFormatting sqref="O427:P427">
    <cfRule type="expression" dxfId="367" priority="387">
      <formula>$I427&lt;&gt;"Ativo"</formula>
    </cfRule>
    <cfRule type="expression" dxfId="366" priority="388">
      <formula>$B427="x"</formula>
    </cfRule>
  </conditionalFormatting>
  <conditionalFormatting sqref="K427:P427">
    <cfRule type="expression" dxfId="365" priority="385">
      <formula>$I427&lt;&gt;"Ativo"</formula>
    </cfRule>
    <cfRule type="expression" dxfId="364" priority="386">
      <formula>$B427="x"</formula>
    </cfRule>
  </conditionalFormatting>
  <conditionalFormatting sqref="K427:P427">
    <cfRule type="expression" dxfId="363" priority="383">
      <formula>$I427&lt;&gt;"Ativo"</formula>
    </cfRule>
    <cfRule type="expression" dxfId="362" priority="384">
      <formula>$B427="x"</formula>
    </cfRule>
  </conditionalFormatting>
  <conditionalFormatting sqref="K427:P427">
    <cfRule type="expression" dxfId="361" priority="381">
      <formula>$I427&lt;&gt;"Ativo"</formula>
    </cfRule>
    <cfRule type="expression" dxfId="360" priority="382">
      <formula>$B427="x"</formula>
    </cfRule>
  </conditionalFormatting>
  <conditionalFormatting sqref="K427">
    <cfRule type="expression" dxfId="359" priority="379">
      <formula>$I427&lt;&gt;"Ativo"</formula>
    </cfRule>
    <cfRule type="expression" dxfId="358" priority="380">
      <formula>$B427="x"</formula>
    </cfRule>
  </conditionalFormatting>
  <conditionalFormatting sqref="L427">
    <cfRule type="expression" dxfId="357" priority="377">
      <formula>$I427&lt;&gt;"Ativo"</formula>
    </cfRule>
    <cfRule type="expression" dxfId="356" priority="378">
      <formula>$B427="x"</formula>
    </cfRule>
  </conditionalFormatting>
  <conditionalFormatting sqref="M427">
    <cfRule type="expression" dxfId="355" priority="375">
      <formula>$I427&lt;&gt;"Ativo"</formula>
    </cfRule>
    <cfRule type="expression" dxfId="354" priority="376">
      <formula>$B427="x"</formula>
    </cfRule>
  </conditionalFormatting>
  <conditionalFormatting sqref="N427">
    <cfRule type="expression" dxfId="353" priority="373">
      <formula>$I427&lt;&gt;"Ativo"</formula>
    </cfRule>
    <cfRule type="expression" dxfId="352" priority="374">
      <formula>$B427="x"</formula>
    </cfRule>
  </conditionalFormatting>
  <conditionalFormatting sqref="O427:P427">
    <cfRule type="expression" dxfId="351" priority="371">
      <formula>$I427&lt;&gt;"Ativo"</formula>
    </cfRule>
    <cfRule type="expression" dxfId="350" priority="372">
      <formula>$B427="x"</formula>
    </cfRule>
  </conditionalFormatting>
  <conditionalFormatting sqref="V428:X428">
    <cfRule type="expression" dxfId="349" priority="369">
      <formula>$G428&lt;&gt;"Ativo"</formula>
    </cfRule>
    <cfRule type="expression" dxfId="348" priority="370">
      <formula>$B428="x"</formula>
    </cfRule>
  </conditionalFormatting>
  <conditionalFormatting sqref="AP428 D428:AD428">
    <cfRule type="expression" dxfId="347" priority="367">
      <formula>$I428&lt;&gt;"Ativo"</formula>
    </cfRule>
    <cfRule type="expression" dxfId="346" priority="368">
      <formula>$B428="x"</formula>
    </cfRule>
  </conditionalFormatting>
  <conditionalFormatting sqref="AE428:AO428 AQ428">
    <cfRule type="expression" dxfId="345" priority="365">
      <formula>$I428&lt;&gt;"Ativo"</formula>
    </cfRule>
    <cfRule type="expression" dxfId="344" priority="366">
      <formula>$B428="x"</formula>
    </cfRule>
  </conditionalFormatting>
  <conditionalFormatting sqref="K428:P428">
    <cfRule type="expression" dxfId="343" priority="363">
      <formula>$I428&lt;&gt;"Ativo"</formula>
    </cfRule>
    <cfRule type="expression" dxfId="342" priority="364">
      <formula>$B428="x"</formula>
    </cfRule>
  </conditionalFormatting>
  <conditionalFormatting sqref="K428:P428">
    <cfRule type="expression" dxfId="341" priority="361">
      <formula>$I428&lt;&gt;"Ativo"</formula>
    </cfRule>
    <cfRule type="expression" dxfId="340" priority="362">
      <formula>$B428="x"</formula>
    </cfRule>
  </conditionalFormatting>
  <conditionalFormatting sqref="N428:P428">
    <cfRule type="expression" dxfId="339" priority="359">
      <formula>$I428&lt;&gt;"Ativo"</formula>
    </cfRule>
    <cfRule type="expression" dxfId="338" priority="360">
      <formula>$B428="x"</formula>
    </cfRule>
  </conditionalFormatting>
  <conditionalFormatting sqref="H428">
    <cfRule type="expression" dxfId="337" priority="357">
      <formula>$I428&lt;&gt;"Ativo"</formula>
    </cfRule>
    <cfRule type="expression" dxfId="336" priority="358">
      <formula>$B428="x"</formula>
    </cfRule>
  </conditionalFormatting>
  <conditionalFormatting sqref="H428">
    <cfRule type="expression" dxfId="335" priority="355">
      <formula>$I428&lt;&gt;"Ativo"</formula>
    </cfRule>
    <cfRule type="expression" dxfId="334" priority="356">
      <formula>$B428="x"</formula>
    </cfRule>
  </conditionalFormatting>
  <conditionalFormatting sqref="H428">
    <cfRule type="expression" dxfId="333" priority="353">
      <formula>$I428&lt;&gt;"Ativo"</formula>
    </cfRule>
    <cfRule type="expression" dxfId="332" priority="354">
      <formula>$B428="x"</formula>
    </cfRule>
  </conditionalFormatting>
  <conditionalFormatting sqref="H428">
    <cfRule type="expression" dxfId="331" priority="351">
      <formula>$I428&lt;&gt;"Ativo"</formula>
    </cfRule>
    <cfRule type="expression" dxfId="330" priority="352">
      <formula>$B428="x"</formula>
    </cfRule>
  </conditionalFormatting>
  <conditionalFormatting sqref="H428">
    <cfRule type="expression" dxfId="329" priority="349">
      <formula>$I428&lt;&gt;"Ativo"</formula>
    </cfRule>
    <cfRule type="expression" dxfId="328" priority="350">
      <formula>$B428="x"</formula>
    </cfRule>
  </conditionalFormatting>
  <conditionalFormatting sqref="C428">
    <cfRule type="expression" dxfId="327" priority="347">
      <formula>$I428&lt;&gt;"Ativo"</formula>
    </cfRule>
    <cfRule type="expression" dxfId="326" priority="348">
      <formula>$B428="x"</formula>
    </cfRule>
  </conditionalFormatting>
  <conditionalFormatting sqref="C428">
    <cfRule type="expression" dxfId="325" priority="345">
      <formula>$I428&lt;&gt;"Ativo"</formula>
    </cfRule>
    <cfRule type="expression" dxfId="324" priority="346">
      <formula>$B428="x"</formula>
    </cfRule>
  </conditionalFormatting>
  <conditionalFormatting sqref="K428:P428">
    <cfRule type="expression" dxfId="323" priority="343">
      <formula>$I428&lt;&gt;"Ativo"</formula>
    </cfRule>
    <cfRule type="expression" dxfId="322" priority="344">
      <formula>$B428="x"</formula>
    </cfRule>
  </conditionalFormatting>
  <conditionalFormatting sqref="K428:P428">
    <cfRule type="expression" dxfId="321" priority="341">
      <formula>$I428&lt;&gt;"Ativo"</formula>
    </cfRule>
    <cfRule type="expression" dxfId="320" priority="342">
      <formula>$B428="x"</formula>
    </cfRule>
  </conditionalFormatting>
  <conditionalFormatting sqref="K428:P428">
    <cfRule type="expression" dxfId="319" priority="339">
      <formula>$I428&lt;&gt;"Ativo"</formula>
    </cfRule>
    <cfRule type="expression" dxfId="318" priority="340">
      <formula>$B428="x"</formula>
    </cfRule>
  </conditionalFormatting>
  <conditionalFormatting sqref="N428:P428">
    <cfRule type="expression" dxfId="317" priority="337">
      <formula>$I428&lt;&gt;"Ativo"</formula>
    </cfRule>
    <cfRule type="expression" dxfId="316" priority="338">
      <formula>$B428="x"</formula>
    </cfRule>
  </conditionalFormatting>
  <conditionalFormatting sqref="N428:P428">
    <cfRule type="expression" dxfId="315" priority="335">
      <formula>$I428&lt;&gt;"Ativo"</formula>
    </cfRule>
    <cfRule type="expression" dxfId="314" priority="336">
      <formula>$B428="x"</formula>
    </cfRule>
  </conditionalFormatting>
  <conditionalFormatting sqref="K428:P428">
    <cfRule type="expression" dxfId="313" priority="333">
      <formula>$I428&lt;&gt;"Ativo"</formula>
    </cfRule>
    <cfRule type="expression" dxfId="312" priority="334">
      <formula>$B428="x"</formula>
    </cfRule>
  </conditionalFormatting>
  <conditionalFormatting sqref="N428:P428">
    <cfRule type="expression" dxfId="311" priority="331">
      <formula>$I428&lt;&gt;"Ativo"</formula>
    </cfRule>
    <cfRule type="expression" dxfId="310" priority="332">
      <formula>$B428="x"</formula>
    </cfRule>
  </conditionalFormatting>
  <conditionalFormatting sqref="V434:X439 V441:X447">
    <cfRule type="expression" dxfId="309" priority="329">
      <formula>$G434&lt;&gt;"Ativo"</formula>
    </cfRule>
    <cfRule type="expression" dxfId="308" priority="330">
      <formula>$B434="x"</formula>
    </cfRule>
  </conditionalFormatting>
  <conditionalFormatting sqref="D435:AC447">
    <cfRule type="expression" dxfId="307" priority="327">
      <formula>$I435&lt;&gt;"Ativo"</formula>
    </cfRule>
    <cfRule type="expression" dxfId="306" priority="328">
      <formula>$B435="x"</formula>
    </cfRule>
  </conditionalFormatting>
  <conditionalFormatting sqref="V440:X440">
    <cfRule type="expression" dxfId="305" priority="325">
      <formula>$G440&lt;&gt;"Ativo"</formula>
    </cfRule>
    <cfRule type="expression" dxfId="304" priority="326">
      <formula>$B440="x"</formula>
    </cfRule>
  </conditionalFormatting>
  <conditionalFormatting sqref="D448:I448 K448:AC448 D449:AC449">
    <cfRule type="expression" dxfId="303" priority="323">
      <formula>$I448&lt;&gt;"Ativo"</formula>
    </cfRule>
    <cfRule type="expression" dxfId="302" priority="324">
      <formula>$B448="x"</formula>
    </cfRule>
  </conditionalFormatting>
  <conditionalFormatting sqref="H448">
    <cfRule type="expression" dxfId="301" priority="321">
      <formula>$I448&lt;&gt;"Ativo"</formula>
    </cfRule>
    <cfRule type="expression" dxfId="300" priority="322">
      <formula>$B448="x"</formula>
    </cfRule>
  </conditionalFormatting>
  <conditionalFormatting sqref="I448">
    <cfRule type="expression" dxfId="299" priority="319">
      <formula>$I448&lt;&gt;"Ativo"</formula>
    </cfRule>
    <cfRule type="expression" dxfId="298" priority="320">
      <formula>$B448="x"</formula>
    </cfRule>
  </conditionalFormatting>
  <conditionalFormatting sqref="J448">
    <cfRule type="expression" dxfId="297" priority="317">
      <formula>$I448&lt;&gt;"Ativo"</formula>
    </cfRule>
    <cfRule type="expression" dxfId="296" priority="318">
      <formula>$B448="x"</formula>
    </cfRule>
  </conditionalFormatting>
  <conditionalFormatting sqref="K448:M448">
    <cfRule type="expression" dxfId="295" priority="315">
      <formula>$I448&lt;&gt;"Ativo"</formula>
    </cfRule>
    <cfRule type="expression" dxfId="294" priority="316">
      <formula>$B448="x"</formula>
    </cfRule>
  </conditionalFormatting>
  <conditionalFormatting sqref="Q448:T448">
    <cfRule type="expression" dxfId="293" priority="313">
      <formula>$I448&lt;&gt;"Ativo"</formula>
    </cfRule>
    <cfRule type="expression" dxfId="292" priority="314">
      <formula>$B448="x"</formula>
    </cfRule>
  </conditionalFormatting>
  <conditionalFormatting sqref="U448">
    <cfRule type="expression" dxfId="291" priority="311">
      <formula>$I448&lt;&gt;"Ativo"</formula>
    </cfRule>
    <cfRule type="expression" dxfId="290" priority="312">
      <formula>$B448="x"</formula>
    </cfRule>
  </conditionalFormatting>
  <conditionalFormatting sqref="AD435:AF462 AG435:AQ448 AG449:AO450 AG451:AQ461 AG462:AP462">
    <cfRule type="expression" dxfId="289" priority="309">
      <formula>$I434&lt;&gt;"Ativo"</formula>
    </cfRule>
    <cfRule type="expression" dxfId="288" priority="310">
      <formula>$B434="x"</formula>
    </cfRule>
  </conditionalFormatting>
  <conditionalFormatting sqref="AH449">
    <cfRule type="expression" dxfId="287" priority="307">
      <formula>$I448&lt;&gt;"Ativo"</formula>
    </cfRule>
    <cfRule type="expression" dxfId="286" priority="308">
      <formula>$B448="x"</formula>
    </cfRule>
  </conditionalFormatting>
  <conditionalFormatting sqref="AI449">
    <cfRule type="expression" dxfId="285" priority="305">
      <formula>$I448&lt;&gt;"Ativo"</formula>
    </cfRule>
    <cfRule type="expression" dxfId="284" priority="306">
      <formula>$B448="x"</formula>
    </cfRule>
  </conditionalFormatting>
  <conditionalFormatting sqref="AK449">
    <cfRule type="expression" dxfId="283" priority="303">
      <formula>$I448&lt;&gt;"Ativo"</formula>
    </cfRule>
    <cfRule type="expression" dxfId="282" priority="304">
      <formula>$B448="x"</formula>
    </cfRule>
  </conditionalFormatting>
  <conditionalFormatting sqref="AL449">
    <cfRule type="expression" dxfId="281" priority="301">
      <formula>$I448&lt;&gt;"Ativo"</formula>
    </cfRule>
    <cfRule type="expression" dxfId="280" priority="302">
      <formula>$B448="x"</formula>
    </cfRule>
  </conditionalFormatting>
  <conditionalFormatting sqref="AH449">
    <cfRule type="expression" dxfId="279" priority="299">
      <formula>$I448&lt;&gt;"Ativo"</formula>
    </cfRule>
    <cfRule type="expression" dxfId="278" priority="300">
      <formula>$B448="x"</formula>
    </cfRule>
  </conditionalFormatting>
  <conditionalFormatting sqref="AG449">
    <cfRule type="expression" dxfId="277" priority="297">
      <formula>$I448&lt;&gt;"Ativo"</formula>
    </cfRule>
    <cfRule type="expression" dxfId="276" priority="298">
      <formula>$B448="x"</formula>
    </cfRule>
  </conditionalFormatting>
  <conditionalFormatting sqref="J448">
    <cfRule type="expression" dxfId="275" priority="295">
      <formula>$I448&lt;&gt;"Ativo"</formula>
    </cfRule>
    <cfRule type="expression" dxfId="274" priority="296">
      <formula>$B448="x"</formula>
    </cfRule>
  </conditionalFormatting>
  <conditionalFormatting sqref="AH449">
    <cfRule type="expression" dxfId="273" priority="293">
      <formula>$I448&lt;&gt;"Ativo"</formula>
    </cfRule>
    <cfRule type="expression" dxfId="272" priority="294">
      <formula>$B448="x"</formula>
    </cfRule>
  </conditionalFormatting>
  <conditionalFormatting sqref="J448">
    <cfRule type="expression" dxfId="271" priority="291">
      <formula>$I448&lt;&gt;"Ativo"</formula>
    </cfRule>
    <cfRule type="expression" dxfId="270" priority="292">
      <formula>$B448="x"</formula>
    </cfRule>
  </conditionalFormatting>
  <conditionalFormatting sqref="J448">
    <cfRule type="expression" dxfId="269" priority="289">
      <formula>$I448&lt;&gt;"Ativo"</formula>
    </cfRule>
    <cfRule type="expression" dxfId="268" priority="290">
      <formula>$B448="x"</formula>
    </cfRule>
  </conditionalFormatting>
  <conditionalFormatting sqref="H448">
    <cfRule type="expression" dxfId="267" priority="287">
      <formula>$I448&lt;&gt;"Ativo"</formula>
    </cfRule>
    <cfRule type="expression" dxfId="266" priority="288">
      <formula>$B448="x"</formula>
    </cfRule>
  </conditionalFormatting>
  <conditionalFormatting sqref="U448">
    <cfRule type="expression" dxfId="265" priority="285">
      <formula>$I448&lt;&gt;"Ativo"</formula>
    </cfRule>
    <cfRule type="expression" dxfId="264" priority="286">
      <formula>$B448="x"</formula>
    </cfRule>
  </conditionalFormatting>
  <conditionalFormatting sqref="AI449">
    <cfRule type="expression" dxfId="263" priority="283">
      <formula>$I448&lt;&gt;"Ativo"</formula>
    </cfRule>
    <cfRule type="expression" dxfId="262" priority="284">
      <formula>$B448="x"</formula>
    </cfRule>
  </conditionalFormatting>
  <conditionalFormatting sqref="AH449">
    <cfRule type="expression" dxfId="261" priority="281">
      <formula>$I448&lt;&gt;"Ativo"</formula>
    </cfRule>
    <cfRule type="expression" dxfId="260" priority="282">
      <formula>$B448="x"</formula>
    </cfRule>
  </conditionalFormatting>
  <conditionalFormatting sqref="D448:AC448">
    <cfRule type="expression" dxfId="259" priority="279">
      <formula>$I448&lt;&gt;"Ativo"</formula>
    </cfRule>
    <cfRule type="expression" dxfId="258" priority="280">
      <formula>$B448="x"</formula>
    </cfRule>
  </conditionalFormatting>
  <conditionalFormatting sqref="D448:I448 K448:AC448 D449:AC449">
    <cfRule type="expression" dxfId="257" priority="277">
      <formula>$I448&lt;&gt;"Ativo"</formula>
    </cfRule>
    <cfRule type="expression" dxfId="256" priority="278">
      <formula>$B448="x"</formula>
    </cfRule>
  </conditionalFormatting>
  <conditionalFormatting sqref="H448">
    <cfRule type="expression" dxfId="255" priority="275">
      <formula>$I448&lt;&gt;"Ativo"</formula>
    </cfRule>
    <cfRule type="expression" dxfId="254" priority="276">
      <formula>$B448="x"</formula>
    </cfRule>
  </conditionalFormatting>
  <conditionalFormatting sqref="I448">
    <cfRule type="expression" dxfId="253" priority="273">
      <formula>$I448&lt;&gt;"Ativo"</formula>
    </cfRule>
    <cfRule type="expression" dxfId="252" priority="274">
      <formula>$B448="x"</formula>
    </cfRule>
  </conditionalFormatting>
  <conditionalFormatting sqref="J448">
    <cfRule type="expression" dxfId="251" priority="271">
      <formula>$I448&lt;&gt;"Ativo"</formula>
    </cfRule>
    <cfRule type="expression" dxfId="250" priority="272">
      <formula>$B448="x"</formula>
    </cfRule>
  </conditionalFormatting>
  <conditionalFormatting sqref="K448:M448">
    <cfRule type="expression" dxfId="249" priority="269">
      <formula>$I448&lt;&gt;"Ativo"</formula>
    </cfRule>
    <cfRule type="expression" dxfId="248" priority="270">
      <formula>$B448="x"</formula>
    </cfRule>
  </conditionalFormatting>
  <conditionalFormatting sqref="Q448:T448">
    <cfRule type="expression" dxfId="247" priority="267">
      <formula>$I448&lt;&gt;"Ativo"</formula>
    </cfRule>
    <cfRule type="expression" dxfId="246" priority="268">
      <formula>$B448="x"</formula>
    </cfRule>
  </conditionalFormatting>
  <conditionalFormatting sqref="U448">
    <cfRule type="expression" dxfId="245" priority="265">
      <formula>$I448&lt;&gt;"Ativo"</formula>
    </cfRule>
    <cfRule type="expression" dxfId="244" priority="266">
      <formula>$B448="x"</formula>
    </cfRule>
  </conditionalFormatting>
  <conditionalFormatting sqref="AG449">
    <cfRule type="expression" dxfId="243" priority="263">
      <formula>$I448&lt;&gt;"Ativo"</formula>
    </cfRule>
    <cfRule type="expression" dxfId="242" priority="264">
      <formula>$B448="x"</formula>
    </cfRule>
  </conditionalFormatting>
  <conditionalFormatting sqref="AH449">
    <cfRule type="expression" dxfId="241" priority="261">
      <formula>$I448&lt;&gt;"Ativo"</formula>
    </cfRule>
    <cfRule type="expression" dxfId="240" priority="262">
      <formula>$B448="x"</formula>
    </cfRule>
  </conditionalFormatting>
  <conditionalFormatting sqref="AI449">
    <cfRule type="expression" dxfId="239" priority="259">
      <formula>$I448&lt;&gt;"Ativo"</formula>
    </cfRule>
    <cfRule type="expression" dxfId="238" priority="260">
      <formula>$B448="x"</formula>
    </cfRule>
  </conditionalFormatting>
  <conditionalFormatting sqref="AK449">
    <cfRule type="expression" dxfId="237" priority="257">
      <formula>$I448&lt;&gt;"Ativo"</formula>
    </cfRule>
    <cfRule type="expression" dxfId="236" priority="258">
      <formula>$B448="x"</formula>
    </cfRule>
  </conditionalFormatting>
  <conditionalFormatting sqref="AL449">
    <cfRule type="expression" dxfId="235" priority="255">
      <formula>$I448&lt;&gt;"Ativo"</formula>
    </cfRule>
    <cfRule type="expression" dxfId="234" priority="256">
      <formula>$B448="x"</formula>
    </cfRule>
  </conditionalFormatting>
  <conditionalFormatting sqref="AH449">
    <cfRule type="expression" dxfId="233" priority="253">
      <formula>$I448&lt;&gt;"Ativo"</formula>
    </cfRule>
    <cfRule type="expression" dxfId="232" priority="254">
      <formula>$B448="x"</formula>
    </cfRule>
  </conditionalFormatting>
  <conditionalFormatting sqref="AG449">
    <cfRule type="expression" dxfId="231" priority="251">
      <formula>$I448&lt;&gt;"Ativo"</formula>
    </cfRule>
    <cfRule type="expression" dxfId="230" priority="252">
      <formula>$B448="x"</formula>
    </cfRule>
  </conditionalFormatting>
  <conditionalFormatting sqref="J448">
    <cfRule type="expression" dxfId="229" priority="249">
      <formula>$I448&lt;&gt;"Ativo"</formula>
    </cfRule>
    <cfRule type="expression" dxfId="228" priority="250">
      <formula>$B448="x"</formula>
    </cfRule>
  </conditionalFormatting>
  <conditionalFormatting sqref="AH449">
    <cfRule type="expression" dxfId="227" priority="247">
      <formula>$I448&lt;&gt;"Ativo"</formula>
    </cfRule>
    <cfRule type="expression" dxfId="226" priority="248">
      <formula>$B448="x"</formula>
    </cfRule>
  </conditionalFormatting>
  <conditionalFormatting sqref="J448">
    <cfRule type="expression" dxfId="225" priority="245">
      <formula>$I448&lt;&gt;"Ativo"</formula>
    </cfRule>
    <cfRule type="expression" dxfId="224" priority="246">
      <formula>$B448="x"</formula>
    </cfRule>
  </conditionalFormatting>
  <conditionalFormatting sqref="J448">
    <cfRule type="expression" dxfId="223" priority="243">
      <formula>$I448&lt;&gt;"Ativo"</formula>
    </cfRule>
    <cfRule type="expression" dxfId="222" priority="244">
      <formula>$B448="x"</formula>
    </cfRule>
  </conditionalFormatting>
  <conditionalFormatting sqref="H448">
    <cfRule type="expression" dxfId="221" priority="241">
      <formula>$I448&lt;&gt;"Ativo"</formula>
    </cfRule>
    <cfRule type="expression" dxfId="220" priority="242">
      <formula>$B448="x"</formula>
    </cfRule>
  </conditionalFormatting>
  <conditionalFormatting sqref="U448">
    <cfRule type="expression" dxfId="219" priority="239">
      <formula>$I448&lt;&gt;"Ativo"</formula>
    </cfRule>
    <cfRule type="expression" dxfId="218" priority="240">
      <formula>$B448="x"</formula>
    </cfRule>
  </conditionalFormatting>
  <conditionalFormatting sqref="AI449">
    <cfRule type="expression" dxfId="217" priority="237">
      <formula>$I448&lt;&gt;"Ativo"</formula>
    </cfRule>
    <cfRule type="expression" dxfId="216" priority="238">
      <formula>$B448="x"</formula>
    </cfRule>
  </conditionalFormatting>
  <conditionalFormatting sqref="AH449">
    <cfRule type="expression" dxfId="215" priority="235">
      <formula>$I448&lt;&gt;"Ativo"</formula>
    </cfRule>
    <cfRule type="expression" dxfId="214" priority="236">
      <formula>$B448="x"</formula>
    </cfRule>
  </conditionalFormatting>
  <conditionalFormatting sqref="D448:AC448">
    <cfRule type="expression" dxfId="213" priority="233">
      <formula>$I448&lt;&gt;"Ativo"</formula>
    </cfRule>
    <cfRule type="expression" dxfId="212" priority="234">
      <formula>$B448="x"</formula>
    </cfRule>
  </conditionalFormatting>
  <conditionalFormatting sqref="V449:W449">
    <cfRule type="expression" dxfId="211" priority="231">
      <formula>$I449&lt;&gt;"Ativo"</formula>
    </cfRule>
    <cfRule type="expression" dxfId="210" priority="232">
      <formula>$B449="x"</formula>
    </cfRule>
  </conditionalFormatting>
  <conditionalFormatting sqref="V449:W449">
    <cfRule type="expression" dxfId="209" priority="229">
      <formula>$I449&lt;&gt;"Ativo"</formula>
    </cfRule>
    <cfRule type="expression" dxfId="208" priority="230">
      <formula>$B449="x"</formula>
    </cfRule>
  </conditionalFormatting>
  <conditionalFormatting sqref="V449:W449">
    <cfRule type="expression" dxfId="207" priority="227">
      <formula>$I449&lt;&gt;"Ativo"</formula>
    </cfRule>
    <cfRule type="expression" dxfId="206" priority="228">
      <formula>$B449="x"</formula>
    </cfRule>
  </conditionalFormatting>
  <conditionalFormatting sqref="V449:W449">
    <cfRule type="expression" dxfId="205" priority="225">
      <formula>$I449&lt;&gt;"Ativo"</formula>
    </cfRule>
    <cfRule type="expression" dxfId="204" priority="226">
      <formula>$B449="x"</formula>
    </cfRule>
  </conditionalFormatting>
  <conditionalFormatting sqref="V450:X450">
    <cfRule type="expression" dxfId="203" priority="223">
      <formula>$G450&lt;&gt;"Ativo"</formula>
    </cfRule>
    <cfRule type="expression" dxfId="202" priority="224">
      <formula>$B450="x"</formula>
    </cfRule>
  </conditionalFormatting>
  <conditionalFormatting sqref="D450:AC450">
    <cfRule type="expression" dxfId="201" priority="221">
      <formula>$I450&lt;&gt;"Ativo"</formula>
    </cfRule>
    <cfRule type="expression" dxfId="200" priority="222">
      <formula>$B450="x"</formula>
    </cfRule>
  </conditionalFormatting>
  <conditionalFormatting sqref="V451:X451">
    <cfRule type="expression" dxfId="199" priority="219">
      <formula>$G451&lt;&gt;"Ativo"</formula>
    </cfRule>
    <cfRule type="expression" dxfId="198" priority="220">
      <formula>$B451="x"</formula>
    </cfRule>
  </conditionalFormatting>
  <conditionalFormatting sqref="D451:AC451">
    <cfRule type="expression" dxfId="197" priority="217">
      <formula>$I451&lt;&gt;"Ativo"</formula>
    </cfRule>
    <cfRule type="expression" dxfId="196" priority="218">
      <formula>$B451="x"</formula>
    </cfRule>
  </conditionalFormatting>
  <conditionalFormatting sqref="V452:X455 V457:X461">
    <cfRule type="expression" dxfId="195" priority="215">
      <formula>$G452&lt;&gt;"Ativo"</formula>
    </cfRule>
    <cfRule type="expression" dxfId="194" priority="216">
      <formula>$B452="x"</formula>
    </cfRule>
  </conditionalFormatting>
  <conditionalFormatting sqref="D452:AC461">
    <cfRule type="expression" dxfId="193" priority="213">
      <formula>$I452&lt;&gt;"Ativo"</formula>
    </cfRule>
    <cfRule type="expression" dxfId="192" priority="214">
      <formula>$B452="x"</formula>
    </cfRule>
  </conditionalFormatting>
  <conditionalFormatting sqref="V456:X456">
    <cfRule type="expression" dxfId="191" priority="211">
      <formula>$G456&lt;&gt;"Ativo"</formula>
    </cfRule>
    <cfRule type="expression" dxfId="190" priority="212">
      <formula>$B456="x"</formula>
    </cfRule>
  </conditionalFormatting>
  <conditionalFormatting sqref="V462:X462">
    <cfRule type="expression" dxfId="189" priority="207">
      <formula>$G462&lt;&gt;"Ativo"</formula>
    </cfRule>
    <cfRule type="expression" dxfId="188" priority="208">
      <formula>$B462="x"</formula>
    </cfRule>
  </conditionalFormatting>
  <conditionalFormatting sqref="D462:AC462">
    <cfRule type="expression" dxfId="187" priority="209">
      <formula>$I462&lt;&gt;"Ativo"</formula>
    </cfRule>
    <cfRule type="expression" dxfId="186" priority="210">
      <formula>$B462="x"</formula>
    </cfRule>
  </conditionalFormatting>
  <conditionalFormatting sqref="D463:AM463">
    <cfRule type="expression" dxfId="185" priority="205">
      <formula>$I463&lt;&gt;"Ativo"</formula>
    </cfRule>
    <cfRule type="expression" dxfId="184" priority="206">
      <formula>$B463="x"</formula>
    </cfRule>
  </conditionalFormatting>
  <conditionalFormatting sqref="R464">
    <cfRule type="expression" dxfId="183" priority="203">
      <formula>$I464&lt;&gt;"Ativo"</formula>
    </cfRule>
    <cfRule type="expression" dxfId="182" priority="204">
      <formula>$B464="x"</formula>
    </cfRule>
  </conditionalFormatting>
  <conditionalFormatting sqref="D464:M464">
    <cfRule type="expression" dxfId="181" priority="201">
      <formula>$I464&lt;&gt;"Ativo"</formula>
    </cfRule>
    <cfRule type="expression" dxfId="180" priority="202">
      <formula>$B464="x"</formula>
    </cfRule>
  </conditionalFormatting>
  <conditionalFormatting sqref="N464:Q464">
    <cfRule type="expression" dxfId="179" priority="199">
      <formula>$I464&lt;&gt;"Ativo"</formula>
    </cfRule>
    <cfRule type="expression" dxfId="178" priority="200">
      <formula>$B464="x"</formula>
    </cfRule>
  </conditionalFormatting>
  <conditionalFormatting sqref="T464">
    <cfRule type="expression" dxfId="177" priority="197">
      <formula>$I464&lt;&gt;"Ativo"</formula>
    </cfRule>
    <cfRule type="expression" dxfId="176" priority="198">
      <formula>$B464="x"</formula>
    </cfRule>
  </conditionalFormatting>
  <conditionalFormatting sqref="U464:AB464">
    <cfRule type="expression" dxfId="175" priority="195">
      <formula>$I464&lt;&gt;"Ativo"</formula>
    </cfRule>
    <cfRule type="expression" dxfId="174" priority="196">
      <formula>$B464="x"</formula>
    </cfRule>
  </conditionalFormatting>
  <conditionalFormatting sqref="AJ464:AM464 AC464:AH464">
    <cfRule type="expression" dxfId="173" priority="193">
      <formula>$I464&lt;&gt;"Ativo"</formula>
    </cfRule>
    <cfRule type="expression" dxfId="172" priority="194">
      <formula>$B464="x"</formula>
    </cfRule>
  </conditionalFormatting>
  <conditionalFormatting sqref="AI464">
    <cfRule type="expression" dxfId="171" priority="191">
      <formula>$I464&lt;&gt;"Ativo"</formula>
    </cfRule>
    <cfRule type="expression" dxfId="170" priority="192">
      <formula>$B464="x"</formula>
    </cfRule>
  </conditionalFormatting>
  <conditionalFormatting sqref="V465:X466">
    <cfRule type="expression" dxfId="169" priority="187">
      <formula>$G465&lt;&gt;"Ativo"</formula>
    </cfRule>
    <cfRule type="expression" dxfId="168" priority="188">
      <formula>$B465="x"</formula>
    </cfRule>
  </conditionalFormatting>
  <conditionalFormatting sqref="D465:AP466">
    <cfRule type="expression" dxfId="167" priority="189">
      <formula>$I465&lt;&gt;"Ativo"</formula>
    </cfRule>
    <cfRule type="expression" dxfId="166" priority="190">
      <formula>$B465="x"</formula>
    </cfRule>
  </conditionalFormatting>
  <conditionalFormatting sqref="V467:X467">
    <cfRule type="expression" dxfId="165" priority="183">
      <formula>$G467&lt;&gt;"Ativo"</formula>
    </cfRule>
    <cfRule type="expression" dxfId="164" priority="184">
      <formula>$B467="x"</formula>
    </cfRule>
  </conditionalFormatting>
  <conditionalFormatting sqref="D467:AP467">
    <cfRule type="expression" dxfId="163" priority="185">
      <formula>$I467&lt;&gt;"Ativo"</formula>
    </cfRule>
    <cfRule type="expression" dxfId="162" priority="186">
      <formula>$B467="x"</formula>
    </cfRule>
  </conditionalFormatting>
  <conditionalFormatting sqref="D468:AC468">
    <cfRule type="expression" dxfId="161" priority="181">
      <formula>$I468&lt;&gt;"Ativo"</formula>
    </cfRule>
    <cfRule type="expression" dxfId="160" priority="182">
      <formula>$B468="x"</formula>
    </cfRule>
  </conditionalFormatting>
  <conditionalFormatting sqref="V468:Y468">
    <cfRule type="expression" dxfId="159" priority="179">
      <formula>$G468&lt;&gt;"Ativo"</formula>
    </cfRule>
    <cfRule type="expression" dxfId="158" priority="180">
      <formula>$B468="x"</formula>
    </cfRule>
  </conditionalFormatting>
  <conditionalFormatting sqref="H468">
    <cfRule type="expression" dxfId="157" priority="177">
      <formula>$I468&lt;&gt;"Ativo"</formula>
    </cfRule>
    <cfRule type="expression" dxfId="156" priority="178">
      <formula>$B468="x"</formula>
    </cfRule>
  </conditionalFormatting>
  <conditionalFormatting sqref="AG468">
    <cfRule type="expression" dxfId="155" priority="175">
      <formula>$I468&lt;&gt;"Ativo"</formula>
    </cfRule>
    <cfRule type="expression" dxfId="154" priority="176">
      <formula>$B468="x"</formula>
    </cfRule>
  </conditionalFormatting>
  <conditionalFormatting sqref="AN463:AP464">
    <cfRule type="expression" dxfId="153" priority="169">
      <formula>$I463&lt;&gt;"Ativo"</formula>
    </cfRule>
    <cfRule type="expression" dxfId="152" priority="170">
      <formula>$B463="x"</formula>
    </cfRule>
  </conditionalFormatting>
  <conditionalFormatting sqref="AQ462:AQ468">
    <cfRule type="expression" dxfId="151" priority="167">
      <formula>$I461&lt;&gt;"Ativo"</formula>
    </cfRule>
    <cfRule type="expression" dxfId="150" priority="168">
      <formula>$B461="x"</formula>
    </cfRule>
  </conditionalFormatting>
  <conditionalFormatting sqref="V469:Y469">
    <cfRule type="expression" dxfId="149" priority="163">
      <formula>$G469&lt;&gt;"Ativo"</formula>
    </cfRule>
    <cfRule type="expression" dxfId="148" priority="164">
      <formula>$B469="x"</formula>
    </cfRule>
  </conditionalFormatting>
  <conditionalFormatting sqref="V469:Y469">
    <cfRule type="expression" dxfId="147" priority="161">
      <formula>$G469&lt;&gt;"Ativo"</formula>
    </cfRule>
    <cfRule type="expression" dxfId="146" priority="162">
      <formula>$B469="x"</formula>
    </cfRule>
  </conditionalFormatting>
  <conditionalFormatting sqref="X469:Y469">
    <cfRule type="expression" dxfId="145" priority="159">
      <formula>$G469&lt;&gt;"Ativo"</formula>
    </cfRule>
    <cfRule type="expression" dxfId="144" priority="160">
      <formula>$B469="x"</formula>
    </cfRule>
  </conditionalFormatting>
  <conditionalFormatting sqref="H469">
    <cfRule type="expression" dxfId="143" priority="157">
      <formula>$I469&lt;&gt;"Ativo"</formula>
    </cfRule>
    <cfRule type="expression" dxfId="142" priority="158">
      <formula>$B469="x"</formula>
    </cfRule>
  </conditionalFormatting>
  <conditionalFormatting sqref="AL469">
    <cfRule type="expression" dxfId="141" priority="155">
      <formula>$I469&lt;&gt;"Ativo"</formula>
    </cfRule>
    <cfRule type="expression" dxfId="140" priority="156">
      <formula>$B469="x"</formula>
    </cfRule>
  </conditionalFormatting>
  <conditionalFormatting sqref="AK469">
    <cfRule type="expression" dxfId="139" priority="153">
      <formula>$I469&lt;&gt;"Ativo"</formula>
    </cfRule>
    <cfRule type="expression" dxfId="138" priority="154">
      <formula>$B469="x"</formula>
    </cfRule>
  </conditionalFormatting>
  <conditionalFormatting sqref="AJ469">
    <cfRule type="expression" dxfId="137" priority="151">
      <formula>$I469&lt;&gt;"Ativo"</formula>
    </cfRule>
    <cfRule type="expression" dxfId="136" priority="152">
      <formula>$B469="x"</formula>
    </cfRule>
  </conditionalFormatting>
  <conditionalFormatting sqref="AI469">
    <cfRule type="expression" dxfId="135" priority="149">
      <formula>$I469&lt;&gt;"Ativo"</formula>
    </cfRule>
    <cfRule type="expression" dxfId="134" priority="150">
      <formula>$B469="x"</formula>
    </cfRule>
  </conditionalFormatting>
  <conditionalFormatting sqref="AJ469">
    <cfRule type="expression" dxfId="133" priority="147">
      <formula>$I469&lt;&gt;"Ativo"</formula>
    </cfRule>
    <cfRule type="expression" dxfId="132" priority="148">
      <formula>$B469="x"</formula>
    </cfRule>
  </conditionalFormatting>
  <conditionalFormatting sqref="AI469">
    <cfRule type="expression" dxfId="131" priority="145">
      <formula>$I469&lt;&gt;"Ativo"</formula>
    </cfRule>
    <cfRule type="expression" dxfId="130" priority="146">
      <formula>$B469="x"</formula>
    </cfRule>
  </conditionalFormatting>
  <conditionalFormatting sqref="AH469">
    <cfRule type="expression" dxfId="129" priority="143">
      <formula>$I469&lt;&gt;"Ativo"</formula>
    </cfRule>
    <cfRule type="expression" dxfId="128" priority="144">
      <formula>$B469="x"</formula>
    </cfRule>
  </conditionalFormatting>
  <conditionalFormatting sqref="AG469">
    <cfRule type="expression" dxfId="127" priority="141">
      <formula>$I469&lt;&gt;"Ativo"</formula>
    </cfRule>
    <cfRule type="expression" dxfId="126" priority="142">
      <formula>$B469="x"</formula>
    </cfRule>
  </conditionalFormatting>
  <conditionalFormatting sqref="V470:X470">
    <cfRule type="expression" dxfId="125" priority="137">
      <formula>$G470&lt;&gt;"Ativo"</formula>
    </cfRule>
    <cfRule type="expression" dxfId="124" priority="138">
      <formula>$B470="x"</formula>
    </cfRule>
  </conditionalFormatting>
  <conditionalFormatting sqref="D470:AQ470">
    <cfRule type="expression" dxfId="123" priority="139">
      <formula>$I470&lt;&gt;"Ativo"</formula>
    </cfRule>
    <cfRule type="expression" dxfId="122" priority="140">
      <formula>$B470="x"</formula>
    </cfRule>
  </conditionalFormatting>
  <conditionalFormatting sqref="V471:X471">
    <cfRule type="expression" dxfId="121" priority="133">
      <formula>$G471&lt;&gt;"Ativo"</formula>
    </cfRule>
    <cfRule type="expression" dxfId="120" priority="134">
      <formula>$B471="x"</formula>
    </cfRule>
  </conditionalFormatting>
  <conditionalFormatting sqref="D471:AQ471">
    <cfRule type="expression" dxfId="119" priority="135">
      <formula>$I471&lt;&gt;"Ativo"</formula>
    </cfRule>
    <cfRule type="expression" dxfId="118" priority="136">
      <formula>$B471="x"</formula>
    </cfRule>
  </conditionalFormatting>
  <conditionalFormatting sqref="V472:X472">
    <cfRule type="expression" dxfId="117" priority="129">
      <formula>$G472&lt;&gt;"Ativo"</formula>
    </cfRule>
    <cfRule type="expression" dxfId="116" priority="130">
      <formula>$B472="x"</formula>
    </cfRule>
  </conditionalFormatting>
  <conditionalFormatting sqref="D472:AQ472">
    <cfRule type="expression" dxfId="115" priority="131">
      <formula>$I472&lt;&gt;"Ativo"</formula>
    </cfRule>
    <cfRule type="expression" dxfId="114" priority="132">
      <formula>$B472="x"</formula>
    </cfRule>
  </conditionalFormatting>
  <conditionalFormatting sqref="V475:X482 V473:X473">
    <cfRule type="expression" dxfId="113" priority="125">
      <formula>$G473&lt;&gt;"Ativo"</formula>
    </cfRule>
    <cfRule type="expression" dxfId="112" priority="126">
      <formula>$B473="x"</formula>
    </cfRule>
  </conditionalFormatting>
  <conditionalFormatting sqref="AL482 D473:AF482 AG473:AQ480 AG481:AP481 AG482:AJ482 AO482">
    <cfRule type="expression" dxfId="111" priority="127">
      <formula>$I473&lt;&gt;"Ativo"</formula>
    </cfRule>
    <cfRule type="expression" dxfId="110" priority="128">
      <formula>$B473="x"</formula>
    </cfRule>
  </conditionalFormatting>
  <conditionalFormatting sqref="V474:X474">
    <cfRule type="expression" dxfId="109" priority="123">
      <formula>$G474&lt;&gt;"Ativo"</formula>
    </cfRule>
    <cfRule type="expression" dxfId="108" priority="124">
      <formula>$B474="x"</formula>
    </cfRule>
  </conditionalFormatting>
  <conditionalFormatting sqref="F482">
    <cfRule type="expression" dxfId="107" priority="119">
      <formula>$I482&lt;&gt;"Ativo"</formula>
    </cfRule>
    <cfRule type="expression" dxfId="106" priority="120">
      <formula>$B482="x"</formula>
    </cfRule>
  </conditionalFormatting>
  <conditionalFormatting sqref="AK482">
    <cfRule type="expression" dxfId="105" priority="117">
      <formula>$I482&lt;&gt;"Ativo"</formula>
    </cfRule>
    <cfRule type="expression" dxfId="104" priority="118">
      <formula>$B482="x"</formula>
    </cfRule>
  </conditionalFormatting>
  <conditionalFormatting sqref="D483:G483 I483:AC483 AH483:AL483">
    <cfRule type="expression" dxfId="103" priority="115">
      <formula>$I483&lt;&gt;"Ativo"</formula>
    </cfRule>
    <cfRule type="expression" dxfId="102" priority="116">
      <formula>$B483="x"</formula>
    </cfRule>
  </conditionalFormatting>
  <conditionalFormatting sqref="H483">
    <cfRule type="expression" dxfId="101" priority="113">
      <formula>$I483&lt;&gt;"Ativo"</formula>
    </cfRule>
    <cfRule type="expression" dxfId="100" priority="114">
      <formula>$B483="x"</formula>
    </cfRule>
  </conditionalFormatting>
  <conditionalFormatting sqref="U483:X483">
    <cfRule type="expression" dxfId="99" priority="111">
      <formula>$G483&lt;&gt;"Ativo"</formula>
    </cfRule>
    <cfRule type="expression" dxfId="98" priority="112">
      <formula>$B483="x"</formula>
    </cfRule>
  </conditionalFormatting>
  <conditionalFormatting sqref="D484:G484 I484:AC484 AH484:AL484">
    <cfRule type="expression" dxfId="97" priority="109">
      <formula>$I484&lt;&gt;"Ativo"</formula>
    </cfRule>
    <cfRule type="expression" dxfId="96" priority="110">
      <formula>$B484="x"</formula>
    </cfRule>
  </conditionalFormatting>
  <conditionalFormatting sqref="V484:Y484">
    <cfRule type="expression" dxfId="95" priority="107">
      <formula>$G484&lt;&gt;"Ativo"</formula>
    </cfRule>
    <cfRule type="expression" dxfId="94" priority="108">
      <formula>$B484="x"</formula>
    </cfRule>
  </conditionalFormatting>
  <conditionalFormatting sqref="H484">
    <cfRule type="expression" dxfId="93" priority="105">
      <formula>$I484&lt;&gt;"Ativo"</formula>
    </cfRule>
    <cfRule type="expression" dxfId="92" priority="106">
      <formula>$B484="x"</formula>
    </cfRule>
  </conditionalFormatting>
  <conditionalFormatting sqref="AG484">
    <cfRule type="expression" dxfId="91" priority="81">
      <formula>$I484&lt;&gt;"Ativo"</formula>
    </cfRule>
    <cfRule type="expression" dxfId="90" priority="82">
      <formula>$B484="x"</formula>
    </cfRule>
  </conditionalFormatting>
  <conditionalFormatting sqref="AD484">
    <cfRule type="expression" dxfId="89" priority="101">
      <formula>$I484&lt;&gt;"Ativo"</formula>
    </cfRule>
    <cfRule type="expression" dxfId="88" priority="102">
      <formula>$B484="x"</formula>
    </cfRule>
  </conditionalFormatting>
  <conditionalFormatting sqref="AP482:AP484">
    <cfRule type="expression" dxfId="87" priority="75">
      <formula>$I482&lt;&gt;"Ativo"</formula>
    </cfRule>
    <cfRule type="expression" dxfId="86" priority="76">
      <formula>$B482="x"</formula>
    </cfRule>
  </conditionalFormatting>
  <conditionalFormatting sqref="AO483:AO484">
    <cfRule type="expression" dxfId="85" priority="79">
      <formula>$I483&lt;&gt;"Ativo"</formula>
    </cfRule>
    <cfRule type="expression" dxfId="84" priority="80">
      <formula>$B483="x"</formula>
    </cfRule>
  </conditionalFormatting>
  <conditionalFormatting sqref="AE483">
    <cfRule type="expression" dxfId="83" priority="95">
      <formula>$I483&lt;&gt;"Ativo"</formula>
    </cfRule>
    <cfRule type="expression" dxfId="82" priority="96">
      <formula>$B483="x"</formula>
    </cfRule>
  </conditionalFormatting>
  <conditionalFormatting sqref="AD483">
    <cfRule type="expression" dxfId="81" priority="93">
      <formula>$I483&lt;&gt;"Ativo"</formula>
    </cfRule>
    <cfRule type="expression" dxfId="80" priority="94">
      <formula>$B483="x"</formula>
    </cfRule>
  </conditionalFormatting>
  <conditionalFormatting sqref="AF483">
    <cfRule type="expression" dxfId="79" priority="87">
      <formula>$I483&lt;&gt;"Ativo"</formula>
    </cfRule>
    <cfRule type="expression" dxfId="78" priority="88">
      <formula>$B483="x"</formula>
    </cfRule>
  </conditionalFormatting>
  <conditionalFormatting sqref="AE484">
    <cfRule type="expression" dxfId="77" priority="89">
      <formula>$I484&lt;&gt;"Ativo"</formula>
    </cfRule>
    <cfRule type="expression" dxfId="76" priority="90">
      <formula>$B484="x"</formula>
    </cfRule>
  </conditionalFormatting>
  <conditionalFormatting sqref="AF484">
    <cfRule type="expression" dxfId="75" priority="85">
      <formula>$I484&lt;&gt;"Ativo"</formula>
    </cfRule>
    <cfRule type="expression" dxfId="74" priority="86">
      <formula>$B484="x"</formula>
    </cfRule>
  </conditionalFormatting>
  <conditionalFormatting sqref="AG483">
    <cfRule type="expression" dxfId="73" priority="83">
      <formula>$I483&lt;&gt;"Ativo"</formula>
    </cfRule>
    <cfRule type="expression" dxfId="72" priority="84">
      <formula>$B483="x"</formula>
    </cfRule>
  </conditionalFormatting>
  <conditionalFormatting sqref="AM482:AN484">
    <cfRule type="expression" dxfId="71" priority="77">
      <formula>$I482&lt;&gt;"Ativo"</formula>
    </cfRule>
    <cfRule type="expression" dxfId="70" priority="78">
      <formula>$B482="x"</formula>
    </cfRule>
  </conditionalFormatting>
  <conditionalFormatting sqref="AQ481:AQ484">
    <cfRule type="expression" dxfId="69" priority="73">
      <formula>$I481&lt;&gt;"Ativo"</formula>
    </cfRule>
    <cfRule type="expression" dxfId="68" priority="74">
      <formula>$B481="x"</formula>
    </cfRule>
  </conditionalFormatting>
  <conditionalFormatting sqref="D485:AC485">
    <cfRule type="expression" dxfId="67" priority="71">
      <formula>$I485&lt;&gt;"Ativo"</formula>
    </cfRule>
    <cfRule type="expression" dxfId="66" priority="72">
      <formula>$B485="x"</formula>
    </cfRule>
  </conditionalFormatting>
  <conditionalFormatting sqref="V485:Y485">
    <cfRule type="expression" dxfId="65" priority="69">
      <formula>$G485&lt;&gt;"Ativo"</formula>
    </cfRule>
    <cfRule type="expression" dxfId="64" priority="70">
      <formula>$B485="x"</formula>
    </cfRule>
  </conditionalFormatting>
  <conditionalFormatting sqref="AE485">
    <cfRule type="expression" dxfId="63" priority="67">
      <formula>$I485&lt;&gt;"Ativo"</formula>
    </cfRule>
    <cfRule type="expression" dxfId="62" priority="68">
      <formula>$B485="x"</formula>
    </cfRule>
  </conditionalFormatting>
  <conditionalFormatting sqref="AQ485">
    <cfRule type="expression" dxfId="61" priority="61">
      <formula>$I485&lt;&gt;"Ativo"</formula>
    </cfRule>
    <cfRule type="expression" dxfId="60" priority="62">
      <formula>$B485="x"</formula>
    </cfRule>
  </conditionalFormatting>
  <conditionalFormatting sqref="AN485:AP485">
    <cfRule type="expression" dxfId="59" priority="63">
      <formula>$I485&lt;&gt;"Ativo"</formula>
    </cfRule>
    <cfRule type="expression" dxfId="58" priority="64">
      <formula>$B485="x"</formula>
    </cfRule>
  </conditionalFormatting>
  <conditionalFormatting sqref="V486:X486">
    <cfRule type="expression" dxfId="57" priority="57">
      <formula>$G486&lt;&gt;"Ativo"</formula>
    </cfRule>
    <cfRule type="expression" dxfId="56" priority="58">
      <formula>$B486="x"</formula>
    </cfRule>
  </conditionalFormatting>
  <conditionalFormatting sqref="D486:AQ486">
    <cfRule type="expression" dxfId="55" priority="59">
      <formula>$I486&lt;&gt;"Ativo"</formula>
    </cfRule>
    <cfRule type="expression" dxfId="54" priority="60">
      <formula>$B486="x"</formula>
    </cfRule>
  </conditionalFormatting>
  <conditionalFormatting sqref="V487:X487">
    <cfRule type="expression" dxfId="53" priority="53">
      <formula>$G487&lt;&gt;"Ativo"</formula>
    </cfRule>
    <cfRule type="expression" dxfId="52" priority="54">
      <formula>$B487="x"</formula>
    </cfRule>
  </conditionalFormatting>
  <conditionalFormatting sqref="D487:AQ487">
    <cfRule type="expression" dxfId="51" priority="55">
      <formula>$I487&lt;&gt;"Ativo"</formula>
    </cfRule>
    <cfRule type="expression" dxfId="50" priority="56">
      <formula>$B487="x"</formula>
    </cfRule>
  </conditionalFormatting>
  <conditionalFormatting sqref="X488">
    <cfRule type="expression" dxfId="49" priority="49">
      <formula>$G488&lt;&gt;"Ativo"</formula>
    </cfRule>
    <cfRule type="expression" dxfId="48" priority="50">
      <formula>$B488="x"</formula>
    </cfRule>
  </conditionalFormatting>
  <conditionalFormatting sqref="V488:W488">
    <cfRule type="expression" dxfId="47" priority="47">
      <formula>$G488&lt;&gt;"Ativo"</formula>
    </cfRule>
    <cfRule type="expression" dxfId="46" priority="48">
      <formula>$B488="x"</formula>
    </cfRule>
  </conditionalFormatting>
  <conditionalFormatting sqref="X488">
    <cfRule type="expression" dxfId="45" priority="45">
      <formula>$G488&lt;&gt;"Ativo"</formula>
    </cfRule>
    <cfRule type="expression" dxfId="44" priority="46">
      <formula>$B488="x"</formula>
    </cfRule>
  </conditionalFormatting>
  <conditionalFormatting sqref="W488">
    <cfRule type="expression" dxfId="43" priority="43">
      <formula>$G488&lt;&gt;"Ativo"</formula>
    </cfRule>
    <cfRule type="expression" dxfId="42" priority="44">
      <formula>$B488="x"</formula>
    </cfRule>
  </conditionalFormatting>
  <conditionalFormatting sqref="D488:AQ488">
    <cfRule type="expression" dxfId="41" priority="51">
      <formula>$I488&lt;&gt;"Ativo"</formula>
    </cfRule>
    <cfRule type="expression" dxfId="40" priority="52">
      <formula>$B488="x"</formula>
    </cfRule>
  </conditionalFormatting>
  <conditionalFormatting sqref="X489">
    <cfRule type="expression" dxfId="39" priority="39">
      <formula>$G489&lt;&gt;"Ativo"</formula>
    </cfRule>
    <cfRule type="expression" dxfId="38" priority="40">
      <formula>$B489="x"</formula>
    </cfRule>
  </conditionalFormatting>
  <conditionalFormatting sqref="V489:W489">
    <cfRule type="expression" dxfId="37" priority="37">
      <formula>$G489&lt;&gt;"Ativo"</formula>
    </cfRule>
    <cfRule type="expression" dxfId="36" priority="38">
      <formula>$B489="x"</formula>
    </cfRule>
  </conditionalFormatting>
  <conditionalFormatting sqref="D489:AQ489">
    <cfRule type="expression" dxfId="35" priority="41">
      <formula>$I489&lt;&gt;"Ativo"</formula>
    </cfRule>
    <cfRule type="expression" dxfId="34" priority="42">
      <formula>$B489="x"</formula>
    </cfRule>
  </conditionalFormatting>
  <conditionalFormatting sqref="V489:X489">
    <cfRule type="expression" dxfId="33" priority="35">
      <formula>$G489&lt;&gt;"Ativo"</formula>
    </cfRule>
    <cfRule type="expression" dxfId="32" priority="36">
      <formula>$B489="x"</formula>
    </cfRule>
  </conditionalFormatting>
  <conditionalFormatting sqref="V490:X490">
    <cfRule type="expression" dxfId="31" priority="31">
      <formula>$G490&lt;&gt;"Ativo"</formula>
    </cfRule>
    <cfRule type="expression" dxfId="30" priority="32">
      <formula>$B490="x"</formula>
    </cfRule>
  </conditionalFormatting>
  <conditionalFormatting sqref="D490:AQ490">
    <cfRule type="expression" dxfId="29" priority="33">
      <formula>$I490&lt;&gt;"Ativo"</formula>
    </cfRule>
    <cfRule type="expression" dxfId="28" priority="34">
      <formula>$B490="x"</formula>
    </cfRule>
  </conditionalFormatting>
  <conditionalFormatting sqref="V491:X491">
    <cfRule type="expression" dxfId="27" priority="27">
      <formula>$G491&lt;&gt;"Ativo"</formula>
    </cfRule>
    <cfRule type="expression" dxfId="26" priority="28">
      <formula>$B491="x"</formula>
    </cfRule>
  </conditionalFormatting>
  <conditionalFormatting sqref="D491:AQ491">
    <cfRule type="expression" dxfId="25" priority="29">
      <formula>$I491&lt;&gt;"Ativo"</formula>
    </cfRule>
    <cfRule type="expression" dxfId="24" priority="30">
      <formula>$B491="x"</formula>
    </cfRule>
  </conditionalFormatting>
  <conditionalFormatting sqref="V492:X492">
    <cfRule type="expression" dxfId="23" priority="23">
      <formula>$G492&lt;&gt;"Ativo"</formula>
    </cfRule>
    <cfRule type="expression" dxfId="22" priority="24">
      <formula>$B492="x"</formula>
    </cfRule>
  </conditionalFormatting>
  <conditionalFormatting sqref="D492:AQ492">
    <cfRule type="expression" dxfId="21" priority="25">
      <formula>$I492&lt;&gt;"Ativo"</formula>
    </cfRule>
    <cfRule type="expression" dxfId="20" priority="26">
      <formula>$B492="x"</formula>
    </cfRule>
  </conditionalFormatting>
  <conditionalFormatting sqref="D493:AA493 AC493:AD493 AF493:AP493">
    <cfRule type="expression" dxfId="19" priority="19">
      <formula>$I493&lt;&gt;"Ativo"</formula>
    </cfRule>
    <cfRule type="expression" dxfId="18" priority="20">
      <formula>$B493="x"</formula>
    </cfRule>
  </conditionalFormatting>
  <conditionalFormatting sqref="V493:Y493">
    <cfRule type="expression" dxfId="17" priority="17">
      <formula>$G493&lt;&gt;"Ativo"</formula>
    </cfRule>
    <cfRule type="expression" dxfId="16" priority="18">
      <formula>$B493="x"</formula>
    </cfRule>
  </conditionalFormatting>
  <conditionalFormatting sqref="AE493">
    <cfRule type="expression" dxfId="15" priority="13">
      <formula>$I493&lt;&gt;"Ativo"</formula>
    </cfRule>
    <cfRule type="expression" dxfId="14" priority="14">
      <formula>$B493="x"</formula>
    </cfRule>
  </conditionalFormatting>
  <conditionalFormatting sqref="AQ493">
    <cfRule type="expression" dxfId="13" priority="11">
      <formula>$I493&lt;&gt;"Ativo"</formula>
    </cfRule>
    <cfRule type="expression" dxfId="12" priority="12">
      <formula>$B493="x"</formula>
    </cfRule>
  </conditionalFormatting>
  <conditionalFormatting sqref="D494:U494 Z494:AQ494">
    <cfRule type="expression" dxfId="11" priority="9">
      <formula>$I494&lt;&gt;"Ativo"</formula>
    </cfRule>
    <cfRule type="expression" dxfId="10" priority="10">
      <formula>$B494="x"</formula>
    </cfRule>
  </conditionalFormatting>
  <conditionalFormatting sqref="V494:X494">
    <cfRule type="expression" dxfId="9" priority="5">
      <formula>$G494&lt;&gt;"Ativo"</formula>
    </cfRule>
    <cfRule type="expression" dxfId="8" priority="6">
      <formula>$B494="x"</formula>
    </cfRule>
  </conditionalFormatting>
  <conditionalFormatting sqref="V494:Y494">
    <cfRule type="expression" dxfId="7" priority="7">
      <formula>$I494&lt;&gt;"Ativo"</formula>
    </cfRule>
    <cfRule type="expression" dxfId="6" priority="8">
      <formula>$B494="x"</formula>
    </cfRule>
  </conditionalFormatting>
  <conditionalFormatting sqref="V495:X495">
    <cfRule type="expression" dxfId="5" priority="1">
      <formula>$G495&lt;&gt;"Ativo"</formula>
    </cfRule>
    <cfRule type="expression" dxfId="4" priority="2">
      <formula>$B495="x"</formula>
    </cfRule>
  </conditionalFormatting>
  <conditionalFormatting sqref="D495:AQ495">
    <cfRule type="expression" dxfId="3" priority="3">
      <formula>$I495&lt;&gt;"Ativo"</formula>
    </cfRule>
    <cfRule type="expression" dxfId="2" priority="4">
      <formula>$B495="x"</formula>
    </cfRule>
  </conditionalFormatting>
  <dataValidations count="2">
    <dataValidation type="list" allowBlank="1" showInputMessage="1" showErrorMessage="1" sqref="Y332 Y132:Y149 V11:X11 Y8:Y130 Y200:Y201 Y198 Y174:Y186 Y156:Y166 Y153 Y151 Y363 Y468:Y469 X483 Y484:Y485 Y493">
      <formula1>"DEMITIDO,ABN TREINAMENTO,DESL TREINAMENTO,JUSTA CAUSA,LICENÇA INSS,LICENÇA MATERNIDADE,PEDIU DEMISSÃO"</formula1>
    </dataValidation>
    <dataValidation type="list" allowBlank="1" showInputMessage="1" showErrorMessage="1" sqref="I270 I11:I38 I56:I96 I42:I54 I332 I363 I405:I408 I387:I403 I381:I385 I413:I434 I448 I452:I453 I464 I467:I480 I483:I488 I493">
      <formula1>"Ativo,Backup,Desligado,Férias,Licença,Transferido,Treinamento"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29" id="{5FDB7D8C-DEBB-4628-B7D3-398F35383D86}">
            <xm:f>Production!$I17&lt;&gt;"Ativo"</xm:f>
            <x14:dxf>
              <font>
                <color theme="0" tint="-0.34998626667073579"/>
              </font>
              <fill>
                <patternFill patternType="none">
                  <bgColor auto="1"/>
                </patternFill>
              </fill>
            </x14:dxf>
          </x14:cfRule>
          <x14:cfRule type="expression" priority="3230" id="{461D8FB9-1915-4C3A-8CA5-84DA071A1BA5}">
            <xm:f>Production!$B17="x"</xm:f>
            <x14:dxf>
              <fill>
                <patternFill>
                  <bgColor theme="0" tint="-4.9989318521683403E-2"/>
                </patternFill>
              </fill>
            </x14:dxf>
          </x14:cfRule>
          <xm:sqref>AB493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G5"/>
  <sheetViews>
    <sheetView showGridLines="0" showRowColHeaders="0" workbookViewId="0">
      <selection activeCell="E3" sqref="E3"/>
    </sheetView>
  </sheetViews>
  <sheetFormatPr defaultRowHeight="15"/>
  <cols>
    <col min="1" max="1" width="23.5703125" bestFit="1" customWidth="1"/>
    <col min="2" max="2" width="52.85546875" bestFit="1" customWidth="1"/>
    <col min="3" max="3" width="2" customWidth="1"/>
    <col min="4" max="4" width="9.42578125" bestFit="1" customWidth="1"/>
    <col min="5" max="5" width="18.28515625" bestFit="1" customWidth="1"/>
    <col min="6" max="6" width="36.42578125" bestFit="1" customWidth="1"/>
  </cols>
  <sheetData>
    <row r="1" spans="1:7">
      <c r="A1" t="str">
        <f>Parametros!B2</f>
        <v>Operational Map  - December</v>
      </c>
      <c r="B1" s="102" t="s">
        <v>3047</v>
      </c>
      <c r="D1" s="366" t="s">
        <v>87</v>
      </c>
      <c r="E1" s="366"/>
      <c r="F1" s="366"/>
      <c r="G1" t="s">
        <v>88</v>
      </c>
    </row>
    <row r="2" spans="1:7">
      <c r="A2" t="s">
        <v>18</v>
      </c>
      <c r="B2" t="str">
        <f>"Operational Map " &amp; B1</f>
        <v>Operational Map  - December</v>
      </c>
      <c r="D2" s="129" t="s">
        <v>73</v>
      </c>
      <c r="E2" s="130">
        <v>42705</v>
      </c>
      <c r="F2" s="129" t="str">
        <f>UPPER(TEXT(E2,"MMMM/AAAA"))</f>
        <v>DEZEMBRO/2016</v>
      </c>
    </row>
    <row r="3" spans="1:7">
      <c r="A3" t="s">
        <v>31</v>
      </c>
      <c r="B3" s="158" t="s">
        <v>89</v>
      </c>
      <c r="C3" s="158"/>
      <c r="D3" s="159" t="s">
        <v>20</v>
      </c>
      <c r="E3" s="158" t="s">
        <v>89</v>
      </c>
      <c r="F3" s="129" t="str">
        <f>"Mapa Operacional - "&amp;E3</f>
        <v>Mapa Operacional - HP Consumer</v>
      </c>
    </row>
    <row r="4" spans="1:7">
      <c r="A4" t="s">
        <v>86</v>
      </c>
      <c r="B4" s="151"/>
    </row>
    <row r="5" spans="1:7">
      <c r="B5" s="151"/>
    </row>
  </sheetData>
  <mergeCells count="1">
    <mergeCell ref="D1:F1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T1252"/>
  <sheetViews>
    <sheetView showGridLines="0" zoomScale="80" zoomScaleNormal="80" workbookViewId="0">
      <selection activeCell="G20" sqref="G20"/>
    </sheetView>
  </sheetViews>
  <sheetFormatPr defaultColWidth="8.42578125" defaultRowHeight="15" outlineLevelCol="1"/>
  <cols>
    <col min="1" max="1" width="1.5703125" customWidth="1"/>
    <col min="2" max="2" width="1.5703125" style="200" customWidth="1"/>
    <col min="3" max="3" width="1.5703125" customWidth="1"/>
    <col min="4" max="4" width="9.7109375" style="1" hidden="1" customWidth="1" outlineLevel="1"/>
    <col min="5" max="5" width="11.85546875" style="1" hidden="1" customWidth="1" outlineLevel="1"/>
    <col min="6" max="6" width="17.28515625" hidden="1" customWidth="1" outlineLevel="1"/>
    <col min="7" max="7" width="19.28515625" hidden="1" customWidth="1" outlineLevel="1"/>
    <col min="8" max="8" width="33.85546875" hidden="1" customWidth="1" outlineLevel="1"/>
    <col min="9" max="9" width="25.5703125" style="158" bestFit="1" customWidth="1" collapsed="1"/>
    <col min="10" max="10" width="25.5703125" style="158" customWidth="1"/>
    <col min="11" max="11" width="15.42578125" style="158" customWidth="1"/>
    <col min="12" max="12" width="8.42578125" style="158"/>
    <col min="13" max="16" width="9" style="158" customWidth="1"/>
    <col min="17" max="18" width="8.42578125" style="158"/>
    <col min="19" max="20" width="8.42578125" style="178"/>
    <col min="21" max="16384" width="8.42578125" style="158"/>
  </cols>
  <sheetData>
    <row r="1" spans="2:20" customFormat="1">
      <c r="B1" s="174"/>
      <c r="D1" s="1"/>
      <c r="E1" s="1"/>
      <c r="I1" s="158"/>
      <c r="J1" s="158"/>
      <c r="S1" s="31"/>
      <c r="T1" s="31"/>
    </row>
    <row r="2" spans="2:20" customFormat="1">
      <c r="B2" s="175"/>
      <c r="D2" s="1"/>
      <c r="E2" s="1"/>
      <c r="I2" s="158"/>
      <c r="J2" s="158"/>
      <c r="S2" s="31"/>
      <c r="T2" s="31"/>
    </row>
    <row r="3" spans="2:20" customFormat="1" ht="23.25">
      <c r="B3" s="174"/>
      <c r="D3" s="1"/>
      <c r="E3" s="176"/>
      <c r="F3" s="176"/>
      <c r="G3" s="176"/>
      <c r="H3" s="176"/>
      <c r="I3" s="158"/>
      <c r="J3" s="158"/>
      <c r="S3" s="31"/>
      <c r="T3" s="31"/>
    </row>
    <row r="4" spans="2:20" customFormat="1" ht="23.25">
      <c r="B4" s="174"/>
      <c r="D4" s="177" t="s">
        <v>1258</v>
      </c>
      <c r="E4" s="176"/>
      <c r="F4" s="176"/>
      <c r="G4" s="176"/>
      <c r="H4" s="176"/>
      <c r="I4" s="158"/>
      <c r="J4" s="158"/>
      <c r="K4" s="177" t="s">
        <v>1259</v>
      </c>
      <c r="R4" s="158"/>
      <c r="S4" s="178"/>
      <c r="T4" s="31"/>
    </row>
    <row r="5" spans="2:20" ht="15.75" thickBot="1">
      <c r="B5" s="174"/>
    </row>
    <row r="6" spans="2:20">
      <c r="B6" s="174"/>
      <c r="D6" s="264" t="s">
        <v>17</v>
      </c>
      <c r="E6" s="265" t="s">
        <v>1260</v>
      </c>
      <c r="F6" s="265" t="s">
        <v>19</v>
      </c>
      <c r="G6" s="265" t="s">
        <v>1261</v>
      </c>
      <c r="H6" s="265" t="s">
        <v>11</v>
      </c>
      <c r="I6" s="266" t="s">
        <v>2757</v>
      </c>
      <c r="K6" s="179" t="s">
        <v>1261</v>
      </c>
      <c r="L6" s="180" t="s">
        <v>14</v>
      </c>
      <c r="M6" s="181" t="s">
        <v>1262</v>
      </c>
      <c r="N6" s="182" t="s">
        <v>1263</v>
      </c>
      <c r="O6" s="182" t="s">
        <v>1264</v>
      </c>
      <c r="P6" s="183" t="s">
        <v>1263</v>
      </c>
    </row>
    <row r="7" spans="2:20">
      <c r="B7" s="174"/>
      <c r="D7" s="267">
        <v>10012</v>
      </c>
      <c r="E7" s="211">
        <v>739289</v>
      </c>
      <c r="F7" s="263" t="str">
        <f>IFERROR(IF(COUNTIF(Consolidado!$E$3:$E$358,'Range de Logins'!$D7)&gt;0,"Em uso","Livre"),"-")</f>
        <v>Livre</v>
      </c>
      <c r="G7" s="211" t="s">
        <v>1065</v>
      </c>
      <c r="H7" s="211" t="str">
        <f>IFERROR(VLOOKUP(D7,Consolidado!$E$3:$K$311,7,0),"")</f>
        <v/>
      </c>
      <c r="I7" s="257" t="s">
        <v>7</v>
      </c>
      <c r="K7" s="184" t="s">
        <v>1265</v>
      </c>
      <c r="L7" s="185">
        <f>COUNTIF($G$7:$G$1252,$K7)</f>
        <v>949</v>
      </c>
      <c r="M7" s="186">
        <f>COUNTIFS($G$7:$G$1252,$K7,$F$7:$F$1252,M$6)</f>
        <v>73</v>
      </c>
      <c r="N7" s="187">
        <f>M7/$L7</f>
        <v>7.6923076923076927E-2</v>
      </c>
      <c r="O7" s="188">
        <f>COUNTIFS($G$7:$G$1252,$K7,$F$7:$F$1252,O$6)</f>
        <v>876</v>
      </c>
      <c r="P7" s="189">
        <f>O7/$L7</f>
        <v>0.92307692307692313</v>
      </c>
    </row>
    <row r="8" spans="2:20" ht="15.75" thickBot="1">
      <c r="B8" s="174"/>
      <c r="D8" s="267">
        <v>10030</v>
      </c>
      <c r="E8" s="211">
        <v>341263</v>
      </c>
      <c r="F8" s="263" t="str">
        <f>IFERROR(IF(COUNTIF(Consolidado!$E$3:$E$358,'Range de Logins'!$D8)&gt;0,"Em uso","Livre"),"-")</f>
        <v>Livre</v>
      </c>
      <c r="G8" s="211" t="s">
        <v>1065</v>
      </c>
      <c r="H8" s="211" t="str">
        <f>IFERROR(VLOOKUP(D8,Consolidado!$E$3:$K$311,7,0),"")</f>
        <v/>
      </c>
      <c r="I8" s="257"/>
      <c r="K8" s="190" t="s">
        <v>1065</v>
      </c>
      <c r="L8" s="191">
        <f>COUNTIF($G$7:$G$1252,$K8)</f>
        <v>297</v>
      </c>
      <c r="M8" s="192">
        <f>COUNTIFS($G$7:$G$1252,$K8,$F$7:$F$1252,M$6)</f>
        <v>101</v>
      </c>
      <c r="N8" s="193">
        <f>M8/$L8</f>
        <v>0.34006734006734007</v>
      </c>
      <c r="O8" s="194">
        <f>COUNTIFS($G$7:$G$1252,$K8,$F$7:$F$1252,O$6)</f>
        <v>196</v>
      </c>
      <c r="P8" s="195">
        <f>O8/$L8</f>
        <v>0.65993265993265993</v>
      </c>
    </row>
    <row r="9" spans="2:20" ht="15.75" thickBot="1">
      <c r="B9" s="174"/>
      <c r="D9" s="267">
        <v>10031</v>
      </c>
      <c r="E9" s="211">
        <v>306129</v>
      </c>
      <c r="F9" s="263" t="str">
        <f>IFERROR(IF(COUNTIF(Consolidado!$E$3:$E$358,'Range de Logins'!$D9)&gt;0,"Em uso","Livre"),"-")</f>
        <v>Livre</v>
      </c>
      <c r="G9" s="211" t="s">
        <v>1065</v>
      </c>
      <c r="H9" s="211" t="str">
        <f>IFERROR(VLOOKUP(D9,Consolidado!$E$3:$K$311,7,0),"")</f>
        <v/>
      </c>
      <c r="I9" s="257"/>
      <c r="L9" s="196">
        <f>SUM(L7:L8)</f>
        <v>1246</v>
      </c>
      <c r="M9" s="197">
        <f>SUM(M7:M8)</f>
        <v>174</v>
      </c>
      <c r="N9" s="198">
        <f>M9/$L9</f>
        <v>0.13964686998394862</v>
      </c>
      <c r="O9" s="197">
        <f>SUM(O7:O8)</f>
        <v>1072</v>
      </c>
      <c r="P9" s="199">
        <f>O9/$L9</f>
        <v>0.8603531300160514</v>
      </c>
    </row>
    <row r="10" spans="2:20">
      <c r="B10" s="174"/>
      <c r="D10" s="267">
        <v>10072</v>
      </c>
      <c r="E10" s="211">
        <v>598261</v>
      </c>
      <c r="F10" s="263" t="str">
        <f>IFERROR(IF(COUNTIF(Consolidado!$E$3:$E$358,'Range de Logins'!$D10)&gt;0,"Em uso","Livre"),"-")</f>
        <v>Livre</v>
      </c>
      <c r="G10" s="211" t="s">
        <v>1065</v>
      </c>
      <c r="H10" s="211" t="str">
        <f>IFERROR(VLOOKUP(D10,Consolidado!$E$3:$K$311,7,0),"")</f>
        <v/>
      </c>
      <c r="I10" s="257"/>
    </row>
    <row r="11" spans="2:20">
      <c r="D11" s="267">
        <v>10117</v>
      </c>
      <c r="E11" s="211">
        <v>876687</v>
      </c>
      <c r="F11" s="263" t="str">
        <f>IFERROR(IF(COUNTIF(Consolidado!$E$3:$E$358,'Range de Logins'!$D11)&gt;0,"Em uso","Livre"),"-")</f>
        <v>Em uso</v>
      </c>
      <c r="G11" s="211" t="s">
        <v>1065</v>
      </c>
      <c r="H11" s="211" t="str">
        <f>IFERROR(VLOOKUP(D11,Consolidado!$E$3:$K$311,7,0),"")</f>
        <v>WFM Team</v>
      </c>
      <c r="I11" s="257"/>
      <c r="L11" s="201"/>
    </row>
    <row r="12" spans="2:20">
      <c r="D12" s="267">
        <v>10118</v>
      </c>
      <c r="E12" s="211">
        <v>836299</v>
      </c>
      <c r="F12" s="263" t="str">
        <f>IFERROR(IF(COUNTIF(Consolidado!$E$3:$E$358,'Range de Logins'!$D12)&gt;0,"Em uso","Livre"),"-")</f>
        <v>Livre</v>
      </c>
      <c r="G12" s="211" t="s">
        <v>1065</v>
      </c>
      <c r="H12" s="211" t="str">
        <f>IFERROR(VLOOKUP(D12,Consolidado!$E$3:$K$311,7,0),"")</f>
        <v/>
      </c>
      <c r="I12" s="257"/>
      <c r="L12" s="201"/>
    </row>
    <row r="13" spans="2:20">
      <c r="D13" s="267">
        <v>10120</v>
      </c>
      <c r="E13" s="211">
        <v>793223</v>
      </c>
      <c r="F13" s="263" t="str">
        <f>IFERROR(IF(COUNTIF(Consolidado!$E$3:$E$358,'Range de Logins'!$D13)&gt;0,"Em uso","Livre"),"-")</f>
        <v>Livre</v>
      </c>
      <c r="G13" s="211" t="s">
        <v>1065</v>
      </c>
      <c r="H13" s="211" t="str">
        <f>IFERROR(VLOOKUP(D13,Consolidado!$E$3:$K$311,7,0),"")</f>
        <v/>
      </c>
      <c r="I13" s="257"/>
      <c r="L13" s="201"/>
    </row>
    <row r="14" spans="2:20">
      <c r="D14" s="267">
        <v>10136</v>
      </c>
      <c r="E14" s="211">
        <v>408157</v>
      </c>
      <c r="F14" s="263" t="str">
        <f>IFERROR(IF(COUNTIF(Consolidado!$E$3:$E$358,'Range de Logins'!$D14)&gt;0,"Em uso","Livre"),"-")</f>
        <v>Livre</v>
      </c>
      <c r="G14" s="211" t="s">
        <v>1065</v>
      </c>
      <c r="H14" s="211" t="str">
        <f>IFERROR(VLOOKUP(D14,Consolidado!$E$3:$K$311,7,0),"")</f>
        <v/>
      </c>
      <c r="I14" s="257"/>
    </row>
    <row r="15" spans="2:20">
      <c r="D15" s="267">
        <v>10138</v>
      </c>
      <c r="E15" s="211">
        <v>771007</v>
      </c>
      <c r="F15" s="263" t="str">
        <f>IFERROR(IF(COUNTIF(Consolidado!$E$3:$E$358,'Range de Logins'!$D15)&gt;0,"Em uso","Livre"),"-")</f>
        <v>Livre</v>
      </c>
      <c r="G15" s="211" t="s">
        <v>1065</v>
      </c>
      <c r="H15" s="211" t="str">
        <f>IFERROR(VLOOKUP(D15,Consolidado!$E$3:$K$311,7,0),"")</f>
        <v/>
      </c>
      <c r="I15" s="257" t="s">
        <v>7</v>
      </c>
    </row>
    <row r="16" spans="2:20">
      <c r="D16" s="267">
        <v>10139</v>
      </c>
      <c r="E16" s="211">
        <v>796373</v>
      </c>
      <c r="F16" s="263" t="str">
        <f>IFERROR(IF(COUNTIF(Consolidado!$E$3:$E$358,'Range de Logins'!$D16)&gt;0,"Em uso","Livre"),"-")</f>
        <v>Livre</v>
      </c>
      <c r="G16" s="211" t="s">
        <v>1065</v>
      </c>
      <c r="H16" s="211" t="str">
        <f>IFERROR(VLOOKUP(D16,Consolidado!$E$3:$K$311,7,0),"")</f>
        <v/>
      </c>
      <c r="I16" s="257" t="s">
        <v>7</v>
      </c>
    </row>
    <row r="17" spans="4:9">
      <c r="D17" s="267">
        <v>10140</v>
      </c>
      <c r="E17" s="211">
        <v>854906</v>
      </c>
      <c r="F17" s="263" t="str">
        <f>IFERROR(IF(COUNTIF(Consolidado!$E$3:$E$358,'Range de Logins'!$D17)&gt;0,"Em uso","Livre"),"-")</f>
        <v>Livre</v>
      </c>
      <c r="G17" s="211" t="s">
        <v>1065</v>
      </c>
      <c r="H17" s="211" t="str">
        <f>IFERROR(VLOOKUP(D17,Consolidado!$E$3:$K$311,7,0),"")</f>
        <v/>
      </c>
      <c r="I17" s="257"/>
    </row>
    <row r="18" spans="4:9">
      <c r="D18" s="267">
        <v>10141</v>
      </c>
      <c r="E18" s="211">
        <v>873188</v>
      </c>
      <c r="F18" s="263" t="str">
        <f>IFERROR(IF(COUNTIF(Consolidado!$E$3:$E$358,'Range de Logins'!$D18)&gt;0,"Em uso","Livre"),"-")</f>
        <v>Livre</v>
      </c>
      <c r="G18" s="211" t="s">
        <v>1065</v>
      </c>
      <c r="H18" s="211" t="str">
        <f>IFERROR(VLOOKUP(D18,Consolidado!$E$3:$K$311,7,0),"")</f>
        <v/>
      </c>
      <c r="I18" s="257"/>
    </row>
    <row r="19" spans="4:9">
      <c r="D19" s="267">
        <v>10142</v>
      </c>
      <c r="E19" s="211">
        <v>868153</v>
      </c>
      <c r="F19" s="263" t="str">
        <f>IFERROR(IF(COUNTIF(Consolidado!$E$3:$E$358,'Range de Logins'!$D19)&gt;0,"Em uso","Livre"),"-")</f>
        <v>Livre</v>
      </c>
      <c r="G19" s="211" t="s">
        <v>1065</v>
      </c>
      <c r="H19" s="211" t="str">
        <f>IFERROR(VLOOKUP(D19,Consolidado!$E$3:$K$311,7,0),"")</f>
        <v/>
      </c>
      <c r="I19" s="257"/>
    </row>
    <row r="20" spans="4:9">
      <c r="D20" s="267">
        <v>10143</v>
      </c>
      <c r="E20" s="211">
        <v>873182</v>
      </c>
      <c r="F20" s="263" t="str">
        <f>IFERROR(IF(COUNTIF(Consolidado!$E$3:$E$358,'Range de Logins'!$D20)&gt;0,"Em uso","Livre"),"-")</f>
        <v>Livre</v>
      </c>
      <c r="G20" s="211" t="s">
        <v>1065</v>
      </c>
      <c r="H20" s="211" t="str">
        <f>IFERROR(VLOOKUP(D20,Consolidado!$E$3:$K$311,7,0),"")</f>
        <v/>
      </c>
      <c r="I20" s="257"/>
    </row>
    <row r="21" spans="4:9">
      <c r="D21" s="267">
        <v>10144</v>
      </c>
      <c r="E21" s="211">
        <v>868212</v>
      </c>
      <c r="F21" s="263" t="str">
        <f>IFERROR(IF(COUNTIF(Consolidado!$E$3:$E$358,'Range de Logins'!$D21)&gt;0,"Em uso","Livre"),"-")</f>
        <v>Livre</v>
      </c>
      <c r="G21" s="211" t="s">
        <v>1065</v>
      </c>
      <c r="H21" s="211" t="str">
        <f>IFERROR(VLOOKUP(D21,Consolidado!$E$3:$K$311,7,0),"")</f>
        <v/>
      </c>
      <c r="I21" s="257"/>
    </row>
    <row r="22" spans="4:9">
      <c r="D22" s="267">
        <v>10145</v>
      </c>
      <c r="E22" s="211">
        <v>873195</v>
      </c>
      <c r="F22" s="263" t="str">
        <f>IFERROR(IF(COUNTIF(Consolidado!$E$3:$E$358,'Range de Logins'!$D22)&gt;0,"Em uso","Livre"),"-")</f>
        <v>Livre</v>
      </c>
      <c r="G22" s="211" t="s">
        <v>1065</v>
      </c>
      <c r="H22" s="211" t="str">
        <f>IFERROR(VLOOKUP(D22,Consolidado!$E$3:$K$311,7,0),"")</f>
        <v/>
      </c>
      <c r="I22" s="257"/>
    </row>
    <row r="23" spans="4:9">
      <c r="D23" s="267">
        <v>10146</v>
      </c>
      <c r="E23" s="211">
        <v>868210</v>
      </c>
      <c r="F23" s="263" t="str">
        <f>IFERROR(IF(COUNTIF(Consolidado!$E$3:$E$358,'Range de Logins'!$D23)&gt;0,"Em uso","Livre"),"-")</f>
        <v>Livre</v>
      </c>
      <c r="G23" s="211" t="s">
        <v>1065</v>
      </c>
      <c r="H23" s="211" t="str">
        <f>IFERROR(VLOOKUP(D23,Consolidado!$E$3:$K$311,7,0),"")</f>
        <v/>
      </c>
      <c r="I23" s="257"/>
    </row>
    <row r="24" spans="4:9">
      <c r="D24" s="267">
        <v>10147</v>
      </c>
      <c r="E24" s="211">
        <v>858694</v>
      </c>
      <c r="F24" s="263" t="str">
        <f>IFERROR(IF(COUNTIF(Consolidado!$E$3:$E$358,'Range de Logins'!$D24)&gt;0,"Em uso","Livre"),"-")</f>
        <v>Livre</v>
      </c>
      <c r="G24" s="211" t="s">
        <v>1065</v>
      </c>
      <c r="H24" s="211" t="str">
        <f>IFERROR(VLOOKUP(D24,Consolidado!$E$3:$K$311,7,0),"")</f>
        <v/>
      </c>
      <c r="I24" s="257"/>
    </row>
    <row r="25" spans="4:9">
      <c r="D25" s="267">
        <v>10161</v>
      </c>
      <c r="E25" s="211">
        <v>873009</v>
      </c>
      <c r="F25" s="263" t="str">
        <f>IFERROR(IF(COUNTIF(Consolidado!$E$3:$E$358,'Range de Logins'!$D25)&gt;0,"Em uso","Livre"),"-")</f>
        <v>Livre</v>
      </c>
      <c r="G25" s="211" t="s">
        <v>1065</v>
      </c>
      <c r="H25" s="211" t="str">
        <f>IFERROR(VLOOKUP(D25,Consolidado!$E$3:$K$311,7,0),"")</f>
        <v/>
      </c>
      <c r="I25" s="257"/>
    </row>
    <row r="26" spans="4:9">
      <c r="D26" s="267">
        <v>10162</v>
      </c>
      <c r="E26" s="211">
        <v>795194</v>
      </c>
      <c r="F26" s="263" t="str">
        <f>IFERROR(IF(COUNTIF(Consolidado!$E$3:$E$358,'Range de Logins'!$D26)&gt;0,"Em uso","Livre"),"-")</f>
        <v>Livre</v>
      </c>
      <c r="G26" s="211" t="s">
        <v>1065</v>
      </c>
      <c r="H26" s="211" t="str">
        <f>IFERROR(VLOOKUP(D26,Consolidado!$E$3:$K$311,7,0),"")</f>
        <v/>
      </c>
      <c r="I26" s="257"/>
    </row>
    <row r="27" spans="4:9">
      <c r="D27" s="267">
        <v>10163</v>
      </c>
      <c r="E27" s="211">
        <v>868183</v>
      </c>
      <c r="F27" s="263" t="str">
        <f>IFERROR(IF(COUNTIF(Consolidado!$E$3:$E$358,'Range de Logins'!$D27)&gt;0,"Em uso","Livre"),"-")</f>
        <v>Livre</v>
      </c>
      <c r="G27" s="211" t="s">
        <v>1065</v>
      </c>
      <c r="H27" s="211" t="str">
        <f>IFERROR(VLOOKUP(D27,Consolidado!$E$3:$K$311,7,0),"")</f>
        <v/>
      </c>
      <c r="I27" s="257" t="s">
        <v>7</v>
      </c>
    </row>
    <row r="28" spans="4:9">
      <c r="D28" s="267">
        <v>10186</v>
      </c>
      <c r="E28" s="211">
        <v>898462</v>
      </c>
      <c r="F28" s="263" t="str">
        <f>IFERROR(IF(COUNTIF(Consolidado!$E$3:$E$358,'Range de Logins'!$D28)&gt;0,"Em uso","Livre"),"-")</f>
        <v>Livre</v>
      </c>
      <c r="G28" s="211" t="s">
        <v>1065</v>
      </c>
      <c r="H28" s="211" t="str">
        <f>IFERROR(VLOOKUP(D28,Consolidado!$E$3:$K$311,7,0),"")</f>
        <v/>
      </c>
      <c r="I28" s="257" t="s">
        <v>7</v>
      </c>
    </row>
    <row r="29" spans="4:9">
      <c r="D29" s="267">
        <v>10173</v>
      </c>
      <c r="E29" s="211">
        <v>868160</v>
      </c>
      <c r="F29" s="263" t="str">
        <f>IFERROR(IF(COUNTIF(Consolidado!$E$3:$E$358,'Range de Logins'!$D29)&gt;0,"Em uso","Livre"),"-")</f>
        <v>Livre</v>
      </c>
      <c r="G29" s="211" t="s">
        <v>1065</v>
      </c>
      <c r="H29" s="211" t="str">
        <f>IFERROR(VLOOKUP(D29,Consolidado!$E$3:$K$311,7,0),"")</f>
        <v/>
      </c>
      <c r="I29" s="257"/>
    </row>
    <row r="30" spans="4:9">
      <c r="D30" s="267">
        <v>10187</v>
      </c>
      <c r="E30" s="211">
        <v>766264</v>
      </c>
      <c r="F30" s="263" t="str">
        <f>IFERROR(IF(COUNTIF(Consolidado!$E$3:$E$358,'Range de Logins'!$D30)&gt;0,"Em uso","Livre"),"-")</f>
        <v>Livre</v>
      </c>
      <c r="G30" s="211" t="s">
        <v>1065</v>
      </c>
      <c r="H30" s="211" t="str">
        <f>IFERROR(VLOOKUP(D30,Consolidado!$E$3:$K$311,7,0),"")</f>
        <v/>
      </c>
      <c r="I30" s="257" t="s">
        <v>7</v>
      </c>
    </row>
    <row r="31" spans="4:9">
      <c r="D31" s="267">
        <v>10831</v>
      </c>
      <c r="E31" s="211">
        <v>876683</v>
      </c>
      <c r="F31" s="263" t="str">
        <f>IFERROR(IF(COUNTIF(Consolidado!$E$3:$E$358,'Range de Logins'!$D31)&gt;0,"Em uso","Livre"),"-")</f>
        <v>Em uso</v>
      </c>
      <c r="G31" s="211" t="s">
        <v>1065</v>
      </c>
      <c r="H31" s="211" t="str">
        <f>IFERROR(VLOOKUP(D31,Consolidado!$E$3:$K$311,7,0),"")</f>
        <v>Metricas e Ferramentas</v>
      </c>
      <c r="I31" s="257"/>
    </row>
    <row r="32" spans="4:9">
      <c r="D32" s="267">
        <v>10188</v>
      </c>
      <c r="E32" s="211">
        <v>347815</v>
      </c>
      <c r="F32" s="263" t="str">
        <f>IFERROR(IF(COUNTIF(Consolidado!$E$3:$E$358,'Range de Logins'!$D32)&gt;0,"Em uso","Livre"),"-")</f>
        <v>Livre</v>
      </c>
      <c r="G32" s="211" t="s">
        <v>1065</v>
      </c>
      <c r="H32" s="211" t="str">
        <f>IFERROR(VLOOKUP(D32,Consolidado!$E$3:$K$311,7,0),"")</f>
        <v/>
      </c>
      <c r="I32" s="257"/>
    </row>
    <row r="33" spans="4:9">
      <c r="D33" s="267">
        <v>10189</v>
      </c>
      <c r="E33" s="211">
        <v>876672</v>
      </c>
      <c r="F33" s="263" t="str">
        <f>IFERROR(IF(COUNTIF(Consolidado!$E$3:$E$358,'Range de Logins'!$D33)&gt;0,"Em uso","Livre"),"-")</f>
        <v>Livre</v>
      </c>
      <c r="G33" s="211" t="s">
        <v>1065</v>
      </c>
      <c r="H33" s="211" t="str">
        <f>IFERROR(VLOOKUP(D33,Consolidado!$E$3:$K$311,7,0),"")</f>
        <v/>
      </c>
      <c r="I33" s="257"/>
    </row>
    <row r="34" spans="4:9">
      <c r="D34" s="267">
        <v>10207</v>
      </c>
      <c r="E34" s="211">
        <v>876675</v>
      </c>
      <c r="F34" s="263" t="str">
        <f>IFERROR(IF(COUNTIF(Consolidado!$E$3:$E$358,'Range de Logins'!$D34)&gt;0,"Em uso","Livre"),"-")</f>
        <v>Livre</v>
      </c>
      <c r="G34" s="211" t="s">
        <v>1065</v>
      </c>
      <c r="H34" s="211" t="str">
        <f>IFERROR(VLOOKUP(D34,Consolidado!$E$3:$K$311,7,0),"")</f>
        <v/>
      </c>
      <c r="I34" s="257"/>
    </row>
    <row r="35" spans="4:9">
      <c r="D35" s="267">
        <v>10360</v>
      </c>
      <c r="E35" s="211">
        <v>836312</v>
      </c>
      <c r="F35" s="263" t="str">
        <f>IFERROR(IF(COUNTIF(Consolidado!$E$3:$E$358,'Range de Logins'!$D35)&gt;0,"Em uso","Livre"),"-")</f>
        <v>Livre</v>
      </c>
      <c r="G35" s="211" t="s">
        <v>1065</v>
      </c>
      <c r="H35" s="211" t="str">
        <f>IFERROR(VLOOKUP(D35,Consolidado!$E$3:$K$311,7,0),"")</f>
        <v/>
      </c>
      <c r="I35" s="257"/>
    </row>
    <row r="36" spans="4:9">
      <c r="D36" s="267">
        <v>10362</v>
      </c>
      <c r="E36" s="211">
        <v>876676</v>
      </c>
      <c r="F36" s="263" t="str">
        <f>IFERROR(IF(COUNTIF(Consolidado!$E$3:$E$358,'Range de Logins'!$D36)&gt;0,"Em uso","Livre"),"-")</f>
        <v>Livre</v>
      </c>
      <c r="G36" s="211" t="s">
        <v>1065</v>
      </c>
      <c r="H36" s="211" t="str">
        <f>IFERROR(VLOOKUP(D36,Consolidado!$E$3:$K$311,7,0),"")</f>
        <v/>
      </c>
      <c r="I36" s="257"/>
    </row>
    <row r="37" spans="4:9">
      <c r="D37" s="267">
        <v>10824</v>
      </c>
      <c r="E37" s="211">
        <v>876678</v>
      </c>
      <c r="F37" s="263" t="str">
        <f>IFERROR(IF(COUNTIF(Consolidado!$E$3:$E$358,'Range de Logins'!$D37)&gt;0,"Em uso","Livre"),"-")</f>
        <v>Livre</v>
      </c>
      <c r="G37" s="211" t="s">
        <v>1065</v>
      </c>
      <c r="H37" s="211" t="str">
        <f>IFERROR(VLOOKUP(D37,Consolidado!$E$3:$K$311,7,0),"")</f>
        <v/>
      </c>
      <c r="I37" s="257"/>
    </row>
    <row r="38" spans="4:9">
      <c r="D38" s="267">
        <v>10875</v>
      </c>
      <c r="E38" s="211">
        <v>690837</v>
      </c>
      <c r="F38" s="263" t="str">
        <f>IFERROR(IF(COUNTIF(Consolidado!$E$3:$E$358,'Range de Logins'!$D38)&gt;0,"Em uso","Livre"),"-")</f>
        <v>Livre</v>
      </c>
      <c r="G38" s="211" t="s">
        <v>1065</v>
      </c>
      <c r="H38" s="211" t="str">
        <f>IFERROR(VLOOKUP(D38,Consolidado!$E$3:$K$311,7,0),"")</f>
        <v/>
      </c>
      <c r="I38" s="257"/>
    </row>
    <row r="39" spans="4:9">
      <c r="D39" s="267">
        <v>12000</v>
      </c>
      <c r="E39" s="211" t="s">
        <v>26</v>
      </c>
      <c r="F39" s="263" t="str">
        <f>IFERROR(IF(COUNTIF(Consolidado!$E$3:$E$358,'Range de Logins'!$D39)&gt;0,"Em uso","Livre"),"-")</f>
        <v>Livre</v>
      </c>
      <c r="G39" s="211" t="s">
        <v>1265</v>
      </c>
      <c r="H39" s="211" t="str">
        <f>IFERROR(VLOOKUP(D39,Consolidado!$E$3:$K$311,7,0),"")</f>
        <v/>
      </c>
      <c r="I39" s="257"/>
    </row>
    <row r="40" spans="4:9">
      <c r="D40" s="267">
        <v>12001</v>
      </c>
      <c r="E40" s="211" t="s">
        <v>26</v>
      </c>
      <c r="F40" s="263" t="str">
        <f>IFERROR(IF(COUNTIF(Consolidado!$E$3:$E$358,'Range de Logins'!$D40)&gt;0,"Em uso","Livre"),"-")</f>
        <v>Livre</v>
      </c>
      <c r="G40" s="211" t="s">
        <v>1265</v>
      </c>
      <c r="H40" s="211" t="str">
        <f>IFERROR(VLOOKUP(D40,Consolidado!$E$3:$K$311,7,0),"")</f>
        <v/>
      </c>
      <c r="I40" s="257"/>
    </row>
    <row r="41" spans="4:9">
      <c r="D41" s="267">
        <v>12002</v>
      </c>
      <c r="E41" s="211" t="s">
        <v>26</v>
      </c>
      <c r="F41" s="263" t="str">
        <f>IFERROR(IF(COUNTIF(Consolidado!$E$3:$E$358,'Range de Logins'!$D41)&gt;0,"Em uso","Livre"),"-")</f>
        <v>Livre</v>
      </c>
      <c r="G41" s="211" t="s">
        <v>1265</v>
      </c>
      <c r="H41" s="211" t="str">
        <f>IFERROR(VLOOKUP(D41,Consolidado!$E$3:$K$311,7,0),"")</f>
        <v/>
      </c>
      <c r="I41" s="257"/>
    </row>
    <row r="42" spans="4:9">
      <c r="D42" s="267">
        <v>12004</v>
      </c>
      <c r="E42" s="211" t="s">
        <v>26</v>
      </c>
      <c r="F42" s="263" t="str">
        <f>IFERROR(IF(COUNTIF(Consolidado!$E$3:$E$358,'Range de Logins'!$D42)&gt;0,"Em uso","Livre"),"-")</f>
        <v>Livre</v>
      </c>
      <c r="G42" s="211" t="s">
        <v>1265</v>
      </c>
      <c r="H42" s="211" t="str">
        <f>IFERROR(VLOOKUP(D42,Consolidado!$E$3:$K$311,7,0),"")</f>
        <v/>
      </c>
      <c r="I42" s="257"/>
    </row>
    <row r="43" spans="4:9">
      <c r="D43" s="267">
        <v>12012</v>
      </c>
      <c r="E43" s="211">
        <v>788643</v>
      </c>
      <c r="F43" s="263" t="str">
        <f>IFERROR(IF(COUNTIF(Consolidado!$E$3:$E$358,'Range de Logins'!$D43)&gt;0,"Em uso","Livre"),"-")</f>
        <v>Em uso</v>
      </c>
      <c r="G43" s="211" t="s">
        <v>1065</v>
      </c>
      <c r="H43" s="211" t="str">
        <f>IFERROR(VLOOKUP(D43,Consolidado!$E$3:$K$311,7,0),"")</f>
        <v>FUPO</v>
      </c>
      <c r="I43" s="257"/>
    </row>
    <row r="44" spans="4:9">
      <c r="D44" s="267">
        <v>12005</v>
      </c>
      <c r="E44" s="211" t="s">
        <v>26</v>
      </c>
      <c r="F44" s="263" t="str">
        <f>IFERROR(IF(COUNTIF(Consolidado!$E$3:$E$358,'Range de Logins'!$D44)&gt;0,"Em uso","Livre"),"-")</f>
        <v>Livre</v>
      </c>
      <c r="G44" s="211" t="s">
        <v>1265</v>
      </c>
      <c r="H44" s="211" t="str">
        <f>IFERROR(VLOOKUP(D44,Consolidado!$E$3:$K$311,7,0),"")</f>
        <v/>
      </c>
      <c r="I44" s="257"/>
    </row>
    <row r="45" spans="4:9">
      <c r="D45" s="267">
        <v>12006</v>
      </c>
      <c r="E45" s="211" t="s">
        <v>26</v>
      </c>
      <c r="F45" s="263" t="str">
        <f>IFERROR(IF(COUNTIF(Consolidado!$E$3:$E$358,'Range de Logins'!$D45)&gt;0,"Em uso","Livre"),"-")</f>
        <v>Livre</v>
      </c>
      <c r="G45" s="211" t="s">
        <v>1265</v>
      </c>
      <c r="H45" s="211" t="str">
        <f>IFERROR(VLOOKUP(D45,Consolidado!$E$3:$K$311,7,0),"")</f>
        <v/>
      </c>
      <c r="I45" s="257"/>
    </row>
    <row r="46" spans="4:9">
      <c r="D46" s="267">
        <v>12007</v>
      </c>
      <c r="E46" s="211" t="s">
        <v>26</v>
      </c>
      <c r="F46" s="263" t="str">
        <f>IFERROR(IF(COUNTIF(Consolidado!$E$3:$E$358,'Range de Logins'!$D46)&gt;0,"Em uso","Livre"),"-")</f>
        <v>Livre</v>
      </c>
      <c r="G46" s="211" t="s">
        <v>1265</v>
      </c>
      <c r="H46" s="211" t="str">
        <f>IFERROR(VLOOKUP(D46,Consolidado!$E$3:$K$311,7,0),"")</f>
        <v/>
      </c>
      <c r="I46" s="257"/>
    </row>
    <row r="47" spans="4:9">
      <c r="D47" s="267">
        <v>12008</v>
      </c>
      <c r="E47" s="211" t="s">
        <v>26</v>
      </c>
      <c r="F47" s="263" t="str">
        <f>IFERROR(IF(COUNTIF(Consolidado!$E$3:$E$358,'Range de Logins'!$D47)&gt;0,"Em uso","Livre"),"-")</f>
        <v>Livre</v>
      </c>
      <c r="G47" s="211" t="s">
        <v>1265</v>
      </c>
      <c r="H47" s="211" t="str">
        <f>IFERROR(VLOOKUP(D47,Consolidado!$E$3:$K$311,7,0),"")</f>
        <v/>
      </c>
      <c r="I47" s="257"/>
    </row>
    <row r="48" spans="4:9">
      <c r="D48" s="267">
        <v>12009</v>
      </c>
      <c r="E48" s="211" t="s">
        <v>26</v>
      </c>
      <c r="F48" s="263" t="str">
        <f>IFERROR(IF(COUNTIF(Consolidado!$E$3:$E$358,'Range de Logins'!$D48)&gt;0,"Em uso","Livre"),"-")</f>
        <v>Livre</v>
      </c>
      <c r="G48" s="211" t="s">
        <v>1265</v>
      </c>
      <c r="H48" s="211" t="str">
        <f>IFERROR(VLOOKUP(D48,Consolidado!$E$3:$K$311,7,0),"")</f>
        <v/>
      </c>
      <c r="I48" s="257"/>
    </row>
    <row r="49" spans="4:9">
      <c r="D49" s="267">
        <v>12010</v>
      </c>
      <c r="E49" s="211" t="s">
        <v>26</v>
      </c>
      <c r="F49" s="263" t="str">
        <f>IFERROR(IF(COUNTIF(Consolidado!$E$3:$E$358,'Range de Logins'!$D49)&gt;0,"Em uso","Livre"),"-")</f>
        <v>Livre</v>
      </c>
      <c r="G49" s="211" t="s">
        <v>1265</v>
      </c>
      <c r="H49" s="211" t="str">
        <f>IFERROR(VLOOKUP(D49,Consolidado!$E$3:$K$311,7,0),"")</f>
        <v/>
      </c>
      <c r="I49" s="257"/>
    </row>
    <row r="50" spans="4:9">
      <c r="D50" s="267">
        <v>12011</v>
      </c>
      <c r="E50" s="211" t="s">
        <v>26</v>
      </c>
      <c r="F50" s="263" t="str">
        <f>IFERROR(IF(COUNTIF(Consolidado!$E$3:$E$358,'Range de Logins'!$D50)&gt;0,"Em uso","Livre"),"-")</f>
        <v>Livre</v>
      </c>
      <c r="G50" s="211" t="s">
        <v>1265</v>
      </c>
      <c r="H50" s="211" t="str">
        <f>IFERROR(VLOOKUP(D50,Consolidado!$E$3:$K$311,7,0),"")</f>
        <v/>
      </c>
      <c r="I50" s="257"/>
    </row>
    <row r="51" spans="4:9">
      <c r="D51" s="267">
        <v>12013</v>
      </c>
      <c r="E51" s="211">
        <v>487456</v>
      </c>
      <c r="F51" s="263" t="str">
        <f>IFERROR(IF(COUNTIF(Consolidado!$E$3:$E$358,'Range de Logins'!$D51)&gt;0,"Em uso","Livre"),"-")</f>
        <v>Livre</v>
      </c>
      <c r="G51" s="211" t="s">
        <v>1065</v>
      </c>
      <c r="H51" s="211" t="str">
        <f>IFERROR(VLOOKUP(D51,Consolidado!$E$3:$K$311,7,0),"")</f>
        <v/>
      </c>
      <c r="I51" s="257"/>
    </row>
    <row r="52" spans="4:9">
      <c r="D52" s="267">
        <v>12014</v>
      </c>
      <c r="E52" s="211" t="s">
        <v>26</v>
      </c>
      <c r="F52" s="263" t="str">
        <f>IFERROR(IF(COUNTIF(Consolidado!$E$3:$E$358,'Range de Logins'!$D52)&gt;0,"Em uso","Livre"),"-")</f>
        <v>Livre</v>
      </c>
      <c r="G52" s="211" t="s">
        <v>1265</v>
      </c>
      <c r="H52" s="211" t="str">
        <f>IFERROR(VLOOKUP(D52,Consolidado!$E$3:$K$311,7,0),"")</f>
        <v/>
      </c>
      <c r="I52" s="257"/>
    </row>
    <row r="53" spans="4:9">
      <c r="D53" s="267">
        <v>12015</v>
      </c>
      <c r="E53" s="211" t="s">
        <v>26</v>
      </c>
      <c r="F53" s="263" t="str">
        <f>IFERROR(IF(COUNTIF(Consolidado!$E$3:$E$358,'Range de Logins'!$D53)&gt;0,"Em uso","Livre"),"-")</f>
        <v>Livre</v>
      </c>
      <c r="G53" s="211" t="s">
        <v>1265</v>
      </c>
      <c r="H53" s="211" t="str">
        <f>IFERROR(VLOOKUP(D53,Consolidado!$E$3:$K$311,7,0),"")</f>
        <v/>
      </c>
      <c r="I53" s="257"/>
    </row>
    <row r="54" spans="4:9">
      <c r="D54" s="267">
        <v>12016</v>
      </c>
      <c r="E54" s="211" t="s">
        <v>26</v>
      </c>
      <c r="F54" s="263" t="str">
        <f>IFERROR(IF(COUNTIF(Consolidado!$E$3:$E$358,'Range de Logins'!$D54)&gt;0,"Em uso","Livre"),"-")</f>
        <v>Livre</v>
      </c>
      <c r="G54" s="211" t="s">
        <v>1265</v>
      </c>
      <c r="H54" s="211" t="str">
        <f>IFERROR(VLOOKUP(D54,Consolidado!$E$3:$K$311,7,0),"")</f>
        <v/>
      </c>
      <c r="I54" s="257"/>
    </row>
    <row r="55" spans="4:9">
      <c r="D55" s="267">
        <v>12017</v>
      </c>
      <c r="E55" s="211" t="s">
        <v>26</v>
      </c>
      <c r="F55" s="263" t="str">
        <f>IFERROR(IF(COUNTIF(Consolidado!$E$3:$E$358,'Range de Logins'!$D55)&gt;0,"Em uso","Livre"),"-")</f>
        <v>Livre</v>
      </c>
      <c r="G55" s="211" t="s">
        <v>1265</v>
      </c>
      <c r="H55" s="211" t="str">
        <f>IFERROR(VLOOKUP(D55,Consolidado!$E$3:$K$311,7,0),"")</f>
        <v/>
      </c>
      <c r="I55" s="257"/>
    </row>
    <row r="56" spans="4:9">
      <c r="D56" s="267">
        <v>12018</v>
      </c>
      <c r="E56" s="211" t="s">
        <v>26</v>
      </c>
      <c r="F56" s="263" t="str">
        <f>IFERROR(IF(COUNTIF(Consolidado!$E$3:$E$358,'Range de Logins'!$D56)&gt;0,"Em uso","Livre"),"-")</f>
        <v>Livre</v>
      </c>
      <c r="G56" s="211" t="s">
        <v>1265</v>
      </c>
      <c r="H56" s="211" t="str">
        <f>IFERROR(VLOOKUP(D56,Consolidado!$E$3:$K$311,7,0),"")</f>
        <v/>
      </c>
      <c r="I56" s="257"/>
    </row>
    <row r="57" spans="4:9">
      <c r="D57" s="267">
        <v>12020</v>
      </c>
      <c r="E57" s="211" t="s">
        <v>26</v>
      </c>
      <c r="F57" s="263" t="str">
        <f>IFERROR(IF(COUNTIF(Consolidado!$E$3:$E$358,'Range de Logins'!$D57)&gt;0,"Em uso","Livre"),"-")</f>
        <v>Livre</v>
      </c>
      <c r="G57" s="211" t="s">
        <v>1265</v>
      </c>
      <c r="H57" s="211" t="str">
        <f>IFERROR(VLOOKUP(D57,Consolidado!$E$3:$K$311,7,0),"")</f>
        <v/>
      </c>
      <c r="I57" s="257"/>
    </row>
    <row r="58" spans="4:9">
      <c r="D58" s="267">
        <v>12021</v>
      </c>
      <c r="E58" s="211" t="s">
        <v>26</v>
      </c>
      <c r="F58" s="263" t="str">
        <f>IFERROR(IF(COUNTIF(Consolidado!$E$3:$E$358,'Range de Logins'!$D58)&gt;0,"Em uso","Livre"),"-")</f>
        <v>Livre</v>
      </c>
      <c r="G58" s="211" t="s">
        <v>1265</v>
      </c>
      <c r="H58" s="211" t="str">
        <f>IFERROR(VLOOKUP(D58,Consolidado!$E$3:$K$311,7,0),"")</f>
        <v/>
      </c>
      <c r="I58" s="257"/>
    </row>
    <row r="59" spans="4:9">
      <c r="D59" s="267">
        <v>12022</v>
      </c>
      <c r="E59" s="211" t="s">
        <v>26</v>
      </c>
      <c r="F59" s="263" t="str">
        <f>IFERROR(IF(COUNTIF(Consolidado!$E$3:$E$358,'Range de Logins'!$D59)&gt;0,"Em uso","Livre"),"-")</f>
        <v>Livre</v>
      </c>
      <c r="G59" s="211" t="s">
        <v>1265</v>
      </c>
      <c r="H59" s="211" t="str">
        <f>IFERROR(VLOOKUP(D59,Consolidado!$E$3:$K$311,7,0),"")</f>
        <v/>
      </c>
      <c r="I59" s="257"/>
    </row>
    <row r="60" spans="4:9">
      <c r="D60" s="267">
        <v>12023</v>
      </c>
      <c r="E60" s="211">
        <v>876686</v>
      </c>
      <c r="F60" s="263" t="str">
        <f>IFERROR(IF(COUNTIF(Consolidado!$E$3:$E$358,'Range de Logins'!$D60)&gt;0,"Em uso","Livre"),"-")</f>
        <v>Livre</v>
      </c>
      <c r="G60" s="211" t="s">
        <v>1065</v>
      </c>
      <c r="H60" s="211" t="str">
        <f>IFERROR(VLOOKUP(D60,Consolidado!$E$3:$K$311,7,0),"")</f>
        <v/>
      </c>
      <c r="I60" s="257"/>
    </row>
    <row r="61" spans="4:9">
      <c r="D61" s="267">
        <v>12024</v>
      </c>
      <c r="E61" s="211" t="s">
        <v>26</v>
      </c>
      <c r="F61" s="263" t="str">
        <f>IFERROR(IF(COUNTIF(Consolidado!$E$3:$E$358,'Range de Logins'!$D61)&gt;0,"Em uso","Livre"),"-")</f>
        <v>Livre</v>
      </c>
      <c r="G61" s="211" t="s">
        <v>1265</v>
      </c>
      <c r="H61" s="211" t="str">
        <f>IFERROR(VLOOKUP(D61,Consolidado!$E$3:$K$311,7,0),"")</f>
        <v/>
      </c>
      <c r="I61" s="257"/>
    </row>
    <row r="62" spans="4:9">
      <c r="D62" s="267">
        <v>12025</v>
      </c>
      <c r="E62" s="211" t="s">
        <v>26</v>
      </c>
      <c r="F62" s="263" t="str">
        <f>IFERROR(IF(COUNTIF(Consolidado!$E$3:$E$358,'Range de Logins'!$D62)&gt;0,"Em uso","Livre"),"-")</f>
        <v>Livre</v>
      </c>
      <c r="G62" s="211" t="s">
        <v>1265</v>
      </c>
      <c r="H62" s="211" t="str">
        <f>IFERROR(VLOOKUP(D62,Consolidado!$E$3:$K$311,7,0),"")</f>
        <v/>
      </c>
      <c r="I62" s="257"/>
    </row>
    <row r="63" spans="4:9">
      <c r="D63" s="267">
        <v>12026</v>
      </c>
      <c r="E63" s="211">
        <v>578219</v>
      </c>
      <c r="F63" s="263" t="str">
        <f>IFERROR(IF(COUNTIF(Consolidado!$E$3:$E$358,'Range de Logins'!$D63)&gt;0,"Em uso","Livre"),"-")</f>
        <v>Livre</v>
      </c>
      <c r="G63" s="211" t="s">
        <v>1265</v>
      </c>
      <c r="H63" s="211" t="str">
        <f>IFERROR(VLOOKUP(D63,Consolidado!$E$3:$K$311,7,0),"")</f>
        <v/>
      </c>
      <c r="I63" s="257"/>
    </row>
    <row r="64" spans="4:9">
      <c r="D64" s="267">
        <v>12027</v>
      </c>
      <c r="E64" s="211" t="s">
        <v>26</v>
      </c>
      <c r="F64" s="263" t="str">
        <f>IFERROR(IF(COUNTIF(Consolidado!$E$3:$E$358,'Range de Logins'!$D64)&gt;0,"Em uso","Livre"),"-")</f>
        <v>Livre</v>
      </c>
      <c r="G64" s="211" t="s">
        <v>1265</v>
      </c>
      <c r="H64" s="211" t="str">
        <f>IFERROR(VLOOKUP(D64,Consolidado!$E$3:$K$311,7,0),"")</f>
        <v/>
      </c>
      <c r="I64" s="257"/>
    </row>
    <row r="65" spans="4:9">
      <c r="D65" s="267">
        <v>12028</v>
      </c>
      <c r="E65" s="211" t="s">
        <v>26</v>
      </c>
      <c r="F65" s="263" t="str">
        <f>IFERROR(IF(COUNTIF(Consolidado!$E$3:$E$358,'Range de Logins'!$D65)&gt;0,"Em uso","Livre"),"-")</f>
        <v>Livre</v>
      </c>
      <c r="G65" s="211" t="s">
        <v>1265</v>
      </c>
      <c r="H65" s="211" t="str">
        <f>IFERROR(VLOOKUP(D65,Consolidado!$E$3:$K$311,7,0),"")</f>
        <v/>
      </c>
      <c r="I65" s="257"/>
    </row>
    <row r="66" spans="4:9">
      <c r="D66" s="267">
        <v>12029</v>
      </c>
      <c r="E66" s="211" t="s">
        <v>26</v>
      </c>
      <c r="F66" s="263" t="str">
        <f>IFERROR(IF(COUNTIF(Consolidado!$E$3:$E$358,'Range de Logins'!$D66)&gt;0,"Em uso","Livre"),"-")</f>
        <v>Livre</v>
      </c>
      <c r="G66" s="211" t="s">
        <v>1265</v>
      </c>
      <c r="H66" s="211" t="str">
        <f>IFERROR(VLOOKUP(D66,Consolidado!$E$3:$K$311,7,0),"")</f>
        <v/>
      </c>
      <c r="I66" s="257"/>
    </row>
    <row r="67" spans="4:9">
      <c r="D67" s="267">
        <v>12030</v>
      </c>
      <c r="E67" s="211" t="s">
        <v>26</v>
      </c>
      <c r="F67" s="263" t="str">
        <f>IFERROR(IF(COUNTIF(Consolidado!$E$3:$E$358,'Range de Logins'!$D67)&gt;0,"Em uso","Livre"),"-")</f>
        <v>Livre</v>
      </c>
      <c r="G67" s="211" t="s">
        <v>1265</v>
      </c>
      <c r="H67" s="211" t="str">
        <f>IFERROR(VLOOKUP(D67,Consolidado!$E$3:$K$311,7,0),"")</f>
        <v/>
      </c>
      <c r="I67" s="257"/>
    </row>
    <row r="68" spans="4:9">
      <c r="D68" s="267">
        <v>12031</v>
      </c>
      <c r="E68" s="211" t="s">
        <v>26</v>
      </c>
      <c r="F68" s="263" t="str">
        <f>IFERROR(IF(COUNTIF(Consolidado!$E$3:$E$358,'Range de Logins'!$D68)&gt;0,"Em uso","Livre"),"-")</f>
        <v>Livre</v>
      </c>
      <c r="G68" s="211" t="s">
        <v>1265</v>
      </c>
      <c r="H68" s="211" t="str">
        <f>IFERROR(VLOOKUP(D68,Consolidado!$E$3:$K$311,7,0),"")</f>
        <v/>
      </c>
      <c r="I68" s="257"/>
    </row>
    <row r="69" spans="4:9">
      <c r="D69" s="267">
        <v>12032</v>
      </c>
      <c r="E69" s="211" t="s">
        <v>26</v>
      </c>
      <c r="F69" s="263" t="str">
        <f>IFERROR(IF(COUNTIF(Consolidado!$E$3:$E$358,'Range de Logins'!$D69)&gt;0,"Em uso","Livre"),"-")</f>
        <v>Livre</v>
      </c>
      <c r="G69" s="211" t="s">
        <v>1265</v>
      </c>
      <c r="H69" s="211" t="str">
        <f>IFERROR(VLOOKUP(D69,Consolidado!$E$3:$K$311,7,0),"")</f>
        <v/>
      </c>
      <c r="I69" s="257"/>
    </row>
    <row r="70" spans="4:9">
      <c r="D70" s="267">
        <v>12033</v>
      </c>
      <c r="E70" s="211" t="s">
        <v>26</v>
      </c>
      <c r="F70" s="263" t="str">
        <f>IFERROR(IF(COUNTIF(Consolidado!$E$3:$E$358,'Range de Logins'!$D70)&gt;0,"Em uso","Livre"),"-")</f>
        <v>Livre</v>
      </c>
      <c r="G70" s="211" t="s">
        <v>1265</v>
      </c>
      <c r="H70" s="211" t="str">
        <f>IFERROR(VLOOKUP(D70,Consolidado!$E$3:$K$311,7,0),"")</f>
        <v/>
      </c>
      <c r="I70" s="257"/>
    </row>
    <row r="71" spans="4:9">
      <c r="D71" s="267">
        <v>12034</v>
      </c>
      <c r="E71" s="211" t="s">
        <v>26</v>
      </c>
      <c r="F71" s="263" t="str">
        <f>IFERROR(IF(COUNTIF(Consolidado!$E$3:$E$358,'Range de Logins'!$D71)&gt;0,"Em uso","Livre"),"-")</f>
        <v>Livre</v>
      </c>
      <c r="G71" s="211" t="s">
        <v>1265</v>
      </c>
      <c r="H71" s="211" t="str">
        <f>IFERROR(VLOOKUP(D71,Consolidado!$E$3:$K$311,7,0),"")</f>
        <v/>
      </c>
      <c r="I71" s="257"/>
    </row>
    <row r="72" spans="4:9">
      <c r="D72" s="267">
        <v>12036</v>
      </c>
      <c r="E72" s="211" t="s">
        <v>26</v>
      </c>
      <c r="F72" s="263" t="str">
        <f>IFERROR(IF(COUNTIF(Consolidado!$E$3:$E$358,'Range de Logins'!$D72)&gt;0,"Em uso","Livre"),"-")</f>
        <v>Livre</v>
      </c>
      <c r="G72" s="211" t="s">
        <v>1265</v>
      </c>
      <c r="H72" s="211" t="str">
        <f>IFERROR(VLOOKUP(D72,Consolidado!$E$3:$K$311,7,0),"")</f>
        <v/>
      </c>
      <c r="I72" s="257"/>
    </row>
    <row r="73" spans="4:9">
      <c r="D73" s="267">
        <v>12037</v>
      </c>
      <c r="E73" s="211" t="s">
        <v>26</v>
      </c>
      <c r="F73" s="263" t="str">
        <f>IFERROR(IF(COUNTIF(Consolidado!$E$3:$E$358,'Range de Logins'!$D73)&gt;0,"Em uso","Livre"),"-")</f>
        <v>Livre</v>
      </c>
      <c r="G73" s="211" t="s">
        <v>1265</v>
      </c>
      <c r="H73" s="211" t="str">
        <f>IFERROR(VLOOKUP(D73,Consolidado!$E$3:$K$311,7,0),"")</f>
        <v/>
      </c>
      <c r="I73" s="257"/>
    </row>
    <row r="74" spans="4:9">
      <c r="D74" s="267">
        <v>12038</v>
      </c>
      <c r="E74" s="211" t="s">
        <v>26</v>
      </c>
      <c r="F74" s="263" t="str">
        <f>IFERROR(IF(COUNTIF(Consolidado!$E$3:$E$358,'Range de Logins'!$D74)&gt;0,"Em uso","Livre"),"-")</f>
        <v>Livre</v>
      </c>
      <c r="G74" s="211" t="s">
        <v>1265</v>
      </c>
      <c r="H74" s="211" t="str">
        <f>IFERROR(VLOOKUP(D74,Consolidado!$E$3:$K$311,7,0),"")</f>
        <v/>
      </c>
      <c r="I74" s="257"/>
    </row>
    <row r="75" spans="4:9">
      <c r="D75" s="267">
        <v>12039</v>
      </c>
      <c r="E75" s="211" t="s">
        <v>26</v>
      </c>
      <c r="F75" s="263" t="str">
        <f>IFERROR(IF(COUNTIF(Consolidado!$E$3:$E$358,'Range de Logins'!$D75)&gt;0,"Em uso","Livre"),"-")</f>
        <v>Livre</v>
      </c>
      <c r="G75" s="211" t="s">
        <v>1265</v>
      </c>
      <c r="H75" s="211" t="str">
        <f>IFERROR(VLOOKUP(D75,Consolidado!$E$3:$K$311,7,0),"")</f>
        <v/>
      </c>
      <c r="I75" s="257"/>
    </row>
    <row r="76" spans="4:9">
      <c r="D76" s="267">
        <v>12040</v>
      </c>
      <c r="E76" s="211" t="s">
        <v>26</v>
      </c>
      <c r="F76" s="263" t="str">
        <f>IFERROR(IF(COUNTIF(Consolidado!$E$3:$E$358,'Range de Logins'!$D76)&gt;0,"Em uso","Livre"),"-")</f>
        <v>Livre</v>
      </c>
      <c r="G76" s="211" t="s">
        <v>1265</v>
      </c>
      <c r="H76" s="211" t="str">
        <f>IFERROR(VLOOKUP(D76,Consolidado!$E$3:$K$311,7,0),"")</f>
        <v/>
      </c>
      <c r="I76" s="257"/>
    </row>
    <row r="77" spans="4:9">
      <c r="D77" s="267">
        <v>12042</v>
      </c>
      <c r="E77" s="211" t="s">
        <v>26</v>
      </c>
      <c r="F77" s="263" t="str">
        <f>IFERROR(IF(COUNTIF(Consolidado!$E$3:$E$358,'Range de Logins'!$D77)&gt;0,"Em uso","Livre"),"-")</f>
        <v>Livre</v>
      </c>
      <c r="G77" s="211" t="s">
        <v>1265</v>
      </c>
      <c r="H77" s="211" t="str">
        <f>IFERROR(VLOOKUP(D77,Consolidado!$E$3:$K$311,7,0),"")</f>
        <v/>
      </c>
      <c r="I77" s="257"/>
    </row>
    <row r="78" spans="4:9">
      <c r="D78" s="267">
        <v>12043</v>
      </c>
      <c r="E78" s="211" t="s">
        <v>26</v>
      </c>
      <c r="F78" s="263" t="str">
        <f>IFERROR(IF(COUNTIF(Consolidado!$E$3:$E$358,'Range de Logins'!$D78)&gt;0,"Em uso","Livre"),"-")</f>
        <v>Livre</v>
      </c>
      <c r="G78" s="211" t="s">
        <v>1265</v>
      </c>
      <c r="H78" s="211" t="str">
        <f>IFERROR(VLOOKUP(D78,Consolidado!$E$3:$K$311,7,0),"")</f>
        <v/>
      </c>
      <c r="I78" s="257"/>
    </row>
    <row r="79" spans="4:9">
      <c r="D79" s="267">
        <v>12044</v>
      </c>
      <c r="E79" s="211" t="s">
        <v>26</v>
      </c>
      <c r="F79" s="263" t="str">
        <f>IFERROR(IF(COUNTIF(Consolidado!$E$3:$E$358,'Range de Logins'!$D79)&gt;0,"Em uso","Livre"),"-")</f>
        <v>Livre</v>
      </c>
      <c r="G79" s="211" t="s">
        <v>1265</v>
      </c>
      <c r="H79" s="211" t="str">
        <f>IFERROR(VLOOKUP(D79,Consolidado!$E$3:$K$311,7,0),"")</f>
        <v/>
      </c>
      <c r="I79" s="257"/>
    </row>
    <row r="80" spans="4:9">
      <c r="D80" s="267">
        <v>12045</v>
      </c>
      <c r="E80" s="211" t="s">
        <v>26</v>
      </c>
      <c r="F80" s="263" t="str">
        <f>IFERROR(IF(COUNTIF(Consolidado!$E$3:$E$358,'Range de Logins'!$D80)&gt;0,"Em uso","Livre"),"-")</f>
        <v>Livre</v>
      </c>
      <c r="G80" s="211" t="s">
        <v>1265</v>
      </c>
      <c r="H80" s="211" t="str">
        <f>IFERROR(VLOOKUP(D80,Consolidado!$E$3:$K$311,7,0),"")</f>
        <v/>
      </c>
      <c r="I80" s="257"/>
    </row>
    <row r="81" spans="4:10">
      <c r="D81" s="267">
        <v>12046</v>
      </c>
      <c r="E81" s="211" t="s">
        <v>26</v>
      </c>
      <c r="F81" s="263" t="str">
        <f>IFERROR(IF(COUNTIF(Consolidado!$E$3:$E$358,'Range de Logins'!$D81)&gt;0,"Em uso","Livre"),"-")</f>
        <v>Livre</v>
      </c>
      <c r="G81" s="211" t="s">
        <v>1265</v>
      </c>
      <c r="H81" s="211" t="str">
        <f>IFERROR(VLOOKUP(D81,Consolidado!$E$3:$K$311,7,0),"")</f>
        <v/>
      </c>
      <c r="I81" s="257"/>
    </row>
    <row r="82" spans="4:10">
      <c r="D82" s="267">
        <v>12047</v>
      </c>
      <c r="E82" s="211" t="s">
        <v>26</v>
      </c>
      <c r="F82" s="263" t="str">
        <f>IFERROR(IF(COUNTIF(Consolidado!$E$3:$E$358,'Range de Logins'!$D82)&gt;0,"Em uso","Livre"),"-")</f>
        <v>Livre</v>
      </c>
      <c r="G82" s="211" t="s">
        <v>1265</v>
      </c>
      <c r="H82" s="211" t="str">
        <f>IFERROR(VLOOKUP(D82,Consolidado!$E$3:$K$311,7,0),"")</f>
        <v/>
      </c>
      <c r="I82" s="257"/>
    </row>
    <row r="83" spans="4:10">
      <c r="D83" s="267">
        <v>12048</v>
      </c>
      <c r="E83" s="211" t="s">
        <v>26</v>
      </c>
      <c r="F83" s="263" t="str">
        <f>IFERROR(IF(COUNTIF(Consolidado!$E$3:$E$358,'Range de Logins'!$D83)&gt;0,"Em uso","Livre"),"-")</f>
        <v>Em uso</v>
      </c>
      <c r="G83" s="211" t="s">
        <v>1265</v>
      </c>
      <c r="H83" s="211" t="str">
        <f>IFERROR(VLOOKUP(D83,Consolidado!$E$3:$K$311,7,0),"")</f>
        <v>Qualidade</v>
      </c>
      <c r="I83" s="257"/>
    </row>
    <row r="84" spans="4:10">
      <c r="D84" s="267">
        <v>12049</v>
      </c>
      <c r="E84" s="211" t="s">
        <v>26</v>
      </c>
      <c r="F84" s="263" t="str">
        <f>IFERROR(IF(COUNTIF(Consolidado!$E$3:$E$358,'Range de Logins'!$D84)&gt;0,"Em uso","Livre"),"-")</f>
        <v>Livre</v>
      </c>
      <c r="G84" s="211" t="s">
        <v>1265</v>
      </c>
      <c r="H84" s="211" t="str">
        <f>IFERROR(VLOOKUP(D84,Consolidado!$E$3:$K$311,7,0),"")</f>
        <v/>
      </c>
      <c r="I84" s="257"/>
    </row>
    <row r="85" spans="4:10">
      <c r="D85" s="267">
        <v>12050</v>
      </c>
      <c r="E85" s="211" t="s">
        <v>26</v>
      </c>
      <c r="F85" s="263" t="str">
        <f>IFERROR(IF(COUNTIF(Consolidado!$E$3:$E$358,'Range de Logins'!$D85)&gt;0,"Em uso","Livre"),"-")</f>
        <v>Livre</v>
      </c>
      <c r="G85" s="211" t="s">
        <v>1265</v>
      </c>
      <c r="H85" s="211" t="str">
        <f>IFERROR(VLOOKUP(D85,Consolidado!$E$3:$K$311,7,0),"")</f>
        <v/>
      </c>
      <c r="I85" s="257"/>
    </row>
    <row r="86" spans="4:10">
      <c r="D86" s="267">
        <v>12051</v>
      </c>
      <c r="E86" s="211" t="s">
        <v>26</v>
      </c>
      <c r="F86" s="263" t="str">
        <f>IFERROR(IF(COUNTIF(Consolidado!$E$3:$E$358,'Range de Logins'!$D86)&gt;0,"Em uso","Livre"),"-")</f>
        <v>Livre</v>
      </c>
      <c r="G86" s="211" t="s">
        <v>1265</v>
      </c>
      <c r="H86" s="211" t="str">
        <f>IFERROR(VLOOKUP(D86,Consolidado!$E$3:$K$311,7,0),"")</f>
        <v/>
      </c>
      <c r="I86" s="257"/>
    </row>
    <row r="87" spans="4:10">
      <c r="D87" s="267">
        <v>12052</v>
      </c>
      <c r="E87" s="211" t="s">
        <v>26</v>
      </c>
      <c r="F87" s="263" t="str">
        <f>IFERROR(IF(COUNTIF(Consolidado!$E$3:$E$358,'Range de Logins'!$D87)&gt;0,"Em uso","Livre"),"-")</f>
        <v>Livre</v>
      </c>
      <c r="G87" s="211" t="s">
        <v>1265</v>
      </c>
      <c r="H87" s="211" t="str">
        <f>IFERROR(VLOOKUP(D87,Consolidado!$E$3:$K$311,7,0),"")</f>
        <v/>
      </c>
      <c r="I87" s="257"/>
    </row>
    <row r="88" spans="4:10">
      <c r="D88" s="267">
        <v>12053</v>
      </c>
      <c r="E88" s="211" t="s">
        <v>26</v>
      </c>
      <c r="F88" s="263" t="str">
        <f>IFERROR(IF(COUNTIF(Consolidado!$E$3:$E$358,'Range de Logins'!$D88)&gt;0,"Em uso","Livre"),"-")</f>
        <v>Livre</v>
      </c>
      <c r="G88" s="211" t="s">
        <v>1265</v>
      </c>
      <c r="H88" s="211" t="str">
        <f>IFERROR(VLOOKUP(D88,Consolidado!$E$3:$K$311,7,0),"")</f>
        <v/>
      </c>
      <c r="I88" s="257"/>
    </row>
    <row r="89" spans="4:10">
      <c r="D89" s="267">
        <v>12054</v>
      </c>
      <c r="E89" s="211" t="s">
        <v>26</v>
      </c>
      <c r="F89" s="263" t="str">
        <f>IFERROR(IF(COUNTIF(Consolidado!$E$3:$E$358,'Range de Logins'!$D89)&gt;0,"Em uso","Livre"),"-")</f>
        <v>Livre</v>
      </c>
      <c r="G89" s="211" t="s">
        <v>1265</v>
      </c>
      <c r="H89" s="211" t="str">
        <f>IFERROR(VLOOKUP(D89,Consolidado!$E$3:$K$311,7,0),"")</f>
        <v/>
      </c>
      <c r="I89" s="257"/>
    </row>
    <row r="90" spans="4:10">
      <c r="D90" s="267">
        <v>12056</v>
      </c>
      <c r="E90" s="211" t="s">
        <v>26</v>
      </c>
      <c r="F90" s="263" t="str">
        <f>IFERROR(IF(COUNTIF(Consolidado!$E$3:$E$358,'Range de Logins'!$D90)&gt;0,"Em uso","Livre"),"-")</f>
        <v>Livre</v>
      </c>
      <c r="G90" s="211" t="s">
        <v>1265</v>
      </c>
      <c r="H90" s="211" t="str">
        <f>IFERROR(VLOOKUP(D90,Consolidado!$E$3:$K$311,7,0),"")</f>
        <v/>
      </c>
      <c r="I90" s="257"/>
    </row>
    <row r="91" spans="4:10">
      <c r="D91" s="267">
        <v>12075</v>
      </c>
      <c r="E91" s="211" t="s">
        <v>26</v>
      </c>
      <c r="F91" s="263" t="str">
        <f>IFERROR(IF(COUNTIF(Consolidado!$E$3:$E$358,'Range de Logins'!$D91)&gt;0,"Em uso","Livre"),"-")</f>
        <v>Livre</v>
      </c>
      <c r="G91" s="211" t="s">
        <v>1265</v>
      </c>
      <c r="H91" s="211" t="str">
        <f>IFERROR(VLOOKUP(D91,Consolidado!$E$3:$K$311,7,0),"")</f>
        <v/>
      </c>
      <c r="I91" s="258" t="s">
        <v>2752</v>
      </c>
      <c r="J91" s="236"/>
    </row>
    <row r="92" spans="4:10">
      <c r="D92" s="267">
        <v>12057</v>
      </c>
      <c r="E92" s="211" t="s">
        <v>26</v>
      </c>
      <c r="F92" s="263" t="str">
        <f>IFERROR(IF(COUNTIF(Consolidado!$E$3:$E$358,'Range de Logins'!$D92)&gt;0,"Em uso","Livre"),"-")</f>
        <v>Livre</v>
      </c>
      <c r="G92" s="211" t="s">
        <v>1265</v>
      </c>
      <c r="H92" s="211" t="str">
        <f>IFERROR(VLOOKUP(D92,Consolidado!$E$3:$K$311,7,0),"")</f>
        <v/>
      </c>
      <c r="I92" s="257"/>
    </row>
    <row r="93" spans="4:10">
      <c r="D93" s="267">
        <v>12059</v>
      </c>
      <c r="E93" s="211" t="s">
        <v>26</v>
      </c>
      <c r="F93" s="263" t="str">
        <f>IFERROR(IF(COUNTIF(Consolidado!$E$3:$E$358,'Range de Logins'!$D93)&gt;0,"Em uso","Livre"),"-")</f>
        <v>Livre</v>
      </c>
      <c r="G93" s="211" t="s">
        <v>1265</v>
      </c>
      <c r="H93" s="211" t="str">
        <f>IFERROR(VLOOKUP(D93,Consolidado!$E$3:$K$311,7,0),"")</f>
        <v/>
      </c>
      <c r="I93" s="257"/>
    </row>
    <row r="94" spans="4:10">
      <c r="D94" s="267">
        <v>12060</v>
      </c>
      <c r="E94" s="211" t="s">
        <v>26</v>
      </c>
      <c r="F94" s="263" t="str">
        <f>IFERROR(IF(COUNTIF(Consolidado!$E$3:$E$358,'Range de Logins'!$D94)&gt;0,"Em uso","Livre"),"-")</f>
        <v>Livre</v>
      </c>
      <c r="G94" s="211" t="s">
        <v>1265</v>
      </c>
      <c r="H94" s="211" t="str">
        <f>IFERROR(VLOOKUP(D94,Consolidado!$E$3:$K$311,7,0),"")</f>
        <v/>
      </c>
      <c r="I94" s="257"/>
    </row>
    <row r="95" spans="4:10">
      <c r="D95" s="267">
        <v>12061</v>
      </c>
      <c r="E95" s="211" t="s">
        <v>26</v>
      </c>
      <c r="F95" s="263" t="str">
        <f>IFERROR(IF(COUNTIF(Consolidado!$E$3:$E$358,'Range de Logins'!$D95)&gt;0,"Em uso","Livre"),"-")</f>
        <v>Livre</v>
      </c>
      <c r="G95" s="211" t="s">
        <v>1265</v>
      </c>
      <c r="H95" s="211" t="str">
        <f>IFERROR(VLOOKUP(D95,Consolidado!$E$3:$K$311,7,0),"")</f>
        <v/>
      </c>
      <c r="I95" s="257"/>
    </row>
    <row r="96" spans="4:10">
      <c r="D96" s="267">
        <v>12062</v>
      </c>
      <c r="E96" s="211" t="s">
        <v>26</v>
      </c>
      <c r="F96" s="263" t="str">
        <f>IFERROR(IF(COUNTIF(Consolidado!$E$3:$E$358,'Range de Logins'!$D96)&gt;0,"Em uso","Livre"),"-")</f>
        <v>Livre</v>
      </c>
      <c r="G96" s="211" t="s">
        <v>1265</v>
      </c>
      <c r="H96" s="211" t="str">
        <f>IFERROR(VLOOKUP(D96,Consolidado!$E$3:$K$311,7,0),"")</f>
        <v/>
      </c>
      <c r="I96" s="257"/>
    </row>
    <row r="97" spans="4:9">
      <c r="D97" s="267">
        <v>12063</v>
      </c>
      <c r="E97" s="211" t="s">
        <v>26</v>
      </c>
      <c r="F97" s="263" t="str">
        <f>IFERROR(IF(COUNTIF(Consolidado!$E$3:$E$358,'Range de Logins'!$D97)&gt;0,"Em uso","Livre"),"-")</f>
        <v>Livre</v>
      </c>
      <c r="G97" s="211" t="s">
        <v>1265</v>
      </c>
      <c r="H97" s="211" t="str">
        <f>IFERROR(VLOOKUP(D97,Consolidado!$E$3:$K$311,7,0),"")</f>
        <v/>
      </c>
      <c r="I97" s="257"/>
    </row>
    <row r="98" spans="4:9">
      <c r="D98" s="267">
        <v>12064</v>
      </c>
      <c r="E98" s="211" t="s">
        <v>26</v>
      </c>
      <c r="F98" s="263" t="str">
        <f>IFERROR(IF(COUNTIF(Consolidado!$E$3:$E$358,'Range de Logins'!$D98)&gt;0,"Em uso","Livre"),"-")</f>
        <v>Livre</v>
      </c>
      <c r="G98" s="211" t="s">
        <v>1265</v>
      </c>
      <c r="H98" s="211" t="str">
        <f>IFERROR(VLOOKUP(D98,Consolidado!$E$3:$K$311,7,0),"")</f>
        <v/>
      </c>
      <c r="I98" s="257"/>
    </row>
    <row r="99" spans="4:9">
      <c r="D99" s="267">
        <v>12065</v>
      </c>
      <c r="E99" s="211" t="s">
        <v>26</v>
      </c>
      <c r="F99" s="263" t="str">
        <f>IFERROR(IF(COUNTIF(Consolidado!$E$3:$E$358,'Range de Logins'!$D99)&gt;0,"Em uso","Livre"),"-")</f>
        <v>Livre</v>
      </c>
      <c r="G99" s="211" t="s">
        <v>1265</v>
      </c>
      <c r="H99" s="211" t="str">
        <f>IFERROR(VLOOKUP(D99,Consolidado!$E$3:$K$311,7,0),"")</f>
        <v/>
      </c>
      <c r="I99" s="257"/>
    </row>
    <row r="100" spans="4:9">
      <c r="D100" s="267">
        <v>12066</v>
      </c>
      <c r="E100" s="211" t="s">
        <v>26</v>
      </c>
      <c r="F100" s="263" t="str">
        <f>IFERROR(IF(COUNTIF(Consolidado!$E$3:$E$358,'Range de Logins'!$D100)&gt;0,"Em uso","Livre"),"-")</f>
        <v>Livre</v>
      </c>
      <c r="G100" s="211" t="s">
        <v>1265</v>
      </c>
      <c r="H100" s="211" t="str">
        <f>IFERROR(VLOOKUP(D100,Consolidado!$E$3:$K$311,7,0),"")</f>
        <v/>
      </c>
      <c r="I100" s="257"/>
    </row>
    <row r="101" spans="4:9">
      <c r="D101" s="267">
        <v>12068</v>
      </c>
      <c r="E101" s="211" t="s">
        <v>26</v>
      </c>
      <c r="F101" s="263" t="str">
        <f>IFERROR(IF(COUNTIF(Consolidado!$E$3:$E$358,'Range de Logins'!$D101)&gt;0,"Em uso","Livre"),"-")</f>
        <v>Livre</v>
      </c>
      <c r="G101" s="211" t="s">
        <v>1265</v>
      </c>
      <c r="H101" s="211" t="str">
        <f>IFERROR(VLOOKUP(D101,Consolidado!$E$3:$K$311,7,0),"")</f>
        <v/>
      </c>
      <c r="I101" s="257"/>
    </row>
    <row r="102" spans="4:9">
      <c r="D102" s="267">
        <v>12069</v>
      </c>
      <c r="E102" s="211" t="s">
        <v>26</v>
      </c>
      <c r="F102" s="263" t="str">
        <f>IFERROR(IF(COUNTIF(Consolidado!$E$3:$E$358,'Range de Logins'!$D102)&gt;0,"Em uso","Livre"),"-")</f>
        <v>Livre</v>
      </c>
      <c r="G102" s="211" t="s">
        <v>1265</v>
      </c>
      <c r="H102" s="211" t="str">
        <f>IFERROR(VLOOKUP(D102,Consolidado!$E$3:$K$311,7,0),"")</f>
        <v/>
      </c>
      <c r="I102" s="257"/>
    </row>
    <row r="103" spans="4:9">
      <c r="D103" s="267">
        <v>12070</v>
      </c>
      <c r="E103" s="211" t="s">
        <v>26</v>
      </c>
      <c r="F103" s="263" t="str">
        <f>IFERROR(IF(COUNTIF(Consolidado!$E$3:$E$358,'Range de Logins'!$D103)&gt;0,"Em uso","Livre"),"-")</f>
        <v>Livre</v>
      </c>
      <c r="G103" s="211" t="s">
        <v>1265</v>
      </c>
      <c r="H103" s="211" t="str">
        <f>IFERROR(VLOOKUP(D103,Consolidado!$E$3:$K$311,7,0),"")</f>
        <v/>
      </c>
      <c r="I103" s="257"/>
    </row>
    <row r="104" spans="4:9">
      <c r="D104" s="267">
        <v>12071</v>
      </c>
      <c r="E104" s="211" t="s">
        <v>26</v>
      </c>
      <c r="F104" s="263" t="str">
        <f>IFERROR(IF(COUNTIF(Consolidado!$E$3:$E$358,'Range de Logins'!$D104)&gt;0,"Em uso","Livre"),"-")</f>
        <v>Livre</v>
      </c>
      <c r="G104" s="211" t="s">
        <v>1265</v>
      </c>
      <c r="H104" s="211" t="str">
        <f>IFERROR(VLOOKUP(D104,Consolidado!$E$3:$K$311,7,0),"")</f>
        <v/>
      </c>
      <c r="I104" s="257"/>
    </row>
    <row r="105" spans="4:9">
      <c r="D105" s="267">
        <v>12073</v>
      </c>
      <c r="E105" s="211">
        <v>857500</v>
      </c>
      <c r="F105" s="263" t="str">
        <f>IFERROR(IF(COUNTIF(Consolidado!$E$3:$E$358,'Range de Logins'!$D105)&gt;0,"Em uso","Livre"),"-")</f>
        <v>Livre</v>
      </c>
      <c r="G105" s="211" t="s">
        <v>1065</v>
      </c>
      <c r="H105" s="211" t="str">
        <f>IFERROR(VLOOKUP(D105,Consolidado!$E$3:$K$311,7,0),"")</f>
        <v/>
      </c>
      <c r="I105" s="257"/>
    </row>
    <row r="106" spans="4:9">
      <c r="D106" s="267">
        <v>12074</v>
      </c>
      <c r="E106" s="211" t="s">
        <v>26</v>
      </c>
      <c r="F106" s="263" t="str">
        <f>IFERROR(IF(COUNTIF(Consolidado!$E$3:$E$358,'Range de Logins'!$D106)&gt;0,"Em uso","Livre"),"-")</f>
        <v>Livre</v>
      </c>
      <c r="G106" s="211" t="s">
        <v>1265</v>
      </c>
      <c r="H106" s="211" t="str">
        <f>IFERROR(VLOOKUP(D106,Consolidado!$E$3:$K$311,7,0),"")</f>
        <v/>
      </c>
      <c r="I106" s="257"/>
    </row>
    <row r="107" spans="4:9">
      <c r="D107" s="267">
        <v>12076</v>
      </c>
      <c r="E107" s="211" t="s">
        <v>26</v>
      </c>
      <c r="F107" s="263" t="str">
        <f>IFERROR(IF(COUNTIF(Consolidado!$E$3:$E$358,'Range de Logins'!$D107)&gt;0,"Em uso","Livre"),"-")</f>
        <v>Livre</v>
      </c>
      <c r="G107" s="211" t="s">
        <v>1265</v>
      </c>
      <c r="H107" s="211" t="str">
        <f>IFERROR(VLOOKUP(D107,Consolidado!$E$3:$K$311,7,0),"")</f>
        <v/>
      </c>
      <c r="I107" s="257"/>
    </row>
    <row r="108" spans="4:9">
      <c r="D108" s="267">
        <v>12077</v>
      </c>
      <c r="E108" s="211">
        <v>159391</v>
      </c>
      <c r="F108" s="263" t="str">
        <f>IFERROR(IF(COUNTIF(Consolidado!$E$3:$E$358,'Range de Logins'!$D108)&gt;0,"Em uso","Livre"),"-")</f>
        <v>Livre</v>
      </c>
      <c r="G108" s="211" t="s">
        <v>1065</v>
      </c>
      <c r="H108" s="211" t="str">
        <f>IFERROR(VLOOKUP(D108,Consolidado!$E$3:$K$311,7,0),"")</f>
        <v/>
      </c>
      <c r="I108" s="257"/>
    </row>
    <row r="109" spans="4:9">
      <c r="D109" s="267">
        <v>12099</v>
      </c>
      <c r="E109" s="211" t="s">
        <v>26</v>
      </c>
      <c r="F109" s="263" t="str">
        <f>IFERROR(IF(COUNTIF(Consolidado!$E$3:$E$358,'Range de Logins'!$D109)&gt;0,"Em uso","Livre"),"-")</f>
        <v>Livre</v>
      </c>
      <c r="G109" s="211" t="s">
        <v>1265</v>
      </c>
      <c r="H109" s="211" t="str">
        <f>IFERROR(VLOOKUP(D109,Consolidado!$E$3:$K$311,7,0),"")</f>
        <v/>
      </c>
      <c r="I109" s="257"/>
    </row>
    <row r="110" spans="4:9">
      <c r="D110" s="267">
        <v>12100</v>
      </c>
      <c r="E110" s="211" t="s">
        <v>26</v>
      </c>
      <c r="F110" s="263" t="str">
        <f>IFERROR(IF(COUNTIF(Consolidado!$E$3:$E$358,'Range de Logins'!$D110)&gt;0,"Em uso","Livre"),"-")</f>
        <v>Livre</v>
      </c>
      <c r="G110" s="211" t="s">
        <v>1265</v>
      </c>
      <c r="H110" s="211" t="str">
        <f>IFERROR(VLOOKUP(D110,Consolidado!$E$3:$K$311,7,0),"")</f>
        <v/>
      </c>
      <c r="I110" s="257"/>
    </row>
    <row r="111" spans="4:9">
      <c r="D111" s="267">
        <v>12079</v>
      </c>
      <c r="E111" s="211" t="s">
        <v>26</v>
      </c>
      <c r="F111" s="263" t="str">
        <f>IFERROR(IF(COUNTIF(Consolidado!$E$3:$E$358,'Range de Logins'!$D111)&gt;0,"Em uso","Livre"),"-")</f>
        <v>Livre</v>
      </c>
      <c r="G111" s="211" t="s">
        <v>1265</v>
      </c>
      <c r="H111" s="211" t="str">
        <f>IFERROR(VLOOKUP(D111,Consolidado!$E$3:$K$311,7,0),"")</f>
        <v/>
      </c>
      <c r="I111" s="257"/>
    </row>
    <row r="112" spans="4:9">
      <c r="D112" s="267">
        <v>12080</v>
      </c>
      <c r="E112" s="211" t="s">
        <v>26</v>
      </c>
      <c r="F112" s="263" t="str">
        <f>IFERROR(IF(COUNTIF(Consolidado!$E$3:$E$358,'Range de Logins'!$D112)&gt;0,"Em uso","Livre"),"-")</f>
        <v>Livre</v>
      </c>
      <c r="G112" s="211" t="s">
        <v>1065</v>
      </c>
      <c r="H112" s="211" t="str">
        <f>IFERROR(VLOOKUP(D112,Consolidado!$E$3:$K$311,7,0),"")</f>
        <v/>
      </c>
      <c r="I112" s="257"/>
    </row>
    <row r="113" spans="4:9">
      <c r="D113" s="267">
        <v>12081</v>
      </c>
      <c r="E113" s="211" t="s">
        <v>26</v>
      </c>
      <c r="F113" s="263" t="str">
        <f>IFERROR(IF(COUNTIF(Consolidado!$E$3:$E$358,'Range de Logins'!$D113)&gt;0,"Em uso","Livre"),"-")</f>
        <v>Livre</v>
      </c>
      <c r="G113" s="211" t="s">
        <v>1265</v>
      </c>
      <c r="H113" s="211" t="str">
        <f>IFERROR(VLOOKUP(D113,Consolidado!$E$3:$K$311,7,0),"")</f>
        <v/>
      </c>
      <c r="I113" s="257"/>
    </row>
    <row r="114" spans="4:9">
      <c r="D114" s="267">
        <v>12082</v>
      </c>
      <c r="E114" s="211" t="s">
        <v>26</v>
      </c>
      <c r="F114" s="263" t="str">
        <f>IFERROR(IF(COUNTIF(Consolidado!$E$3:$E$358,'Range de Logins'!$D114)&gt;0,"Em uso","Livre"),"-")</f>
        <v>Livre</v>
      </c>
      <c r="G114" s="211" t="s">
        <v>1265</v>
      </c>
      <c r="H114" s="211" t="str">
        <f>IFERROR(VLOOKUP(D114,Consolidado!$E$3:$K$311,7,0),"")</f>
        <v/>
      </c>
      <c r="I114" s="257"/>
    </row>
    <row r="115" spans="4:9">
      <c r="D115" s="267">
        <v>12083</v>
      </c>
      <c r="E115" s="211" t="s">
        <v>26</v>
      </c>
      <c r="F115" s="263" t="str">
        <f>IFERROR(IF(COUNTIF(Consolidado!$E$3:$E$358,'Range de Logins'!$D115)&gt;0,"Em uso","Livre"),"-")</f>
        <v>Livre</v>
      </c>
      <c r="G115" s="211" t="s">
        <v>1265</v>
      </c>
      <c r="H115" s="211" t="str">
        <f>IFERROR(VLOOKUP(D115,Consolidado!$E$3:$K$311,7,0),"")</f>
        <v/>
      </c>
      <c r="I115" s="257"/>
    </row>
    <row r="116" spans="4:9">
      <c r="D116" s="267">
        <v>12084</v>
      </c>
      <c r="E116" s="211" t="s">
        <v>26</v>
      </c>
      <c r="F116" s="263" t="str">
        <f>IFERROR(IF(COUNTIF(Consolidado!$E$3:$E$358,'Range de Logins'!$D116)&gt;0,"Em uso","Livre"),"-")</f>
        <v>Livre</v>
      </c>
      <c r="G116" s="211" t="s">
        <v>1265</v>
      </c>
      <c r="H116" s="211" t="str">
        <f>IFERROR(VLOOKUP(D116,Consolidado!$E$3:$K$311,7,0),"")</f>
        <v/>
      </c>
      <c r="I116" s="257"/>
    </row>
    <row r="117" spans="4:9">
      <c r="D117" s="267">
        <v>12085</v>
      </c>
      <c r="E117" s="211" t="s">
        <v>26</v>
      </c>
      <c r="F117" s="263" t="str">
        <f>IFERROR(IF(COUNTIF(Consolidado!$E$3:$E$358,'Range de Logins'!$D117)&gt;0,"Em uso","Livre"),"-")</f>
        <v>Livre</v>
      </c>
      <c r="G117" s="211" t="s">
        <v>1265</v>
      </c>
      <c r="H117" s="211" t="str">
        <f>IFERROR(VLOOKUP(D117,Consolidado!$E$3:$K$311,7,0),"")</f>
        <v/>
      </c>
      <c r="I117" s="257"/>
    </row>
    <row r="118" spans="4:9">
      <c r="D118" s="267">
        <v>12087</v>
      </c>
      <c r="E118" s="211" t="s">
        <v>26</v>
      </c>
      <c r="F118" s="263" t="str">
        <f>IFERROR(IF(COUNTIF(Consolidado!$E$3:$E$358,'Range de Logins'!$D118)&gt;0,"Em uso","Livre"),"-")</f>
        <v>Livre</v>
      </c>
      <c r="G118" s="211" t="s">
        <v>1265</v>
      </c>
      <c r="H118" s="211" t="str">
        <f>IFERROR(VLOOKUP(D118,Consolidado!$E$3:$K$311,7,0),"")</f>
        <v/>
      </c>
      <c r="I118" s="257"/>
    </row>
    <row r="119" spans="4:9">
      <c r="D119" s="267">
        <v>12089</v>
      </c>
      <c r="E119" s="211" t="s">
        <v>26</v>
      </c>
      <c r="F119" s="263" t="str">
        <f>IFERROR(IF(COUNTIF(Consolidado!$E$3:$E$358,'Range de Logins'!$D119)&gt;0,"Em uso","Livre"),"-")</f>
        <v>Livre</v>
      </c>
      <c r="G119" s="211" t="s">
        <v>1265</v>
      </c>
      <c r="H119" s="211" t="str">
        <f>IFERROR(VLOOKUP(D119,Consolidado!$E$3:$K$311,7,0),"")</f>
        <v/>
      </c>
      <c r="I119" s="257"/>
    </row>
    <row r="120" spans="4:9">
      <c r="D120" s="267">
        <v>12090</v>
      </c>
      <c r="E120" s="211" t="s">
        <v>26</v>
      </c>
      <c r="F120" s="263" t="str">
        <f>IFERROR(IF(COUNTIF(Consolidado!$E$3:$E$358,'Range de Logins'!$D120)&gt;0,"Em uso","Livre"),"-")</f>
        <v>Livre</v>
      </c>
      <c r="G120" s="211" t="s">
        <v>1265</v>
      </c>
      <c r="H120" s="211" t="str">
        <f>IFERROR(VLOOKUP(D120,Consolidado!$E$3:$K$311,7,0),"")</f>
        <v/>
      </c>
      <c r="I120" s="257"/>
    </row>
    <row r="121" spans="4:9">
      <c r="D121" s="267">
        <v>12091</v>
      </c>
      <c r="E121" s="211" t="s">
        <v>26</v>
      </c>
      <c r="F121" s="263" t="str">
        <f>IFERROR(IF(COUNTIF(Consolidado!$E$3:$E$358,'Range de Logins'!$D121)&gt;0,"Em uso","Livre"),"-")</f>
        <v>Livre</v>
      </c>
      <c r="G121" s="211" t="s">
        <v>1265</v>
      </c>
      <c r="H121" s="211" t="str">
        <f>IFERROR(VLOOKUP(D121,Consolidado!$E$3:$K$311,7,0),"")</f>
        <v/>
      </c>
      <c r="I121" s="257"/>
    </row>
    <row r="122" spans="4:9">
      <c r="D122" s="267">
        <v>12092</v>
      </c>
      <c r="E122" s="211" t="s">
        <v>26</v>
      </c>
      <c r="F122" s="263" t="str">
        <f>IFERROR(IF(COUNTIF(Consolidado!$E$3:$E$358,'Range de Logins'!$D122)&gt;0,"Em uso","Livre"),"-")</f>
        <v>Livre</v>
      </c>
      <c r="G122" s="211" t="s">
        <v>1265</v>
      </c>
      <c r="H122" s="211" t="str">
        <f>IFERROR(VLOOKUP(D122,Consolidado!$E$3:$K$311,7,0),"")</f>
        <v/>
      </c>
      <c r="I122" s="257"/>
    </row>
    <row r="123" spans="4:9">
      <c r="D123" s="267">
        <v>12093</v>
      </c>
      <c r="E123" s="211" t="s">
        <v>26</v>
      </c>
      <c r="F123" s="263" t="str">
        <f>IFERROR(IF(COUNTIF(Consolidado!$E$3:$E$358,'Range de Logins'!$D123)&gt;0,"Em uso","Livre"),"-")</f>
        <v>Livre</v>
      </c>
      <c r="G123" s="211" t="s">
        <v>1265</v>
      </c>
      <c r="H123" s="211" t="str">
        <f>IFERROR(VLOOKUP(D123,Consolidado!$E$3:$K$311,7,0),"")</f>
        <v/>
      </c>
      <c r="I123" s="257"/>
    </row>
    <row r="124" spans="4:9">
      <c r="D124" s="267">
        <v>12095</v>
      </c>
      <c r="E124" s="211" t="s">
        <v>26</v>
      </c>
      <c r="F124" s="263" t="str">
        <f>IFERROR(IF(COUNTIF(Consolidado!$E$3:$E$358,'Range de Logins'!$D124)&gt;0,"Em uso","Livre"),"-")</f>
        <v>Livre</v>
      </c>
      <c r="G124" s="211" t="s">
        <v>1265</v>
      </c>
      <c r="H124" s="211" t="str">
        <f>IFERROR(VLOOKUP(D124,Consolidado!$E$3:$K$311,7,0),"")</f>
        <v/>
      </c>
      <c r="I124" s="257"/>
    </row>
    <row r="125" spans="4:9">
      <c r="D125" s="267">
        <v>12096</v>
      </c>
      <c r="E125" s="211" t="s">
        <v>26</v>
      </c>
      <c r="F125" s="263" t="str">
        <f>IFERROR(IF(COUNTIF(Consolidado!$E$3:$E$358,'Range de Logins'!$D125)&gt;0,"Em uso","Livre"),"-")</f>
        <v>Livre</v>
      </c>
      <c r="G125" s="211" t="s">
        <v>1265</v>
      </c>
      <c r="H125" s="211" t="str">
        <f>IFERROR(VLOOKUP(D125,Consolidado!$E$3:$K$311,7,0),"")</f>
        <v/>
      </c>
      <c r="I125" s="257"/>
    </row>
    <row r="126" spans="4:9">
      <c r="D126" s="267">
        <v>12097</v>
      </c>
      <c r="E126" s="211" t="s">
        <v>26</v>
      </c>
      <c r="F126" s="263" t="str">
        <f>IFERROR(IF(COUNTIF(Consolidado!$E$3:$E$358,'Range de Logins'!$D126)&gt;0,"Em uso","Livre"),"-")</f>
        <v>Livre</v>
      </c>
      <c r="G126" s="211" t="s">
        <v>1265</v>
      </c>
      <c r="H126" s="211" t="str">
        <f>IFERROR(VLOOKUP(D126,Consolidado!$E$3:$K$311,7,0),"")</f>
        <v/>
      </c>
      <c r="I126" s="257"/>
    </row>
    <row r="127" spans="4:9">
      <c r="D127" s="267">
        <v>12098</v>
      </c>
      <c r="E127" s="211" t="s">
        <v>26</v>
      </c>
      <c r="F127" s="263" t="str">
        <f>IFERROR(IF(COUNTIF(Consolidado!$E$3:$E$358,'Range de Logins'!$D127)&gt;0,"Em uso","Livre"),"-")</f>
        <v>Livre</v>
      </c>
      <c r="G127" s="211" t="s">
        <v>1265</v>
      </c>
      <c r="H127" s="211" t="str">
        <f>IFERROR(VLOOKUP(D127,Consolidado!$E$3:$K$311,7,0),"")</f>
        <v/>
      </c>
      <c r="I127" s="257"/>
    </row>
    <row r="128" spans="4:9">
      <c r="D128" s="267">
        <v>12101</v>
      </c>
      <c r="E128" s="211" t="s">
        <v>26</v>
      </c>
      <c r="F128" s="263" t="str">
        <f>IFERROR(IF(COUNTIF(Consolidado!$E$3:$E$358,'Range de Logins'!$D128)&gt;0,"Em uso","Livre"),"-")</f>
        <v>Livre</v>
      </c>
      <c r="G128" s="211" t="s">
        <v>1265</v>
      </c>
      <c r="H128" s="211" t="str">
        <f>IFERROR(VLOOKUP(D128,Consolidado!$E$3:$K$311,7,0),"")</f>
        <v/>
      </c>
      <c r="I128" s="257"/>
    </row>
    <row r="129" spans="4:9">
      <c r="D129" s="267">
        <v>12102</v>
      </c>
      <c r="E129" s="211">
        <v>876679</v>
      </c>
      <c r="F129" s="263" t="str">
        <f>IFERROR(IF(COUNTIF(Consolidado!$E$3:$E$358,'Range de Logins'!$D129)&gt;0,"Em uso","Livre"),"-")</f>
        <v>Livre</v>
      </c>
      <c r="G129" s="211" t="s">
        <v>1065</v>
      </c>
      <c r="H129" s="211" t="str">
        <f>IFERROR(VLOOKUP(D129,Consolidado!$E$3:$K$311,7,0),"")</f>
        <v/>
      </c>
      <c r="I129" s="257"/>
    </row>
    <row r="130" spans="4:9">
      <c r="D130" s="267">
        <v>12104</v>
      </c>
      <c r="E130" s="211" t="s">
        <v>26</v>
      </c>
      <c r="F130" s="263" t="str">
        <f>IFERROR(IF(COUNTIF(Consolidado!$E$3:$E$358,'Range de Logins'!$D130)&gt;0,"Em uso","Livre"),"-")</f>
        <v>Livre</v>
      </c>
      <c r="G130" s="211" t="s">
        <v>1265</v>
      </c>
      <c r="H130" s="211" t="str">
        <f>IFERROR(VLOOKUP(D130,Consolidado!$E$3:$K$311,7,0),"")</f>
        <v/>
      </c>
      <c r="I130" s="257"/>
    </row>
    <row r="131" spans="4:9">
      <c r="D131" s="267">
        <v>12105</v>
      </c>
      <c r="E131" s="211" t="s">
        <v>26</v>
      </c>
      <c r="F131" s="263" t="str">
        <f>IFERROR(IF(COUNTIF(Consolidado!$E$3:$E$358,'Range de Logins'!$D131)&gt;0,"Em uso","Livre"),"-")</f>
        <v>Livre</v>
      </c>
      <c r="G131" s="211" t="s">
        <v>1265</v>
      </c>
      <c r="H131" s="211" t="str">
        <f>IFERROR(VLOOKUP(D131,Consolidado!$E$3:$K$311,7,0),"")</f>
        <v/>
      </c>
      <c r="I131" s="257"/>
    </row>
    <row r="132" spans="4:9">
      <c r="D132" s="267">
        <v>12106</v>
      </c>
      <c r="E132" s="211" t="s">
        <v>26</v>
      </c>
      <c r="F132" s="263" t="str">
        <f>IFERROR(IF(COUNTIF(Consolidado!$E$3:$E$358,'Range de Logins'!$D132)&gt;0,"Em uso","Livre"),"-")</f>
        <v>Livre</v>
      </c>
      <c r="G132" s="211" t="s">
        <v>1265</v>
      </c>
      <c r="H132" s="211" t="str">
        <f>IFERROR(VLOOKUP(D132,Consolidado!$E$3:$K$311,7,0),"")</f>
        <v/>
      </c>
      <c r="I132" s="257"/>
    </row>
    <row r="133" spans="4:9">
      <c r="D133" s="267">
        <v>12109</v>
      </c>
      <c r="E133" s="211" t="s">
        <v>26</v>
      </c>
      <c r="F133" s="263" t="str">
        <f>IFERROR(IF(COUNTIF(Consolidado!$E$3:$E$358,'Range de Logins'!$D133)&gt;0,"Em uso","Livre"),"-")</f>
        <v>Livre</v>
      </c>
      <c r="G133" s="211" t="s">
        <v>1265</v>
      </c>
      <c r="H133" s="211" t="str">
        <f>IFERROR(VLOOKUP(D133,Consolidado!$E$3:$K$311,7,0),"")</f>
        <v/>
      </c>
      <c r="I133" s="257"/>
    </row>
    <row r="134" spans="4:9">
      <c r="D134" s="267">
        <v>12110</v>
      </c>
      <c r="E134" s="211" t="s">
        <v>26</v>
      </c>
      <c r="F134" s="263" t="str">
        <f>IFERROR(IF(COUNTIF(Consolidado!$E$3:$E$358,'Range de Logins'!$D134)&gt;0,"Em uso","Livre"),"-")</f>
        <v>Livre</v>
      </c>
      <c r="G134" s="211" t="s">
        <v>1265</v>
      </c>
      <c r="H134" s="211" t="str">
        <f>IFERROR(VLOOKUP(D134,Consolidado!$E$3:$K$311,7,0),"")</f>
        <v/>
      </c>
      <c r="I134" s="257"/>
    </row>
    <row r="135" spans="4:9">
      <c r="D135" s="267">
        <v>12111</v>
      </c>
      <c r="E135" s="211" t="s">
        <v>26</v>
      </c>
      <c r="F135" s="263" t="str">
        <f>IFERROR(IF(COUNTIF(Consolidado!$E$3:$E$358,'Range de Logins'!$D135)&gt;0,"Em uso","Livre"),"-")</f>
        <v>Livre</v>
      </c>
      <c r="G135" s="211" t="s">
        <v>1265</v>
      </c>
      <c r="H135" s="211" t="str">
        <f>IFERROR(VLOOKUP(D135,Consolidado!$E$3:$K$311,7,0),"")</f>
        <v/>
      </c>
      <c r="I135" s="257"/>
    </row>
    <row r="136" spans="4:9">
      <c r="D136" s="267">
        <v>12113</v>
      </c>
      <c r="E136" s="211" t="s">
        <v>26</v>
      </c>
      <c r="F136" s="263" t="str">
        <f>IFERROR(IF(COUNTIF(Consolidado!$E$3:$E$358,'Range de Logins'!$D136)&gt;0,"Em uso","Livre"),"-")</f>
        <v>Livre</v>
      </c>
      <c r="G136" s="211" t="s">
        <v>1265</v>
      </c>
      <c r="H136" s="211" t="str">
        <f>IFERROR(VLOOKUP(D136,Consolidado!$E$3:$K$311,7,0),"")</f>
        <v/>
      </c>
      <c r="I136" s="257"/>
    </row>
    <row r="137" spans="4:9">
      <c r="D137" s="267">
        <v>12115</v>
      </c>
      <c r="E137" s="211" t="s">
        <v>26</v>
      </c>
      <c r="F137" s="263" t="str">
        <f>IFERROR(IF(COUNTIF(Consolidado!$E$3:$E$358,'Range de Logins'!$D137)&gt;0,"Em uso","Livre"),"-")</f>
        <v>Livre</v>
      </c>
      <c r="G137" s="211" t="s">
        <v>1265</v>
      </c>
      <c r="H137" s="211" t="str">
        <f>IFERROR(VLOOKUP(D137,Consolidado!$E$3:$K$311,7,0),"")</f>
        <v/>
      </c>
      <c r="I137" s="257"/>
    </row>
    <row r="138" spans="4:9">
      <c r="D138" s="267">
        <v>12117</v>
      </c>
      <c r="E138" s="211" t="s">
        <v>26</v>
      </c>
      <c r="F138" s="263" t="str">
        <f>IFERROR(IF(COUNTIF(Consolidado!$E$3:$E$358,'Range de Logins'!$D138)&gt;0,"Em uso","Livre"),"-")</f>
        <v>Livre</v>
      </c>
      <c r="G138" s="211" t="s">
        <v>1265</v>
      </c>
      <c r="H138" s="211" t="str">
        <f>IFERROR(VLOOKUP(D138,Consolidado!$E$3:$K$311,7,0),"")</f>
        <v/>
      </c>
      <c r="I138" s="257"/>
    </row>
    <row r="139" spans="4:9">
      <c r="D139" s="267">
        <v>12119</v>
      </c>
      <c r="E139" s="211" t="s">
        <v>26</v>
      </c>
      <c r="F139" s="263" t="str">
        <f>IFERROR(IF(COUNTIF(Consolidado!$E$3:$E$358,'Range de Logins'!$D139)&gt;0,"Em uso","Livre"),"-")</f>
        <v>Livre</v>
      </c>
      <c r="G139" s="211" t="s">
        <v>1265</v>
      </c>
      <c r="H139" s="211" t="str">
        <f>IFERROR(VLOOKUP(D139,Consolidado!$E$3:$K$311,7,0),"")</f>
        <v/>
      </c>
      <c r="I139" s="257"/>
    </row>
    <row r="140" spans="4:9">
      <c r="D140" s="267">
        <v>12122</v>
      </c>
      <c r="E140" s="211" t="s">
        <v>26</v>
      </c>
      <c r="F140" s="263" t="str">
        <f>IFERROR(IF(COUNTIF(Consolidado!$E$3:$E$358,'Range de Logins'!$D140)&gt;0,"Em uso","Livre"),"-")</f>
        <v>Livre</v>
      </c>
      <c r="G140" s="211" t="s">
        <v>1265</v>
      </c>
      <c r="H140" s="211" t="str">
        <f>IFERROR(VLOOKUP(D140,Consolidado!$E$3:$K$311,7,0),"")</f>
        <v/>
      </c>
      <c r="I140" s="257"/>
    </row>
    <row r="141" spans="4:9">
      <c r="D141" s="267">
        <v>12123</v>
      </c>
      <c r="E141" s="211" t="s">
        <v>26</v>
      </c>
      <c r="F141" s="263" t="str">
        <f>IFERROR(IF(COUNTIF(Consolidado!$E$3:$E$358,'Range de Logins'!$D141)&gt;0,"Em uso","Livre"),"-")</f>
        <v>Livre</v>
      </c>
      <c r="G141" s="211" t="s">
        <v>1265</v>
      </c>
      <c r="H141" s="211" t="str">
        <f>IFERROR(VLOOKUP(D141,Consolidado!$E$3:$K$311,7,0),"")</f>
        <v/>
      </c>
      <c r="I141" s="257"/>
    </row>
    <row r="142" spans="4:9">
      <c r="D142" s="267">
        <v>12124</v>
      </c>
      <c r="E142" s="211" t="s">
        <v>26</v>
      </c>
      <c r="F142" s="263" t="str">
        <f>IFERROR(IF(COUNTIF(Consolidado!$E$3:$E$358,'Range de Logins'!$D142)&gt;0,"Em uso","Livre"),"-")</f>
        <v>Livre</v>
      </c>
      <c r="G142" s="211" t="s">
        <v>1265</v>
      </c>
      <c r="H142" s="211" t="str">
        <f>IFERROR(VLOOKUP(D142,Consolidado!$E$3:$K$311,7,0),"")</f>
        <v/>
      </c>
      <c r="I142" s="257"/>
    </row>
    <row r="143" spans="4:9">
      <c r="D143" s="267">
        <v>12125</v>
      </c>
      <c r="E143" s="211" t="s">
        <v>26</v>
      </c>
      <c r="F143" s="263" t="str">
        <f>IFERROR(IF(COUNTIF(Consolidado!$E$3:$E$358,'Range de Logins'!$D143)&gt;0,"Em uso","Livre"),"-")</f>
        <v>Livre</v>
      </c>
      <c r="G143" s="211" t="s">
        <v>1265</v>
      </c>
      <c r="H143" s="211" t="str">
        <f>IFERROR(VLOOKUP(D143,Consolidado!$E$3:$K$311,7,0),"")</f>
        <v/>
      </c>
      <c r="I143" s="257"/>
    </row>
    <row r="144" spans="4:9">
      <c r="D144" s="267">
        <v>12126</v>
      </c>
      <c r="E144" s="211" t="s">
        <v>26</v>
      </c>
      <c r="F144" s="263" t="str">
        <f>IFERROR(IF(COUNTIF(Consolidado!$E$3:$E$358,'Range de Logins'!$D144)&gt;0,"Em uso","Livre"),"-")</f>
        <v>Livre</v>
      </c>
      <c r="G144" s="211" t="s">
        <v>1265</v>
      </c>
      <c r="H144" s="211" t="str">
        <f>IFERROR(VLOOKUP(D144,Consolidado!$E$3:$K$311,7,0),"")</f>
        <v/>
      </c>
      <c r="I144" s="257"/>
    </row>
    <row r="145" spans="4:9">
      <c r="D145" s="267">
        <v>12127</v>
      </c>
      <c r="E145" s="211" t="s">
        <v>26</v>
      </c>
      <c r="F145" s="263" t="str">
        <f>IFERROR(IF(COUNTIF(Consolidado!$E$3:$E$358,'Range de Logins'!$D145)&gt;0,"Em uso","Livre"),"-")</f>
        <v>Livre</v>
      </c>
      <c r="G145" s="211" t="s">
        <v>1265</v>
      </c>
      <c r="H145" s="211" t="str">
        <f>IFERROR(VLOOKUP(D145,Consolidado!$E$3:$K$311,7,0),"")</f>
        <v/>
      </c>
      <c r="I145" s="257"/>
    </row>
    <row r="146" spans="4:9">
      <c r="D146" s="267">
        <v>12129</v>
      </c>
      <c r="E146" s="211" t="s">
        <v>26</v>
      </c>
      <c r="F146" s="263" t="str">
        <f>IFERROR(IF(COUNTIF(Consolidado!$E$3:$E$358,'Range de Logins'!$D146)&gt;0,"Em uso","Livre"),"-")</f>
        <v>Livre</v>
      </c>
      <c r="G146" s="211" t="s">
        <v>1265</v>
      </c>
      <c r="H146" s="211" t="str">
        <f>IFERROR(VLOOKUP(D146,Consolidado!$E$3:$K$311,7,0),"")</f>
        <v/>
      </c>
      <c r="I146" s="257"/>
    </row>
    <row r="147" spans="4:9">
      <c r="D147" s="267">
        <v>12130</v>
      </c>
      <c r="E147" s="211" t="s">
        <v>26</v>
      </c>
      <c r="F147" s="263" t="str">
        <f>IFERROR(IF(COUNTIF(Consolidado!$E$3:$E$358,'Range de Logins'!$D147)&gt;0,"Em uso","Livre"),"-")</f>
        <v>Livre</v>
      </c>
      <c r="G147" s="211" t="s">
        <v>1265</v>
      </c>
      <c r="H147" s="211" t="str">
        <f>IFERROR(VLOOKUP(D147,Consolidado!$E$3:$K$311,7,0),"")</f>
        <v/>
      </c>
      <c r="I147" s="257"/>
    </row>
    <row r="148" spans="4:9">
      <c r="D148" s="267">
        <v>12131</v>
      </c>
      <c r="E148" s="211" t="s">
        <v>26</v>
      </c>
      <c r="F148" s="263" t="str">
        <f>IFERROR(IF(COUNTIF(Consolidado!$E$3:$E$358,'Range de Logins'!$D148)&gt;0,"Em uso","Livre"),"-")</f>
        <v>Livre</v>
      </c>
      <c r="G148" s="211" t="s">
        <v>1265</v>
      </c>
      <c r="H148" s="211" t="str">
        <f>IFERROR(VLOOKUP(D148,Consolidado!$E$3:$K$311,7,0),"")</f>
        <v/>
      </c>
      <c r="I148" s="257"/>
    </row>
    <row r="149" spans="4:9">
      <c r="D149" s="267">
        <v>12132</v>
      </c>
      <c r="E149" s="211" t="s">
        <v>26</v>
      </c>
      <c r="F149" s="263" t="str">
        <f>IFERROR(IF(COUNTIF(Consolidado!$E$3:$E$358,'Range de Logins'!$D149)&gt;0,"Em uso","Livre"),"-")</f>
        <v>Livre</v>
      </c>
      <c r="G149" s="211" t="s">
        <v>1265</v>
      </c>
      <c r="H149" s="211" t="str">
        <f>IFERROR(VLOOKUP(D149,Consolidado!$E$3:$K$311,7,0),"")</f>
        <v/>
      </c>
      <c r="I149" s="257"/>
    </row>
    <row r="150" spans="4:9">
      <c r="D150" s="267">
        <v>12134</v>
      </c>
      <c r="E150" s="211" t="s">
        <v>26</v>
      </c>
      <c r="F150" s="263" t="str">
        <f>IFERROR(IF(COUNTIF(Consolidado!$E$3:$E$358,'Range de Logins'!$D150)&gt;0,"Em uso","Livre"),"-")</f>
        <v>Livre</v>
      </c>
      <c r="G150" s="211" t="s">
        <v>1265</v>
      </c>
      <c r="H150" s="211" t="str">
        <f>IFERROR(VLOOKUP(D150,Consolidado!$E$3:$K$311,7,0),"")</f>
        <v/>
      </c>
      <c r="I150" s="257" t="s">
        <v>2751</v>
      </c>
    </row>
    <row r="151" spans="4:9">
      <c r="D151" s="267">
        <v>12135</v>
      </c>
      <c r="E151" s="211" t="s">
        <v>26</v>
      </c>
      <c r="F151" s="263" t="str">
        <f>IFERROR(IF(COUNTIF(Consolidado!$E$3:$E$358,'Range de Logins'!$D151)&gt;0,"Em uso","Livre"),"-")</f>
        <v>Livre</v>
      </c>
      <c r="G151" s="211" t="s">
        <v>1265</v>
      </c>
      <c r="H151" s="211" t="str">
        <f>IFERROR(VLOOKUP(D151,Consolidado!$E$3:$K$311,7,0),"")</f>
        <v/>
      </c>
      <c r="I151" s="257"/>
    </row>
    <row r="152" spans="4:9">
      <c r="D152" s="267">
        <v>12137</v>
      </c>
      <c r="E152" s="211" t="s">
        <v>26</v>
      </c>
      <c r="F152" s="263" t="str">
        <f>IFERROR(IF(COUNTIF(Consolidado!$E$3:$E$358,'Range de Logins'!$D152)&gt;0,"Em uso","Livre"),"-")</f>
        <v>Livre</v>
      </c>
      <c r="G152" s="211" t="s">
        <v>1265</v>
      </c>
      <c r="H152" s="211" t="str">
        <f>IFERROR(VLOOKUP(D152,Consolidado!$E$3:$K$311,7,0),"")</f>
        <v/>
      </c>
      <c r="I152" s="257"/>
    </row>
    <row r="153" spans="4:9">
      <c r="D153" s="267">
        <v>12138</v>
      </c>
      <c r="E153" s="211" t="s">
        <v>26</v>
      </c>
      <c r="F153" s="263" t="str">
        <f>IFERROR(IF(COUNTIF(Consolidado!$E$3:$E$358,'Range de Logins'!$D153)&gt;0,"Em uso","Livre"),"-")</f>
        <v>Livre</v>
      </c>
      <c r="G153" s="211" t="s">
        <v>1265</v>
      </c>
      <c r="H153" s="211" t="str">
        <f>IFERROR(VLOOKUP(D153,Consolidado!$E$3:$K$311,7,0),"")</f>
        <v/>
      </c>
      <c r="I153" s="257"/>
    </row>
    <row r="154" spans="4:9">
      <c r="D154" s="267">
        <v>12140</v>
      </c>
      <c r="E154" s="211" t="s">
        <v>26</v>
      </c>
      <c r="F154" s="263" t="str">
        <f>IFERROR(IF(COUNTIF(Consolidado!$E$3:$E$358,'Range de Logins'!$D154)&gt;0,"Em uso","Livre"),"-")</f>
        <v>Livre</v>
      </c>
      <c r="G154" s="211" t="s">
        <v>1265</v>
      </c>
      <c r="H154" s="211" t="str">
        <f>IFERROR(VLOOKUP(D154,Consolidado!$E$3:$K$311,7,0),"")</f>
        <v/>
      </c>
      <c r="I154" s="257"/>
    </row>
    <row r="155" spans="4:9">
      <c r="D155" s="267">
        <v>12141</v>
      </c>
      <c r="E155" s="211" t="s">
        <v>26</v>
      </c>
      <c r="F155" s="263" t="str">
        <f>IFERROR(IF(COUNTIF(Consolidado!$E$3:$E$358,'Range de Logins'!$D155)&gt;0,"Em uso","Livre"),"-")</f>
        <v>Livre</v>
      </c>
      <c r="G155" s="211" t="s">
        <v>1265</v>
      </c>
      <c r="H155" s="211" t="str">
        <f>IFERROR(VLOOKUP(D155,Consolidado!$E$3:$K$311,7,0),"")</f>
        <v/>
      </c>
      <c r="I155" s="257"/>
    </row>
    <row r="156" spans="4:9">
      <c r="D156" s="267">
        <v>12142</v>
      </c>
      <c r="E156" s="211" t="s">
        <v>26</v>
      </c>
      <c r="F156" s="263" t="str">
        <f>IFERROR(IF(COUNTIF(Consolidado!$E$3:$E$358,'Range de Logins'!$D156)&gt;0,"Em uso","Livre"),"-")</f>
        <v>Livre</v>
      </c>
      <c r="G156" s="211" t="s">
        <v>1265</v>
      </c>
      <c r="H156" s="211" t="str">
        <f>IFERROR(VLOOKUP(D156,Consolidado!$E$3:$K$311,7,0),"")</f>
        <v/>
      </c>
      <c r="I156" s="257"/>
    </row>
    <row r="157" spans="4:9">
      <c r="D157" s="267">
        <v>12143</v>
      </c>
      <c r="E157" s="211">
        <v>168544</v>
      </c>
      <c r="F157" s="263" t="str">
        <f>IFERROR(IF(COUNTIF(Consolidado!$E$3:$E$358,'Range de Logins'!$D157)&gt;0,"Em uso","Livre"),"-")</f>
        <v>Livre</v>
      </c>
      <c r="G157" s="211" t="s">
        <v>1065</v>
      </c>
      <c r="H157" s="211" t="str">
        <f>IFERROR(VLOOKUP(D157,Consolidado!$E$3:$K$311,7,0),"")</f>
        <v/>
      </c>
      <c r="I157" s="257"/>
    </row>
    <row r="158" spans="4:9">
      <c r="D158" s="267">
        <v>12144</v>
      </c>
      <c r="E158" s="211" t="s">
        <v>26</v>
      </c>
      <c r="F158" s="263" t="str">
        <f>IFERROR(IF(COUNTIF(Consolidado!$E$3:$E$358,'Range de Logins'!$D158)&gt;0,"Em uso","Livre"),"-")</f>
        <v>Livre</v>
      </c>
      <c r="G158" s="211" t="s">
        <v>1265</v>
      </c>
      <c r="H158" s="211" t="str">
        <f>IFERROR(VLOOKUP(D158,Consolidado!$E$3:$K$311,7,0),"")</f>
        <v/>
      </c>
      <c r="I158" s="257"/>
    </row>
    <row r="159" spans="4:9">
      <c r="D159" s="267">
        <v>12145</v>
      </c>
      <c r="E159" s="211" t="s">
        <v>26</v>
      </c>
      <c r="F159" s="263" t="str">
        <f>IFERROR(IF(COUNTIF(Consolidado!$E$3:$E$358,'Range de Logins'!$D159)&gt;0,"Em uso","Livre"),"-")</f>
        <v>Livre</v>
      </c>
      <c r="G159" s="211" t="s">
        <v>1265</v>
      </c>
      <c r="H159" s="211" t="str">
        <f>IFERROR(VLOOKUP(D159,Consolidado!$E$3:$K$311,7,0),"")</f>
        <v/>
      </c>
      <c r="I159" s="257"/>
    </row>
    <row r="160" spans="4:9">
      <c r="D160" s="267">
        <v>12146</v>
      </c>
      <c r="E160" s="211" t="s">
        <v>26</v>
      </c>
      <c r="F160" s="263" t="str">
        <f>IFERROR(IF(COUNTIF(Consolidado!$E$3:$E$358,'Range de Logins'!$D160)&gt;0,"Em uso","Livre"),"-")</f>
        <v>Livre</v>
      </c>
      <c r="G160" s="211" t="s">
        <v>1265</v>
      </c>
      <c r="H160" s="211" t="str">
        <f>IFERROR(VLOOKUP(D160,Consolidado!$E$3:$K$311,7,0),"")</f>
        <v/>
      </c>
      <c r="I160" s="257"/>
    </row>
    <row r="161" spans="4:9">
      <c r="D161" s="267">
        <v>12147</v>
      </c>
      <c r="E161" s="211" t="s">
        <v>26</v>
      </c>
      <c r="F161" s="263" t="str">
        <f>IFERROR(IF(COUNTIF(Consolidado!$E$3:$E$358,'Range de Logins'!$D161)&gt;0,"Em uso","Livre"),"-")</f>
        <v>Livre</v>
      </c>
      <c r="G161" s="211" t="s">
        <v>1265</v>
      </c>
      <c r="H161" s="211" t="str">
        <f>IFERROR(VLOOKUP(D161,Consolidado!$E$3:$K$311,7,0),"")</f>
        <v/>
      </c>
      <c r="I161" s="257"/>
    </row>
    <row r="162" spans="4:9">
      <c r="D162" s="267">
        <v>12148</v>
      </c>
      <c r="E162" s="211" t="s">
        <v>26</v>
      </c>
      <c r="F162" s="263" t="str">
        <f>IFERROR(IF(COUNTIF(Consolidado!$E$3:$E$358,'Range de Logins'!$D162)&gt;0,"Em uso","Livre"),"-")</f>
        <v>Livre</v>
      </c>
      <c r="G162" s="211" t="s">
        <v>1265</v>
      </c>
      <c r="H162" s="211" t="str">
        <f>IFERROR(VLOOKUP(D162,Consolidado!$E$3:$K$311,7,0),"")</f>
        <v/>
      </c>
      <c r="I162" s="257"/>
    </row>
    <row r="163" spans="4:9">
      <c r="D163" s="267">
        <v>12149</v>
      </c>
      <c r="E163" s="211" t="s">
        <v>26</v>
      </c>
      <c r="F163" s="263" t="str">
        <f>IFERROR(IF(COUNTIF(Consolidado!$E$3:$E$358,'Range de Logins'!$D163)&gt;0,"Em uso","Livre"),"-")</f>
        <v>Livre</v>
      </c>
      <c r="G163" s="211" t="s">
        <v>1265</v>
      </c>
      <c r="H163" s="211" t="str">
        <f>IFERROR(VLOOKUP(D163,Consolidado!$E$3:$K$311,7,0),"")</f>
        <v/>
      </c>
      <c r="I163" s="257"/>
    </row>
    <row r="164" spans="4:9">
      <c r="D164" s="267">
        <v>12150</v>
      </c>
      <c r="E164" s="211" t="s">
        <v>26</v>
      </c>
      <c r="F164" s="263" t="str">
        <f>IFERROR(IF(COUNTIF(Consolidado!$E$3:$E$358,'Range de Logins'!$D164)&gt;0,"Em uso","Livre"),"-")</f>
        <v>Livre</v>
      </c>
      <c r="G164" s="211" t="s">
        <v>1265</v>
      </c>
      <c r="H164" s="211" t="str">
        <f>IFERROR(VLOOKUP(D164,Consolidado!$E$3:$K$311,7,0),"")</f>
        <v/>
      </c>
      <c r="I164" s="257"/>
    </row>
    <row r="165" spans="4:9">
      <c r="D165" s="267">
        <v>12151</v>
      </c>
      <c r="E165" s="211">
        <v>558966</v>
      </c>
      <c r="F165" s="263" t="str">
        <f>IFERROR(IF(COUNTIF(Consolidado!$E$3:$E$358,'Range de Logins'!$D165)&gt;0,"Em uso","Livre"),"-")</f>
        <v>Livre</v>
      </c>
      <c r="G165" s="211" t="s">
        <v>1065</v>
      </c>
      <c r="H165" s="211" t="str">
        <f>IFERROR(VLOOKUP(D165,Consolidado!$E$3:$K$311,7,0),"")</f>
        <v/>
      </c>
      <c r="I165" s="257"/>
    </row>
    <row r="166" spans="4:9">
      <c r="D166" s="267">
        <v>12153</v>
      </c>
      <c r="E166" s="211" t="s">
        <v>26</v>
      </c>
      <c r="F166" s="263" t="str">
        <f>IFERROR(IF(COUNTIF(Consolidado!$E$3:$E$358,'Range de Logins'!$D166)&gt;0,"Em uso","Livre"),"-")</f>
        <v>Livre</v>
      </c>
      <c r="G166" s="211" t="s">
        <v>1265</v>
      </c>
      <c r="H166" s="211" t="str">
        <f>IFERROR(VLOOKUP(D166,Consolidado!$E$3:$K$311,7,0),"")</f>
        <v/>
      </c>
      <c r="I166" s="257"/>
    </row>
    <row r="167" spans="4:9">
      <c r="D167" s="267">
        <v>12154</v>
      </c>
      <c r="E167" s="211" t="s">
        <v>26</v>
      </c>
      <c r="F167" s="263" t="str">
        <f>IFERROR(IF(COUNTIF(Consolidado!$E$3:$E$358,'Range de Logins'!$D167)&gt;0,"Em uso","Livre"),"-")</f>
        <v>Livre</v>
      </c>
      <c r="G167" s="211" t="s">
        <v>1265</v>
      </c>
      <c r="H167" s="211" t="str">
        <f>IFERROR(VLOOKUP(D167,Consolidado!$E$3:$K$311,7,0),"")</f>
        <v/>
      </c>
      <c r="I167" s="257"/>
    </row>
    <row r="168" spans="4:9">
      <c r="D168" s="267">
        <v>12155</v>
      </c>
      <c r="E168" s="211">
        <v>870155</v>
      </c>
      <c r="F168" s="263" t="str">
        <f>IFERROR(IF(COUNTIF(Consolidado!$E$3:$E$358,'Range de Logins'!$D168)&gt;0,"Em uso","Livre"),"-")</f>
        <v>Livre</v>
      </c>
      <c r="G168" s="211" t="s">
        <v>1065</v>
      </c>
      <c r="H168" s="211" t="str">
        <f>IFERROR(VLOOKUP(D168,Consolidado!$E$3:$K$311,7,0),"")</f>
        <v/>
      </c>
      <c r="I168" s="257"/>
    </row>
    <row r="169" spans="4:9">
      <c r="D169" s="267">
        <v>12156</v>
      </c>
      <c r="E169" s="211">
        <v>873180</v>
      </c>
      <c r="F169" s="263" t="str">
        <f>IFERROR(IF(COUNTIF(Consolidado!$E$3:$E$358,'Range de Logins'!$D169)&gt;0,"Em uso","Livre"),"-")</f>
        <v>Livre</v>
      </c>
      <c r="G169" s="211" t="s">
        <v>1065</v>
      </c>
      <c r="H169" s="211" t="str">
        <f>IFERROR(VLOOKUP(D169,Consolidado!$E$3:$K$311,7,0),"")</f>
        <v/>
      </c>
      <c r="I169" s="257"/>
    </row>
    <row r="170" spans="4:9">
      <c r="D170" s="267">
        <v>12157</v>
      </c>
      <c r="E170" s="211" t="s">
        <v>26</v>
      </c>
      <c r="F170" s="263" t="str">
        <f>IFERROR(IF(COUNTIF(Consolidado!$E$3:$E$358,'Range de Logins'!$D170)&gt;0,"Em uso","Livre"),"-")</f>
        <v>Livre</v>
      </c>
      <c r="G170" s="211" t="s">
        <v>1265</v>
      </c>
      <c r="H170" s="211" t="str">
        <f>IFERROR(VLOOKUP(D170,Consolidado!$E$3:$K$311,7,0),"")</f>
        <v/>
      </c>
      <c r="I170" s="257"/>
    </row>
    <row r="171" spans="4:9">
      <c r="D171" s="267">
        <v>12158</v>
      </c>
      <c r="E171" s="211" t="s">
        <v>26</v>
      </c>
      <c r="F171" s="263" t="str">
        <f>IFERROR(IF(COUNTIF(Consolidado!$E$3:$E$358,'Range de Logins'!$D171)&gt;0,"Em uso","Livre"),"-")</f>
        <v>Livre</v>
      </c>
      <c r="G171" s="211" t="s">
        <v>1265</v>
      </c>
      <c r="H171" s="211" t="str">
        <f>IFERROR(VLOOKUP(D171,Consolidado!$E$3:$K$311,7,0),"")</f>
        <v/>
      </c>
      <c r="I171" s="257"/>
    </row>
    <row r="172" spans="4:9">
      <c r="D172" s="267">
        <v>12159</v>
      </c>
      <c r="E172" s="211" t="s">
        <v>26</v>
      </c>
      <c r="F172" s="263" t="str">
        <f>IFERROR(IF(COUNTIF(Consolidado!$E$3:$E$358,'Range de Logins'!$D172)&gt;0,"Em uso","Livre"),"-")</f>
        <v>Livre</v>
      </c>
      <c r="G172" s="211" t="s">
        <v>1265</v>
      </c>
      <c r="H172" s="211" t="str">
        <f>IFERROR(VLOOKUP(D172,Consolidado!$E$3:$K$311,7,0),"")</f>
        <v/>
      </c>
      <c r="I172" s="257"/>
    </row>
    <row r="173" spans="4:9">
      <c r="D173" s="267">
        <v>12160</v>
      </c>
      <c r="E173" s="211" t="s">
        <v>26</v>
      </c>
      <c r="F173" s="263" t="str">
        <f>IFERROR(IF(COUNTIF(Consolidado!$E$3:$E$358,'Range de Logins'!$D173)&gt;0,"Em uso","Livre"),"-")</f>
        <v>Livre</v>
      </c>
      <c r="G173" s="211" t="s">
        <v>1265</v>
      </c>
      <c r="H173" s="211" t="str">
        <f>IFERROR(VLOOKUP(D173,Consolidado!$E$3:$K$311,7,0),"")</f>
        <v/>
      </c>
      <c r="I173" s="257"/>
    </row>
    <row r="174" spans="4:9">
      <c r="D174" s="267">
        <v>12162</v>
      </c>
      <c r="E174" s="211" t="s">
        <v>26</v>
      </c>
      <c r="F174" s="263" t="str">
        <f>IFERROR(IF(COUNTIF(Consolidado!$E$3:$E$358,'Range de Logins'!$D174)&gt;0,"Em uso","Livre"),"-")</f>
        <v>Livre</v>
      </c>
      <c r="G174" s="211" t="s">
        <v>1265</v>
      </c>
      <c r="H174" s="211" t="str">
        <f>IFERROR(VLOOKUP(D174,Consolidado!$E$3:$K$311,7,0),"")</f>
        <v/>
      </c>
      <c r="I174" s="257"/>
    </row>
    <row r="175" spans="4:9">
      <c r="D175" s="267">
        <v>12163</v>
      </c>
      <c r="E175" s="211" t="s">
        <v>26</v>
      </c>
      <c r="F175" s="263" t="str">
        <f>IFERROR(IF(COUNTIF(Consolidado!$E$3:$E$358,'Range de Logins'!$D175)&gt;0,"Em uso","Livre"),"-")</f>
        <v>Livre</v>
      </c>
      <c r="G175" s="211" t="s">
        <v>1265</v>
      </c>
      <c r="H175" s="211" t="str">
        <f>IFERROR(VLOOKUP(D175,Consolidado!$E$3:$K$311,7,0),"")</f>
        <v/>
      </c>
      <c r="I175" s="257"/>
    </row>
    <row r="176" spans="4:9">
      <c r="D176" s="267">
        <v>12164</v>
      </c>
      <c r="E176" s="211" t="s">
        <v>26</v>
      </c>
      <c r="F176" s="263" t="str">
        <f>IFERROR(IF(COUNTIF(Consolidado!$E$3:$E$358,'Range de Logins'!$D176)&gt;0,"Em uso","Livre"),"-")</f>
        <v>Livre</v>
      </c>
      <c r="G176" s="211" t="s">
        <v>1265</v>
      </c>
      <c r="H176" s="211" t="str">
        <f>IFERROR(VLOOKUP(D176,Consolidado!$E$3:$K$311,7,0),"")</f>
        <v/>
      </c>
      <c r="I176" s="257"/>
    </row>
    <row r="177" spans="4:9">
      <c r="D177" s="267">
        <v>12165</v>
      </c>
      <c r="E177" s="211" t="s">
        <v>26</v>
      </c>
      <c r="F177" s="263" t="str">
        <f>IFERROR(IF(COUNTIF(Consolidado!$E$3:$E$358,'Range de Logins'!$D177)&gt;0,"Em uso","Livre"),"-")</f>
        <v>Livre</v>
      </c>
      <c r="G177" s="211" t="s">
        <v>1265</v>
      </c>
      <c r="H177" s="211" t="str">
        <f>IFERROR(VLOOKUP(D177,Consolidado!$E$3:$K$311,7,0),"")</f>
        <v/>
      </c>
      <c r="I177" s="257"/>
    </row>
    <row r="178" spans="4:9">
      <c r="D178" s="267">
        <v>12166</v>
      </c>
      <c r="E178" s="211" t="s">
        <v>26</v>
      </c>
      <c r="F178" s="263" t="str">
        <f>IFERROR(IF(COUNTIF(Consolidado!$E$3:$E$358,'Range de Logins'!$D178)&gt;0,"Em uso","Livre"),"-")</f>
        <v>Livre</v>
      </c>
      <c r="G178" s="211" t="s">
        <v>1265</v>
      </c>
      <c r="H178" s="211" t="str">
        <f>IFERROR(VLOOKUP(D178,Consolidado!$E$3:$K$311,7,0),"")</f>
        <v/>
      </c>
      <c r="I178" s="257"/>
    </row>
    <row r="179" spans="4:9">
      <c r="D179" s="267">
        <v>12167</v>
      </c>
      <c r="E179" s="211" t="s">
        <v>26</v>
      </c>
      <c r="F179" s="263" t="str">
        <f>IFERROR(IF(COUNTIF(Consolidado!$E$3:$E$358,'Range de Logins'!$D179)&gt;0,"Em uso","Livre"),"-")</f>
        <v>Livre</v>
      </c>
      <c r="G179" s="211" t="s">
        <v>1265</v>
      </c>
      <c r="H179" s="211" t="str">
        <f>IFERROR(VLOOKUP(D179,Consolidado!$E$3:$K$311,7,0),"")</f>
        <v/>
      </c>
      <c r="I179" s="257"/>
    </row>
    <row r="180" spans="4:9">
      <c r="D180" s="267">
        <v>12168</v>
      </c>
      <c r="E180" s="211" t="s">
        <v>26</v>
      </c>
      <c r="F180" s="263" t="str">
        <f>IFERROR(IF(COUNTIF(Consolidado!$E$3:$E$358,'Range de Logins'!$D180)&gt;0,"Em uso","Livre"),"-")</f>
        <v>Livre</v>
      </c>
      <c r="G180" s="211" t="s">
        <v>1265</v>
      </c>
      <c r="H180" s="211" t="str">
        <f>IFERROR(VLOOKUP(D180,Consolidado!$E$3:$K$311,7,0),"")</f>
        <v/>
      </c>
      <c r="I180" s="257"/>
    </row>
    <row r="181" spans="4:9">
      <c r="D181" s="267">
        <v>12170</v>
      </c>
      <c r="E181" s="211" t="s">
        <v>26</v>
      </c>
      <c r="F181" s="263" t="str">
        <f>IFERROR(IF(COUNTIF(Consolidado!$E$3:$E$358,'Range de Logins'!$D181)&gt;0,"Em uso","Livre"),"-")</f>
        <v>Livre</v>
      </c>
      <c r="G181" s="211" t="s">
        <v>1265</v>
      </c>
      <c r="H181" s="211" t="str">
        <f>IFERROR(VLOOKUP(D181,Consolidado!$E$3:$K$311,7,0),"")</f>
        <v/>
      </c>
      <c r="I181" s="257"/>
    </row>
    <row r="182" spans="4:9">
      <c r="D182" s="267">
        <v>12171</v>
      </c>
      <c r="E182" s="211" t="s">
        <v>26</v>
      </c>
      <c r="F182" s="263" t="str">
        <f>IFERROR(IF(COUNTIF(Consolidado!$E$3:$E$358,'Range de Logins'!$D182)&gt;0,"Em uso","Livre"),"-")</f>
        <v>Livre</v>
      </c>
      <c r="G182" s="211" t="s">
        <v>1265</v>
      </c>
      <c r="H182" s="211" t="str">
        <f>IFERROR(VLOOKUP(D182,Consolidado!$E$3:$K$311,7,0),"")</f>
        <v/>
      </c>
      <c r="I182" s="257"/>
    </row>
    <row r="183" spans="4:9">
      <c r="D183" s="267">
        <v>12172</v>
      </c>
      <c r="E183" s="211" t="s">
        <v>26</v>
      </c>
      <c r="F183" s="263" t="str">
        <f>IFERROR(IF(COUNTIF(Consolidado!$E$3:$E$358,'Range de Logins'!$D183)&gt;0,"Em uso","Livre"),"-")</f>
        <v>Livre</v>
      </c>
      <c r="G183" s="211" t="s">
        <v>1265</v>
      </c>
      <c r="H183" s="211" t="str">
        <f>IFERROR(VLOOKUP(D183,Consolidado!$E$3:$K$311,7,0),"")</f>
        <v/>
      </c>
      <c r="I183" s="257"/>
    </row>
    <row r="184" spans="4:9">
      <c r="D184" s="267">
        <v>12173</v>
      </c>
      <c r="E184" s="211" t="s">
        <v>26</v>
      </c>
      <c r="F184" s="263" t="str">
        <f>IFERROR(IF(COUNTIF(Consolidado!$E$3:$E$358,'Range de Logins'!$D184)&gt;0,"Em uso","Livre"),"-")</f>
        <v>Livre</v>
      </c>
      <c r="G184" s="211" t="s">
        <v>1265</v>
      </c>
      <c r="H184" s="211" t="str">
        <f>IFERROR(VLOOKUP(D184,Consolidado!$E$3:$K$311,7,0),"")</f>
        <v/>
      </c>
      <c r="I184" s="257"/>
    </row>
    <row r="185" spans="4:9">
      <c r="D185" s="267">
        <v>12175</v>
      </c>
      <c r="E185" s="211" t="s">
        <v>26</v>
      </c>
      <c r="F185" s="263" t="str">
        <f>IFERROR(IF(COUNTIF(Consolidado!$E$3:$E$358,'Range de Logins'!$D185)&gt;0,"Em uso","Livre"),"-")</f>
        <v>Livre</v>
      </c>
      <c r="G185" s="211" t="s">
        <v>1265</v>
      </c>
      <c r="H185" s="211" t="str">
        <f>IFERROR(VLOOKUP(D185,Consolidado!$E$3:$K$311,7,0),"")</f>
        <v/>
      </c>
      <c r="I185" s="257"/>
    </row>
    <row r="186" spans="4:9">
      <c r="D186" s="267">
        <v>12176</v>
      </c>
      <c r="E186" s="211" t="s">
        <v>26</v>
      </c>
      <c r="F186" s="263" t="str">
        <f>IFERROR(IF(COUNTIF(Consolidado!$E$3:$E$358,'Range de Logins'!$D186)&gt;0,"Em uso","Livre"),"-")</f>
        <v>Livre</v>
      </c>
      <c r="G186" s="211" t="s">
        <v>1265</v>
      </c>
      <c r="H186" s="211" t="str">
        <f>IFERROR(VLOOKUP(D186,Consolidado!$E$3:$K$311,7,0),"")</f>
        <v/>
      </c>
      <c r="I186" s="257"/>
    </row>
    <row r="187" spans="4:9">
      <c r="D187" s="267">
        <v>12177</v>
      </c>
      <c r="E187" s="211" t="s">
        <v>26</v>
      </c>
      <c r="F187" s="263" t="str">
        <f>IFERROR(IF(COUNTIF(Consolidado!$E$3:$E$358,'Range de Logins'!$D187)&gt;0,"Em uso","Livre"),"-")</f>
        <v>Livre</v>
      </c>
      <c r="G187" s="211" t="s">
        <v>1265</v>
      </c>
      <c r="H187" s="211" t="str">
        <f>IFERROR(VLOOKUP(D187,Consolidado!$E$3:$K$311,7,0),"")</f>
        <v/>
      </c>
      <c r="I187" s="257"/>
    </row>
    <row r="188" spans="4:9">
      <c r="D188" s="267">
        <v>12180</v>
      </c>
      <c r="E188" s="211" t="s">
        <v>26</v>
      </c>
      <c r="F188" s="263" t="str">
        <f>IFERROR(IF(COUNTIF(Consolidado!$E$3:$E$358,'Range de Logins'!$D188)&gt;0,"Em uso","Livre"),"-")</f>
        <v>Livre</v>
      </c>
      <c r="G188" s="211" t="s">
        <v>1265</v>
      </c>
      <c r="H188" s="211" t="str">
        <f>IFERROR(VLOOKUP(D188,Consolidado!$E$3:$K$311,7,0),"")</f>
        <v/>
      </c>
      <c r="I188" s="257"/>
    </row>
    <row r="189" spans="4:9">
      <c r="D189" s="267">
        <v>12181</v>
      </c>
      <c r="E189" s="211" t="s">
        <v>26</v>
      </c>
      <c r="F189" s="263" t="str">
        <f>IFERROR(IF(COUNTIF(Consolidado!$E$3:$E$358,'Range de Logins'!$D189)&gt;0,"Em uso","Livre"),"-")</f>
        <v>Livre</v>
      </c>
      <c r="G189" s="211" t="s">
        <v>1265</v>
      </c>
      <c r="H189" s="211" t="str">
        <f>IFERROR(VLOOKUP(D189,Consolidado!$E$3:$K$311,7,0),"")</f>
        <v/>
      </c>
      <c r="I189" s="257"/>
    </row>
    <row r="190" spans="4:9">
      <c r="D190" s="267">
        <v>12182</v>
      </c>
      <c r="E190" s="211" t="s">
        <v>26</v>
      </c>
      <c r="F190" s="263" t="str">
        <f>IFERROR(IF(COUNTIF(Consolidado!$E$3:$E$358,'Range de Logins'!$D190)&gt;0,"Em uso","Livre"),"-")</f>
        <v>Livre</v>
      </c>
      <c r="G190" s="211" t="s">
        <v>1265</v>
      </c>
      <c r="H190" s="211" t="str">
        <f>IFERROR(VLOOKUP(D190,Consolidado!$E$3:$K$311,7,0),"")</f>
        <v/>
      </c>
      <c r="I190" s="257"/>
    </row>
    <row r="191" spans="4:9">
      <c r="D191" s="267">
        <v>12183</v>
      </c>
      <c r="E191" s="211" t="s">
        <v>26</v>
      </c>
      <c r="F191" s="263" t="str">
        <f>IFERROR(IF(COUNTIF(Consolidado!$E$3:$E$358,'Range de Logins'!$D191)&gt;0,"Em uso","Livre"),"-")</f>
        <v>Livre</v>
      </c>
      <c r="G191" s="211" t="s">
        <v>1265</v>
      </c>
      <c r="H191" s="211" t="str">
        <f>IFERROR(VLOOKUP(D191,Consolidado!$E$3:$K$311,7,0),"")</f>
        <v/>
      </c>
      <c r="I191" s="257"/>
    </row>
    <row r="192" spans="4:9">
      <c r="D192" s="267">
        <v>12184</v>
      </c>
      <c r="E192" s="211" t="s">
        <v>26</v>
      </c>
      <c r="F192" s="263" t="str">
        <f>IFERROR(IF(COUNTIF(Consolidado!$E$3:$E$358,'Range de Logins'!$D192)&gt;0,"Em uso","Livre"),"-")</f>
        <v>Livre</v>
      </c>
      <c r="G192" s="211" t="s">
        <v>1265</v>
      </c>
      <c r="H192" s="211" t="str">
        <f>IFERROR(VLOOKUP(D192,Consolidado!$E$3:$K$311,7,0),"")</f>
        <v/>
      </c>
      <c r="I192" s="257"/>
    </row>
    <row r="193" spans="4:9">
      <c r="D193" s="267">
        <v>12187</v>
      </c>
      <c r="E193" s="211" t="s">
        <v>26</v>
      </c>
      <c r="F193" s="263" t="str">
        <f>IFERROR(IF(COUNTIF(Consolidado!$E$3:$E$358,'Range de Logins'!$D193)&gt;0,"Em uso","Livre"),"-")</f>
        <v>Livre</v>
      </c>
      <c r="G193" s="211" t="s">
        <v>1265</v>
      </c>
      <c r="H193" s="211" t="str">
        <f>IFERROR(VLOOKUP(D193,Consolidado!$E$3:$K$311,7,0),"")</f>
        <v/>
      </c>
      <c r="I193" s="257"/>
    </row>
    <row r="194" spans="4:9">
      <c r="D194" s="267">
        <v>12188</v>
      </c>
      <c r="E194" s="211" t="s">
        <v>26</v>
      </c>
      <c r="F194" s="263" t="str">
        <f>IFERROR(IF(COUNTIF(Consolidado!$E$3:$E$358,'Range de Logins'!$D194)&gt;0,"Em uso","Livre"),"-")</f>
        <v>Livre</v>
      </c>
      <c r="G194" s="211" t="s">
        <v>1265</v>
      </c>
      <c r="H194" s="211" t="str">
        <f>IFERROR(VLOOKUP(D194,Consolidado!$E$3:$K$311,7,0),"")</f>
        <v/>
      </c>
      <c r="I194" s="257"/>
    </row>
    <row r="195" spans="4:9">
      <c r="D195" s="267">
        <v>12189</v>
      </c>
      <c r="E195" s="211" t="s">
        <v>26</v>
      </c>
      <c r="F195" s="263" t="str">
        <f>IFERROR(IF(COUNTIF(Consolidado!$E$3:$E$358,'Range de Logins'!$D195)&gt;0,"Em uso","Livre"),"-")</f>
        <v>Livre</v>
      </c>
      <c r="G195" s="211" t="s">
        <v>1265</v>
      </c>
      <c r="H195" s="211" t="str">
        <f>IFERROR(VLOOKUP(D195,Consolidado!$E$3:$K$311,7,0),"")</f>
        <v/>
      </c>
      <c r="I195" s="257"/>
    </row>
    <row r="196" spans="4:9">
      <c r="D196" s="267">
        <v>12190</v>
      </c>
      <c r="E196" s="211" t="s">
        <v>26</v>
      </c>
      <c r="F196" s="263" t="str">
        <f>IFERROR(IF(COUNTIF(Consolidado!$E$3:$E$358,'Range de Logins'!$D196)&gt;0,"Em uso","Livre"),"-")</f>
        <v>Livre</v>
      </c>
      <c r="G196" s="211" t="s">
        <v>1265</v>
      </c>
      <c r="H196" s="211" t="str">
        <f>IFERROR(VLOOKUP(D196,Consolidado!$E$3:$K$311,7,0),"")</f>
        <v/>
      </c>
      <c r="I196" s="257"/>
    </row>
    <row r="197" spans="4:9">
      <c r="D197" s="267">
        <v>12192</v>
      </c>
      <c r="E197" s="211" t="s">
        <v>26</v>
      </c>
      <c r="F197" s="263" t="str">
        <f>IFERROR(IF(COUNTIF(Consolidado!$E$3:$E$358,'Range de Logins'!$D197)&gt;0,"Em uso","Livre"),"-")</f>
        <v>Livre</v>
      </c>
      <c r="G197" s="211" t="s">
        <v>1265</v>
      </c>
      <c r="H197" s="211" t="str">
        <f>IFERROR(VLOOKUP(D197,Consolidado!$E$3:$K$311,7,0),"")</f>
        <v/>
      </c>
      <c r="I197" s="257"/>
    </row>
    <row r="198" spans="4:9">
      <c r="D198" s="267">
        <v>12193</v>
      </c>
      <c r="E198" s="211">
        <v>873197</v>
      </c>
      <c r="F198" s="263" t="str">
        <f>IFERROR(IF(COUNTIF(Consolidado!$E$3:$E$358,'Range de Logins'!$D198)&gt;0,"Em uso","Livre"),"-")</f>
        <v>Livre</v>
      </c>
      <c r="G198" s="211" t="s">
        <v>1065</v>
      </c>
      <c r="H198" s="211" t="str">
        <f>IFERROR(VLOOKUP(D198,Consolidado!$E$3:$K$311,7,0),"")</f>
        <v/>
      </c>
      <c r="I198" s="257"/>
    </row>
    <row r="199" spans="4:9">
      <c r="D199" s="267">
        <v>12194</v>
      </c>
      <c r="E199" s="211" t="s">
        <v>26</v>
      </c>
      <c r="F199" s="263" t="str">
        <f>IFERROR(IF(COUNTIF(Consolidado!$E$3:$E$358,'Range de Logins'!$D199)&gt;0,"Em uso","Livre"),"-")</f>
        <v>Livre</v>
      </c>
      <c r="G199" s="211" t="s">
        <v>1265</v>
      </c>
      <c r="H199" s="211" t="str">
        <f>IFERROR(VLOOKUP(D199,Consolidado!$E$3:$K$311,7,0),"")</f>
        <v/>
      </c>
      <c r="I199" s="257"/>
    </row>
    <row r="200" spans="4:9">
      <c r="D200" s="267">
        <v>12195</v>
      </c>
      <c r="E200" s="211" t="s">
        <v>26</v>
      </c>
      <c r="F200" s="263" t="str">
        <f>IFERROR(IF(COUNTIF(Consolidado!$E$3:$E$358,'Range de Logins'!$D200)&gt;0,"Em uso","Livre"),"-")</f>
        <v>Livre</v>
      </c>
      <c r="G200" s="211" t="s">
        <v>1265</v>
      </c>
      <c r="H200" s="211" t="str">
        <f>IFERROR(VLOOKUP(D200,Consolidado!$E$3:$K$311,7,0),"")</f>
        <v/>
      </c>
      <c r="I200" s="257"/>
    </row>
    <row r="201" spans="4:9">
      <c r="D201" s="267">
        <v>12196</v>
      </c>
      <c r="E201" s="211" t="s">
        <v>26</v>
      </c>
      <c r="F201" s="263" t="str">
        <f>IFERROR(IF(COUNTIF(Consolidado!$E$3:$E$358,'Range de Logins'!$D201)&gt;0,"Em uso","Livre"),"-")</f>
        <v>Livre</v>
      </c>
      <c r="G201" s="211" t="s">
        <v>1265</v>
      </c>
      <c r="H201" s="211" t="str">
        <f>IFERROR(VLOOKUP(D201,Consolidado!$E$3:$K$311,7,0),"")</f>
        <v/>
      </c>
      <c r="I201" s="257"/>
    </row>
    <row r="202" spans="4:9">
      <c r="D202" s="267">
        <v>12197</v>
      </c>
      <c r="E202" s="211" t="s">
        <v>26</v>
      </c>
      <c r="F202" s="263" t="str">
        <f>IFERROR(IF(COUNTIF(Consolidado!$E$3:$E$358,'Range de Logins'!$D202)&gt;0,"Em uso","Livre"),"-")</f>
        <v>Livre</v>
      </c>
      <c r="G202" s="211" t="s">
        <v>1265</v>
      </c>
      <c r="H202" s="211" t="str">
        <f>IFERROR(VLOOKUP(D202,Consolidado!$E$3:$K$311,7,0),"")</f>
        <v/>
      </c>
      <c r="I202" s="257"/>
    </row>
    <row r="203" spans="4:9">
      <c r="D203" s="267">
        <v>12198</v>
      </c>
      <c r="E203" s="211" t="s">
        <v>26</v>
      </c>
      <c r="F203" s="263" t="str">
        <f>IFERROR(IF(COUNTIF(Consolidado!$E$3:$E$358,'Range de Logins'!$D203)&gt;0,"Em uso","Livre"),"-")</f>
        <v>Livre</v>
      </c>
      <c r="G203" s="211" t="s">
        <v>1265</v>
      </c>
      <c r="H203" s="211" t="str">
        <f>IFERROR(VLOOKUP(D203,Consolidado!$E$3:$K$311,7,0),"")</f>
        <v/>
      </c>
      <c r="I203" s="257"/>
    </row>
    <row r="204" spans="4:9">
      <c r="D204" s="267">
        <v>12200</v>
      </c>
      <c r="E204" s="211" t="s">
        <v>26</v>
      </c>
      <c r="F204" s="263" t="str">
        <f>IFERROR(IF(COUNTIF(Consolidado!$E$3:$E$358,'Range de Logins'!$D204)&gt;0,"Em uso","Livre"),"-")</f>
        <v>Livre</v>
      </c>
      <c r="G204" s="211" t="s">
        <v>1265</v>
      </c>
      <c r="H204" s="211" t="str">
        <f>IFERROR(VLOOKUP(D204,Consolidado!$E$3:$K$311,7,0),"")</f>
        <v/>
      </c>
      <c r="I204" s="257"/>
    </row>
    <row r="205" spans="4:9">
      <c r="D205" s="267">
        <v>12201</v>
      </c>
      <c r="E205" s="211" t="s">
        <v>26</v>
      </c>
      <c r="F205" s="263" t="str">
        <f>IFERROR(IF(COUNTIF(Consolidado!$E$3:$E$358,'Range de Logins'!$D205)&gt;0,"Em uso","Livre"),"-")</f>
        <v>Livre</v>
      </c>
      <c r="G205" s="211" t="s">
        <v>1265</v>
      </c>
      <c r="H205" s="211" t="str">
        <f>IFERROR(VLOOKUP(D205,Consolidado!$E$3:$K$311,7,0),"")</f>
        <v/>
      </c>
      <c r="I205" s="257"/>
    </row>
    <row r="206" spans="4:9">
      <c r="D206" s="267">
        <v>12202</v>
      </c>
      <c r="E206" s="211" t="s">
        <v>26</v>
      </c>
      <c r="F206" s="263" t="str">
        <f>IFERROR(IF(COUNTIF(Consolidado!$E$3:$E$358,'Range de Logins'!$D206)&gt;0,"Em uso","Livre"),"-")</f>
        <v>Livre</v>
      </c>
      <c r="G206" s="211" t="s">
        <v>1265</v>
      </c>
      <c r="H206" s="211" t="str">
        <f>IFERROR(VLOOKUP(D206,Consolidado!$E$3:$K$311,7,0),"")</f>
        <v/>
      </c>
      <c r="I206" s="257"/>
    </row>
    <row r="207" spans="4:9">
      <c r="D207" s="267">
        <v>12204</v>
      </c>
      <c r="E207" s="211" t="s">
        <v>26</v>
      </c>
      <c r="F207" s="263" t="str">
        <f>IFERROR(IF(COUNTIF(Consolidado!$E$3:$E$358,'Range de Logins'!$D207)&gt;0,"Em uso","Livre"),"-")</f>
        <v>Livre</v>
      </c>
      <c r="G207" s="211" t="s">
        <v>1265</v>
      </c>
      <c r="H207" s="211" t="str">
        <f>IFERROR(VLOOKUP(D207,Consolidado!$E$3:$K$311,7,0),"")</f>
        <v/>
      </c>
      <c r="I207" s="257"/>
    </row>
    <row r="208" spans="4:9">
      <c r="D208" s="267">
        <v>12205</v>
      </c>
      <c r="E208" s="211" t="s">
        <v>26</v>
      </c>
      <c r="F208" s="263" t="str">
        <f>IFERROR(IF(COUNTIF(Consolidado!$E$3:$E$358,'Range de Logins'!$D208)&gt;0,"Em uso","Livre"),"-")</f>
        <v>Livre</v>
      </c>
      <c r="G208" s="211" t="s">
        <v>1265</v>
      </c>
      <c r="H208" s="211" t="str">
        <f>IFERROR(VLOOKUP(D208,Consolidado!$E$3:$K$311,7,0),"")</f>
        <v/>
      </c>
      <c r="I208" s="257"/>
    </row>
    <row r="209" spans="4:9">
      <c r="D209" s="267">
        <v>12206</v>
      </c>
      <c r="E209" s="211" t="s">
        <v>26</v>
      </c>
      <c r="F209" s="263" t="str">
        <f>IFERROR(IF(COUNTIF(Consolidado!$E$3:$E$358,'Range de Logins'!$D209)&gt;0,"Em uso","Livre"),"-")</f>
        <v>Livre</v>
      </c>
      <c r="G209" s="211" t="s">
        <v>1265</v>
      </c>
      <c r="H209" s="211" t="str">
        <f>IFERROR(VLOOKUP(D209,Consolidado!$E$3:$K$311,7,0),"")</f>
        <v/>
      </c>
      <c r="I209" s="257"/>
    </row>
    <row r="210" spans="4:9">
      <c r="D210" s="267">
        <v>12207</v>
      </c>
      <c r="E210" s="211" t="s">
        <v>26</v>
      </c>
      <c r="F210" s="263" t="str">
        <f>IFERROR(IF(COUNTIF(Consolidado!$E$3:$E$358,'Range de Logins'!$D210)&gt;0,"Em uso","Livre"),"-")</f>
        <v>Livre</v>
      </c>
      <c r="G210" s="211" t="s">
        <v>1265</v>
      </c>
      <c r="H210" s="211" t="str">
        <f>IFERROR(VLOOKUP(D210,Consolidado!$E$3:$K$311,7,0),"")</f>
        <v/>
      </c>
      <c r="I210" s="257"/>
    </row>
    <row r="211" spans="4:9">
      <c r="D211" s="267">
        <v>12209</v>
      </c>
      <c r="E211" s="211" t="s">
        <v>26</v>
      </c>
      <c r="F211" s="263" t="str">
        <f>IFERROR(IF(COUNTIF(Consolidado!$E$3:$E$358,'Range de Logins'!$D211)&gt;0,"Em uso","Livre"),"-")</f>
        <v>Livre</v>
      </c>
      <c r="G211" s="211" t="s">
        <v>1265</v>
      </c>
      <c r="H211" s="211" t="str">
        <f>IFERROR(VLOOKUP(D211,Consolidado!$E$3:$K$311,7,0),"")</f>
        <v/>
      </c>
      <c r="I211" s="257"/>
    </row>
    <row r="212" spans="4:9">
      <c r="D212" s="267">
        <v>12210</v>
      </c>
      <c r="E212" s="211" t="s">
        <v>26</v>
      </c>
      <c r="F212" s="263" t="str">
        <f>IFERROR(IF(COUNTIF(Consolidado!$E$3:$E$358,'Range de Logins'!$D212)&gt;0,"Em uso","Livre"),"-")</f>
        <v>Livre</v>
      </c>
      <c r="G212" s="211" t="s">
        <v>1265</v>
      </c>
      <c r="H212" s="211" t="str">
        <f>IFERROR(VLOOKUP(D212,Consolidado!$E$3:$K$311,7,0),"")</f>
        <v/>
      </c>
      <c r="I212" s="257"/>
    </row>
    <row r="213" spans="4:9">
      <c r="D213" s="267">
        <v>12212</v>
      </c>
      <c r="E213" s="211" t="s">
        <v>26</v>
      </c>
      <c r="F213" s="263" t="str">
        <f>IFERROR(IF(COUNTIF(Consolidado!$E$3:$E$358,'Range de Logins'!$D213)&gt;0,"Em uso","Livre"),"-")</f>
        <v>Livre</v>
      </c>
      <c r="G213" s="211" t="s">
        <v>1265</v>
      </c>
      <c r="H213" s="211" t="str">
        <f>IFERROR(VLOOKUP(D213,Consolidado!$E$3:$K$311,7,0),"")</f>
        <v/>
      </c>
      <c r="I213" s="257"/>
    </row>
    <row r="214" spans="4:9">
      <c r="D214" s="267">
        <v>12213</v>
      </c>
      <c r="E214" s="211" t="s">
        <v>26</v>
      </c>
      <c r="F214" s="263" t="str">
        <f>IFERROR(IF(COUNTIF(Consolidado!$E$3:$E$358,'Range de Logins'!$D214)&gt;0,"Em uso","Livre"),"-")</f>
        <v>Livre</v>
      </c>
      <c r="G214" s="211" t="s">
        <v>1265</v>
      </c>
      <c r="H214" s="211" t="str">
        <f>IFERROR(VLOOKUP(D214,Consolidado!$E$3:$K$311,7,0),"")</f>
        <v/>
      </c>
      <c r="I214" s="257"/>
    </row>
    <row r="215" spans="4:9">
      <c r="D215" s="267">
        <v>12214</v>
      </c>
      <c r="E215" s="211" t="s">
        <v>26</v>
      </c>
      <c r="F215" s="263" t="str">
        <f>IFERROR(IF(COUNTIF(Consolidado!$E$3:$E$358,'Range de Logins'!$D215)&gt;0,"Em uso","Livre"),"-")</f>
        <v>Livre</v>
      </c>
      <c r="G215" s="211" t="s">
        <v>1265</v>
      </c>
      <c r="H215" s="211" t="str">
        <f>IFERROR(VLOOKUP(D215,Consolidado!$E$3:$K$311,7,0),"")</f>
        <v/>
      </c>
      <c r="I215" s="257"/>
    </row>
    <row r="216" spans="4:9">
      <c r="D216" s="267">
        <v>12215</v>
      </c>
      <c r="E216" s="211" t="s">
        <v>26</v>
      </c>
      <c r="F216" s="263" t="str">
        <f>IFERROR(IF(COUNTIF(Consolidado!$E$3:$E$358,'Range de Logins'!$D216)&gt;0,"Em uso","Livre"),"-")</f>
        <v>Livre</v>
      </c>
      <c r="G216" s="211" t="s">
        <v>1265</v>
      </c>
      <c r="H216" s="211" t="str">
        <f>IFERROR(VLOOKUP(D216,Consolidado!$E$3:$K$311,7,0),"")</f>
        <v/>
      </c>
      <c r="I216" s="257"/>
    </row>
    <row r="217" spans="4:9">
      <c r="D217" s="267">
        <v>12218</v>
      </c>
      <c r="E217" s="211" t="s">
        <v>26</v>
      </c>
      <c r="F217" s="263" t="str">
        <f>IFERROR(IF(COUNTIF(Consolidado!$E$3:$E$358,'Range de Logins'!$D217)&gt;0,"Em uso","Livre"),"-")</f>
        <v>Livre</v>
      </c>
      <c r="G217" s="211" t="s">
        <v>1265</v>
      </c>
      <c r="H217" s="211" t="str">
        <f>IFERROR(VLOOKUP(D217,Consolidado!$E$3:$K$311,7,0),"")</f>
        <v/>
      </c>
      <c r="I217" s="257"/>
    </row>
    <row r="218" spans="4:9">
      <c r="D218" s="267">
        <v>12219</v>
      </c>
      <c r="E218" s="211" t="s">
        <v>26</v>
      </c>
      <c r="F218" s="263" t="str">
        <f>IFERROR(IF(COUNTIF(Consolidado!$E$3:$E$358,'Range de Logins'!$D218)&gt;0,"Em uso","Livre"),"-")</f>
        <v>Livre</v>
      </c>
      <c r="G218" s="211" t="s">
        <v>1265</v>
      </c>
      <c r="H218" s="211" t="str">
        <f>IFERROR(VLOOKUP(D218,Consolidado!$E$3:$K$311,7,0),"")</f>
        <v/>
      </c>
      <c r="I218" s="257"/>
    </row>
    <row r="219" spans="4:9">
      <c r="D219" s="267">
        <v>12220</v>
      </c>
      <c r="E219" s="211" t="s">
        <v>26</v>
      </c>
      <c r="F219" s="263" t="str">
        <f>IFERROR(IF(COUNTIF(Consolidado!$E$3:$E$358,'Range de Logins'!$D219)&gt;0,"Em uso","Livre"),"-")</f>
        <v>Livre</v>
      </c>
      <c r="G219" s="211" t="s">
        <v>1265</v>
      </c>
      <c r="H219" s="211" t="str">
        <f>IFERROR(VLOOKUP(D219,Consolidado!$E$3:$K$311,7,0),"")</f>
        <v/>
      </c>
      <c r="I219" s="257"/>
    </row>
    <row r="220" spans="4:9">
      <c r="D220" s="267">
        <v>12221</v>
      </c>
      <c r="E220" s="211" t="s">
        <v>26</v>
      </c>
      <c r="F220" s="263" t="str">
        <f>IFERROR(IF(COUNTIF(Consolidado!$E$3:$E$358,'Range de Logins'!$D220)&gt;0,"Em uso","Livre"),"-")</f>
        <v>Livre</v>
      </c>
      <c r="G220" s="211" t="s">
        <v>1265</v>
      </c>
      <c r="H220" s="211" t="str">
        <f>IFERROR(VLOOKUP(D220,Consolidado!$E$3:$K$311,7,0),"")</f>
        <v/>
      </c>
      <c r="I220" s="257"/>
    </row>
    <row r="221" spans="4:9">
      <c r="D221" s="267">
        <v>12222</v>
      </c>
      <c r="E221" s="211" t="s">
        <v>26</v>
      </c>
      <c r="F221" s="263" t="str">
        <f>IFERROR(IF(COUNTIF(Consolidado!$E$3:$E$358,'Range de Logins'!$D221)&gt;0,"Em uso","Livre"),"-")</f>
        <v>Livre</v>
      </c>
      <c r="G221" s="211" t="s">
        <v>1265</v>
      </c>
      <c r="H221" s="211" t="str">
        <f>IFERROR(VLOOKUP(D221,Consolidado!$E$3:$K$311,7,0),"")</f>
        <v/>
      </c>
      <c r="I221" s="257"/>
    </row>
    <row r="222" spans="4:9">
      <c r="D222" s="267">
        <v>12223</v>
      </c>
      <c r="E222" s="211" t="s">
        <v>26</v>
      </c>
      <c r="F222" s="263" t="str">
        <f>IFERROR(IF(COUNTIF(Consolidado!$E$3:$E$358,'Range de Logins'!$D222)&gt;0,"Em uso","Livre"),"-")</f>
        <v>Livre</v>
      </c>
      <c r="G222" s="211" t="s">
        <v>1265</v>
      </c>
      <c r="H222" s="211" t="str">
        <f>IFERROR(VLOOKUP(D222,Consolidado!$E$3:$K$311,7,0),"")</f>
        <v/>
      </c>
      <c r="I222" s="257"/>
    </row>
    <row r="223" spans="4:9">
      <c r="D223" s="267">
        <v>12224</v>
      </c>
      <c r="E223" s="211" t="s">
        <v>26</v>
      </c>
      <c r="F223" s="263" t="str">
        <f>IFERROR(IF(COUNTIF(Consolidado!$E$3:$E$358,'Range de Logins'!$D223)&gt;0,"Em uso","Livre"),"-")</f>
        <v>Livre</v>
      </c>
      <c r="G223" s="211" t="s">
        <v>1265</v>
      </c>
      <c r="H223" s="211" t="str">
        <f>IFERROR(VLOOKUP(D223,Consolidado!$E$3:$K$311,7,0),"")</f>
        <v/>
      </c>
      <c r="I223" s="257"/>
    </row>
    <row r="224" spans="4:9">
      <c r="D224" s="267">
        <v>12225</v>
      </c>
      <c r="E224" s="211" t="s">
        <v>26</v>
      </c>
      <c r="F224" s="263" t="str">
        <f>IFERROR(IF(COUNTIF(Consolidado!$E$3:$E$358,'Range de Logins'!$D224)&gt;0,"Em uso","Livre"),"-")</f>
        <v>Livre</v>
      </c>
      <c r="G224" s="211" t="s">
        <v>1265</v>
      </c>
      <c r="H224" s="211" t="str">
        <f>IFERROR(VLOOKUP(D224,Consolidado!$E$3:$K$311,7,0),"")</f>
        <v/>
      </c>
      <c r="I224" s="257"/>
    </row>
    <row r="225" spans="4:9">
      <c r="D225" s="267">
        <v>12226</v>
      </c>
      <c r="E225" s="211" t="s">
        <v>26</v>
      </c>
      <c r="F225" s="263" t="str">
        <f>IFERROR(IF(COUNTIF(Consolidado!$E$3:$E$358,'Range de Logins'!$D225)&gt;0,"Em uso","Livre"),"-")</f>
        <v>Livre</v>
      </c>
      <c r="G225" s="211" t="s">
        <v>1265</v>
      </c>
      <c r="H225" s="211" t="str">
        <f>IFERROR(VLOOKUP(D225,Consolidado!$E$3:$K$311,7,0),"")</f>
        <v/>
      </c>
      <c r="I225" s="257"/>
    </row>
    <row r="226" spans="4:9">
      <c r="D226" s="267">
        <v>12228</v>
      </c>
      <c r="E226" s="211" t="s">
        <v>26</v>
      </c>
      <c r="F226" s="263" t="str">
        <f>IFERROR(IF(COUNTIF(Consolidado!$E$3:$E$358,'Range de Logins'!$D226)&gt;0,"Em uso","Livre"),"-")</f>
        <v>Livre</v>
      </c>
      <c r="G226" s="211" t="s">
        <v>1265</v>
      </c>
      <c r="H226" s="211" t="str">
        <f>IFERROR(VLOOKUP(D226,Consolidado!$E$3:$K$311,7,0),"")</f>
        <v/>
      </c>
      <c r="I226" s="257"/>
    </row>
    <row r="227" spans="4:9">
      <c r="D227" s="267">
        <v>12229</v>
      </c>
      <c r="E227" s="211" t="s">
        <v>26</v>
      </c>
      <c r="F227" s="263" t="str">
        <f>IFERROR(IF(COUNTIF(Consolidado!$E$3:$E$358,'Range de Logins'!$D227)&gt;0,"Em uso","Livre"),"-")</f>
        <v>Livre</v>
      </c>
      <c r="G227" s="211" t="s">
        <v>1265</v>
      </c>
      <c r="H227" s="211" t="str">
        <f>IFERROR(VLOOKUP(D227,Consolidado!$E$3:$K$311,7,0),"")</f>
        <v/>
      </c>
      <c r="I227" s="257"/>
    </row>
    <row r="228" spans="4:9">
      <c r="D228" s="267">
        <v>12230</v>
      </c>
      <c r="E228" s="211" t="s">
        <v>26</v>
      </c>
      <c r="F228" s="263" t="str">
        <f>IFERROR(IF(COUNTIF(Consolidado!$E$3:$E$358,'Range de Logins'!$D228)&gt;0,"Em uso","Livre"),"-")</f>
        <v>Livre</v>
      </c>
      <c r="G228" s="211" t="s">
        <v>1265</v>
      </c>
      <c r="H228" s="211" t="str">
        <f>IFERROR(VLOOKUP(D228,Consolidado!$E$3:$K$311,7,0),"")</f>
        <v/>
      </c>
      <c r="I228" s="257"/>
    </row>
    <row r="229" spans="4:9">
      <c r="D229" s="267">
        <v>12231</v>
      </c>
      <c r="E229" s="211" t="s">
        <v>26</v>
      </c>
      <c r="F229" s="263" t="str">
        <f>IFERROR(IF(COUNTIF(Consolidado!$E$3:$E$358,'Range de Logins'!$D229)&gt;0,"Em uso","Livre"),"-")</f>
        <v>Livre</v>
      </c>
      <c r="G229" s="211" t="s">
        <v>1265</v>
      </c>
      <c r="H229" s="211" t="str">
        <f>IFERROR(VLOOKUP(D229,Consolidado!$E$3:$K$311,7,0),"")</f>
        <v/>
      </c>
      <c r="I229" s="257"/>
    </row>
    <row r="230" spans="4:9">
      <c r="D230" s="267">
        <v>12233</v>
      </c>
      <c r="E230" s="211">
        <v>240334</v>
      </c>
      <c r="F230" s="263" t="str">
        <f>IFERROR(IF(COUNTIF(Consolidado!$E$3:$E$358,'Range de Logins'!$D230)&gt;0,"Em uso","Livre"),"-")</f>
        <v>Livre</v>
      </c>
      <c r="G230" s="211" t="s">
        <v>1065</v>
      </c>
      <c r="H230" s="211" t="str">
        <f>IFERROR(VLOOKUP(D230,Consolidado!$E$3:$K$311,7,0),"")</f>
        <v/>
      </c>
      <c r="I230" s="257"/>
    </row>
    <row r="231" spans="4:9">
      <c r="D231" s="267">
        <v>12234</v>
      </c>
      <c r="E231" s="211" t="s">
        <v>26</v>
      </c>
      <c r="F231" s="263" t="str">
        <f>IFERROR(IF(COUNTIF(Consolidado!$E$3:$E$358,'Range de Logins'!$D231)&gt;0,"Em uso","Livre"),"-")</f>
        <v>Livre</v>
      </c>
      <c r="G231" s="211" t="s">
        <v>1265</v>
      </c>
      <c r="H231" s="211" t="str">
        <f>IFERROR(VLOOKUP(D231,Consolidado!$E$3:$K$311,7,0),"")</f>
        <v/>
      </c>
      <c r="I231" s="257"/>
    </row>
    <row r="232" spans="4:9">
      <c r="D232" s="267">
        <v>12235</v>
      </c>
      <c r="E232" s="211" t="s">
        <v>26</v>
      </c>
      <c r="F232" s="263" t="str">
        <f>IFERROR(IF(COUNTIF(Consolidado!$E$3:$E$358,'Range de Logins'!$D232)&gt;0,"Em uso","Livre"),"-")</f>
        <v>Livre</v>
      </c>
      <c r="G232" s="211" t="s">
        <v>1265</v>
      </c>
      <c r="H232" s="211" t="str">
        <f>IFERROR(VLOOKUP(D232,Consolidado!$E$3:$K$311,7,0),"")</f>
        <v/>
      </c>
      <c r="I232" s="257"/>
    </row>
    <row r="233" spans="4:9">
      <c r="D233" s="267">
        <v>12236</v>
      </c>
      <c r="E233" s="211">
        <v>876657</v>
      </c>
      <c r="F233" s="263" t="str">
        <f>IFERROR(IF(COUNTIF(Consolidado!$E$3:$E$358,'Range de Logins'!$D233)&gt;0,"Em uso","Livre"),"-")</f>
        <v>Livre</v>
      </c>
      <c r="G233" s="211" t="s">
        <v>1065</v>
      </c>
      <c r="H233" s="211" t="str">
        <f>IFERROR(VLOOKUP(D233,Consolidado!$E$3:$K$311,7,0),"")</f>
        <v/>
      </c>
      <c r="I233" s="257"/>
    </row>
    <row r="234" spans="4:9">
      <c r="D234" s="267">
        <v>12237</v>
      </c>
      <c r="E234" s="211" t="s">
        <v>26</v>
      </c>
      <c r="F234" s="263" t="str">
        <f>IFERROR(IF(COUNTIF(Consolidado!$E$3:$E$358,'Range de Logins'!$D234)&gt;0,"Em uso","Livre"),"-")</f>
        <v>Livre</v>
      </c>
      <c r="G234" s="211" t="s">
        <v>1265</v>
      </c>
      <c r="H234" s="211" t="str">
        <f>IFERROR(VLOOKUP(D234,Consolidado!$E$3:$K$311,7,0),"")</f>
        <v/>
      </c>
      <c r="I234" s="257"/>
    </row>
    <row r="235" spans="4:9">
      <c r="D235" s="267">
        <v>12238</v>
      </c>
      <c r="E235" s="211" t="s">
        <v>26</v>
      </c>
      <c r="F235" s="263" t="str">
        <f>IFERROR(IF(COUNTIF(Consolidado!$E$3:$E$358,'Range de Logins'!$D235)&gt;0,"Em uso","Livre"),"-")</f>
        <v>Livre</v>
      </c>
      <c r="G235" s="211" t="s">
        <v>1265</v>
      </c>
      <c r="H235" s="211" t="str">
        <f>IFERROR(VLOOKUP(D235,Consolidado!$E$3:$K$311,7,0),"")</f>
        <v/>
      </c>
      <c r="I235" s="257"/>
    </row>
    <row r="236" spans="4:9">
      <c r="D236" s="267">
        <v>12239</v>
      </c>
      <c r="E236" s="211" t="s">
        <v>26</v>
      </c>
      <c r="F236" s="263" t="str">
        <f>IFERROR(IF(COUNTIF(Consolidado!$E$3:$E$358,'Range de Logins'!$D236)&gt;0,"Em uso","Livre"),"-")</f>
        <v>Livre</v>
      </c>
      <c r="G236" s="211" t="s">
        <v>1265</v>
      </c>
      <c r="H236" s="211" t="str">
        <f>IFERROR(VLOOKUP(D236,Consolidado!$E$3:$K$311,7,0),"")</f>
        <v/>
      </c>
      <c r="I236" s="257"/>
    </row>
    <row r="237" spans="4:9">
      <c r="D237" s="267">
        <v>12240</v>
      </c>
      <c r="E237" s="211" t="s">
        <v>26</v>
      </c>
      <c r="F237" s="263" t="str">
        <f>IFERROR(IF(COUNTIF(Consolidado!$E$3:$E$358,'Range de Logins'!$D237)&gt;0,"Em uso","Livre"),"-")</f>
        <v>Livre</v>
      </c>
      <c r="G237" s="211" t="s">
        <v>1265</v>
      </c>
      <c r="H237" s="211" t="str">
        <f>IFERROR(VLOOKUP(D237,Consolidado!$E$3:$K$311,7,0),"")</f>
        <v/>
      </c>
      <c r="I237" s="257"/>
    </row>
    <row r="238" spans="4:9">
      <c r="D238" s="267">
        <v>12241</v>
      </c>
      <c r="E238" s="211" t="s">
        <v>26</v>
      </c>
      <c r="F238" s="263" t="str">
        <f>IFERROR(IF(COUNTIF(Consolidado!$E$3:$E$358,'Range de Logins'!$D238)&gt;0,"Em uso","Livre"),"-")</f>
        <v>Livre</v>
      </c>
      <c r="G238" s="211" t="s">
        <v>1265</v>
      </c>
      <c r="H238" s="211" t="str">
        <f>IFERROR(VLOOKUP(D238,Consolidado!$E$3:$K$311,7,0),"")</f>
        <v/>
      </c>
      <c r="I238" s="257"/>
    </row>
    <row r="239" spans="4:9">
      <c r="D239" s="267">
        <v>12242</v>
      </c>
      <c r="E239" s="211" t="s">
        <v>26</v>
      </c>
      <c r="F239" s="263" t="str">
        <f>IFERROR(IF(COUNTIF(Consolidado!$E$3:$E$358,'Range de Logins'!$D239)&gt;0,"Em uso","Livre"),"-")</f>
        <v>Livre</v>
      </c>
      <c r="G239" s="211" t="s">
        <v>1265</v>
      </c>
      <c r="H239" s="211" t="str">
        <f>IFERROR(VLOOKUP(D239,Consolidado!$E$3:$K$311,7,0),"")</f>
        <v/>
      </c>
      <c r="I239" s="257"/>
    </row>
    <row r="240" spans="4:9">
      <c r="D240" s="267">
        <v>12266</v>
      </c>
      <c r="E240" s="211"/>
      <c r="F240" s="263" t="str">
        <f>IFERROR(IF(COUNTIF(Consolidado!$E$3:$E$358,'Range de Logins'!$D240)&gt;0,"Em uso","Livre"),"-")</f>
        <v>Livre</v>
      </c>
      <c r="G240" s="211" t="s">
        <v>1265</v>
      </c>
      <c r="H240" s="211" t="str">
        <f>IFERROR(VLOOKUP(D240,Consolidado!$E$3:$K$311,7,0),"")</f>
        <v/>
      </c>
      <c r="I240" s="257"/>
    </row>
    <row r="241" spans="4:9">
      <c r="D241" s="267">
        <v>12243</v>
      </c>
      <c r="E241" s="211" t="s">
        <v>26</v>
      </c>
      <c r="F241" s="263" t="str">
        <f>IFERROR(IF(COUNTIF(Consolidado!$E$3:$E$358,'Range de Logins'!$D241)&gt;0,"Em uso","Livre"),"-")</f>
        <v>Livre</v>
      </c>
      <c r="G241" s="211" t="s">
        <v>1265</v>
      </c>
      <c r="H241" s="211" t="str">
        <f>IFERROR(VLOOKUP(D241,Consolidado!$E$3:$K$311,7,0),"")</f>
        <v/>
      </c>
      <c r="I241" s="257"/>
    </row>
    <row r="242" spans="4:9">
      <c r="D242" s="267">
        <v>12244</v>
      </c>
      <c r="E242" s="211">
        <v>834091</v>
      </c>
      <c r="F242" s="263" t="str">
        <f>IFERROR(IF(COUNTIF(Consolidado!$E$3:$E$358,'Range de Logins'!$D242)&gt;0,"Em uso","Livre"),"-")</f>
        <v>Livre</v>
      </c>
      <c r="G242" s="211" t="s">
        <v>1065</v>
      </c>
      <c r="H242" s="211" t="str">
        <f>IFERROR(VLOOKUP(D242,Consolidado!$E$3:$K$311,7,0),"")</f>
        <v/>
      </c>
      <c r="I242" s="257"/>
    </row>
    <row r="243" spans="4:9">
      <c r="D243" s="267">
        <v>12245</v>
      </c>
      <c r="E243" s="211">
        <v>677035</v>
      </c>
      <c r="F243" s="263" t="str">
        <f>IFERROR(IF(COUNTIF(Consolidado!$E$3:$E$358,'Range de Logins'!$D243)&gt;0,"Em uso","Livre"),"-")</f>
        <v>Livre</v>
      </c>
      <c r="G243" s="211" t="s">
        <v>1065</v>
      </c>
      <c r="H243" s="211" t="str">
        <f>IFERROR(VLOOKUP(D243,Consolidado!$E$3:$K$311,7,0),"")</f>
        <v/>
      </c>
      <c r="I243" s="257"/>
    </row>
    <row r="244" spans="4:9">
      <c r="D244" s="267">
        <v>12271</v>
      </c>
      <c r="E244" s="211" t="s">
        <v>26</v>
      </c>
      <c r="F244" s="263" t="str">
        <f>IFERROR(IF(COUNTIF(Consolidado!$E$3:$E$358,'Range de Logins'!$D244)&gt;0,"Em uso","Livre"),"-")</f>
        <v>Livre</v>
      </c>
      <c r="G244" s="211" t="s">
        <v>1265</v>
      </c>
      <c r="H244" s="211" t="str">
        <f>IFERROR(VLOOKUP(D244,Consolidado!$E$3:$K$311,7,0),"")</f>
        <v/>
      </c>
      <c r="I244" s="257"/>
    </row>
    <row r="245" spans="4:9">
      <c r="D245" s="267">
        <v>12273</v>
      </c>
      <c r="E245" s="211" t="s">
        <v>26</v>
      </c>
      <c r="F245" s="263" t="str">
        <f>IFERROR(IF(COUNTIF(Consolidado!$E$3:$E$358,'Range de Logins'!$D245)&gt;0,"Em uso","Livre"),"-")</f>
        <v>Livre</v>
      </c>
      <c r="G245" s="211" t="s">
        <v>1265</v>
      </c>
      <c r="H245" s="211" t="str">
        <f>IFERROR(VLOOKUP(D245,Consolidado!$E$3:$K$311,7,0),"")</f>
        <v/>
      </c>
      <c r="I245" s="257"/>
    </row>
    <row r="246" spans="4:9">
      <c r="D246" s="267">
        <v>12275</v>
      </c>
      <c r="E246" s="211" t="s">
        <v>26</v>
      </c>
      <c r="F246" s="263" t="str">
        <f>IFERROR(IF(COUNTIF(Consolidado!$E$3:$E$358,'Range de Logins'!$D246)&gt;0,"Em uso","Livre"),"-")</f>
        <v>Em uso</v>
      </c>
      <c r="G246" s="211" t="s">
        <v>1265</v>
      </c>
      <c r="H246" s="211" t="str">
        <f>IFERROR(VLOOKUP(D246,Consolidado!$E$3:$K$311,7,0),"")</f>
        <v>IPG</v>
      </c>
      <c r="I246" s="257"/>
    </row>
    <row r="247" spans="4:9">
      <c r="D247" s="267">
        <v>12246</v>
      </c>
      <c r="E247" s="211" t="s">
        <v>26</v>
      </c>
      <c r="F247" s="263" t="str">
        <f>IFERROR(IF(COUNTIF(Consolidado!$E$3:$E$358,'Range de Logins'!$D247)&gt;0,"Em uso","Livre"),"-")</f>
        <v>Livre</v>
      </c>
      <c r="G247" s="211" t="s">
        <v>1265</v>
      </c>
      <c r="H247" s="211" t="str">
        <f>IFERROR(VLOOKUP(D247,Consolidado!$E$3:$K$311,7,0),"")</f>
        <v/>
      </c>
      <c r="I247" s="257"/>
    </row>
    <row r="248" spans="4:9">
      <c r="D248" s="267">
        <v>12277</v>
      </c>
      <c r="E248" s="211" t="s">
        <v>26</v>
      </c>
      <c r="F248" s="263" t="str">
        <f>IFERROR(IF(COUNTIF(Consolidado!$E$3:$E$358,'Range de Logins'!$D248)&gt;0,"Em uso","Livre"),"-")</f>
        <v>Livre</v>
      </c>
      <c r="G248" s="211" t="s">
        <v>1265</v>
      </c>
      <c r="H248" s="211" t="str">
        <f>IFERROR(VLOOKUP(D248,Consolidado!$E$3:$K$311,7,0),"")</f>
        <v/>
      </c>
      <c r="I248" s="257"/>
    </row>
    <row r="249" spans="4:9">
      <c r="D249" s="267">
        <v>12278</v>
      </c>
      <c r="E249" s="211" t="s">
        <v>26</v>
      </c>
      <c r="F249" s="263" t="str">
        <f>IFERROR(IF(COUNTIF(Consolidado!$E$3:$E$358,'Range de Logins'!$D249)&gt;0,"Em uso","Livre"),"-")</f>
        <v>Em uso</v>
      </c>
      <c r="G249" s="211" t="s">
        <v>1265</v>
      </c>
      <c r="H249" s="211" t="str">
        <f>IFERROR(VLOOKUP(D249,Consolidado!$E$3:$K$311,7,0),"")</f>
        <v>FUPOTECH</v>
      </c>
      <c r="I249" s="257"/>
    </row>
    <row r="250" spans="4:9">
      <c r="D250" s="267">
        <v>12247</v>
      </c>
      <c r="E250" s="211" t="s">
        <v>26</v>
      </c>
      <c r="F250" s="263" t="str">
        <f>IFERROR(IF(COUNTIF(Consolidado!$E$3:$E$358,'Range de Logins'!$D250)&gt;0,"Em uso","Livre"),"-")</f>
        <v>Livre</v>
      </c>
      <c r="G250" s="211" t="s">
        <v>1265</v>
      </c>
      <c r="H250" s="211" t="str">
        <f>IFERROR(VLOOKUP(D250,Consolidado!$E$3:$K$311,7,0),"")</f>
        <v/>
      </c>
      <c r="I250" s="257"/>
    </row>
    <row r="251" spans="4:9">
      <c r="D251" s="267">
        <v>12281</v>
      </c>
      <c r="E251" s="211" t="s">
        <v>26</v>
      </c>
      <c r="F251" s="263" t="str">
        <f>IFERROR(IF(COUNTIF(Consolidado!$E$3:$E$358,'Range de Logins'!$D251)&gt;0,"Em uso","Livre"),"-")</f>
        <v>Livre</v>
      </c>
      <c r="G251" s="211" t="s">
        <v>1265</v>
      </c>
      <c r="H251" s="211" t="str">
        <f>IFERROR(VLOOKUP(D251,Consolidado!$E$3:$K$311,7,0),"")</f>
        <v/>
      </c>
      <c r="I251" s="257"/>
    </row>
    <row r="252" spans="4:9">
      <c r="D252" s="267">
        <v>12283</v>
      </c>
      <c r="E252" s="211" t="s">
        <v>26</v>
      </c>
      <c r="F252" s="263" t="str">
        <f>IFERROR(IF(COUNTIF(Consolidado!$E$3:$E$358,'Range de Logins'!$D252)&gt;0,"Em uso","Livre"),"-")</f>
        <v>Livre</v>
      </c>
      <c r="G252" s="211" t="s">
        <v>1265</v>
      </c>
      <c r="H252" s="211" t="str">
        <f>IFERROR(VLOOKUP(D252,Consolidado!$E$3:$K$311,7,0),"")</f>
        <v/>
      </c>
      <c r="I252" s="257"/>
    </row>
    <row r="253" spans="4:9">
      <c r="D253" s="267">
        <v>12248</v>
      </c>
      <c r="E253" s="211" t="s">
        <v>26</v>
      </c>
      <c r="F253" s="263" t="str">
        <f>IFERROR(IF(COUNTIF(Consolidado!$E$3:$E$358,'Range de Logins'!$D253)&gt;0,"Em uso","Livre"),"-")</f>
        <v>Livre</v>
      </c>
      <c r="G253" s="211" t="s">
        <v>1265</v>
      </c>
      <c r="H253" s="211" t="str">
        <f>IFERROR(VLOOKUP(D253,Consolidado!$E$3:$K$311,7,0),"")</f>
        <v/>
      </c>
      <c r="I253" s="257"/>
    </row>
    <row r="254" spans="4:9">
      <c r="D254" s="267">
        <v>12285</v>
      </c>
      <c r="E254" s="211" t="s">
        <v>26</v>
      </c>
      <c r="F254" s="263" t="str">
        <f>IFERROR(IF(COUNTIF(Consolidado!$E$3:$E$358,'Range de Logins'!$D254)&gt;0,"Em uso","Livre"),"-")</f>
        <v>Em uso</v>
      </c>
      <c r="G254" s="211" t="s">
        <v>1265</v>
      </c>
      <c r="H254" s="211" t="str">
        <f>IFERROR(VLOOKUP(D254,Consolidado!$E$3:$K$311,7,0),"")</f>
        <v>IPG</v>
      </c>
      <c r="I254" s="257"/>
    </row>
    <row r="255" spans="4:9">
      <c r="D255" s="267">
        <v>12249</v>
      </c>
      <c r="E255" s="211" t="s">
        <v>26</v>
      </c>
      <c r="F255" s="263" t="str">
        <f>IFERROR(IF(COUNTIF(Consolidado!$E$3:$E$358,'Range de Logins'!$D255)&gt;0,"Em uso","Livre"),"-")</f>
        <v>Livre</v>
      </c>
      <c r="G255" s="211" t="s">
        <v>1265</v>
      </c>
      <c r="H255" s="211" t="str">
        <f>IFERROR(VLOOKUP(D255,Consolidado!$E$3:$K$311,7,0),"")</f>
        <v/>
      </c>
      <c r="I255" s="257"/>
    </row>
    <row r="256" spans="4:9">
      <c r="D256" s="267">
        <v>12250</v>
      </c>
      <c r="E256" s="211" t="s">
        <v>26</v>
      </c>
      <c r="F256" s="263" t="str">
        <f>IFERROR(IF(COUNTIF(Consolidado!$E$3:$E$358,'Range de Logins'!$D256)&gt;0,"Em uso","Livre"),"-")</f>
        <v>Livre</v>
      </c>
      <c r="G256" s="211" t="s">
        <v>1265</v>
      </c>
      <c r="H256" s="211" t="str">
        <f>IFERROR(VLOOKUP(D256,Consolidado!$E$3:$K$311,7,0),"")</f>
        <v/>
      </c>
      <c r="I256" s="257"/>
    </row>
    <row r="257" spans="4:9">
      <c r="D257" s="267">
        <v>12251</v>
      </c>
      <c r="E257" s="211" t="s">
        <v>26</v>
      </c>
      <c r="F257" s="263" t="str">
        <f>IFERROR(IF(COUNTIF(Consolidado!$E$3:$E$358,'Range de Logins'!$D257)&gt;0,"Em uso","Livre"),"-")</f>
        <v>Livre</v>
      </c>
      <c r="G257" s="211" t="s">
        <v>1265</v>
      </c>
      <c r="H257" s="211" t="str">
        <f>IFERROR(VLOOKUP(D257,Consolidado!$E$3:$K$311,7,0),"")</f>
        <v/>
      </c>
      <c r="I257" s="257"/>
    </row>
    <row r="258" spans="4:9">
      <c r="D258" s="267">
        <v>12289</v>
      </c>
      <c r="E258" s="211" t="s">
        <v>26</v>
      </c>
      <c r="F258" s="263" t="str">
        <f>IFERROR(IF(COUNTIF(Consolidado!$E$3:$E$358,'Range de Logins'!$D258)&gt;0,"Em uso","Livre"),"-")</f>
        <v>Em uso</v>
      </c>
      <c r="G258" s="211" t="s">
        <v>1265</v>
      </c>
      <c r="H258" s="211" t="str">
        <f>IFERROR(VLOOKUP(D258,Consolidado!$E$3:$K$311,7,0),"")</f>
        <v>IPG</v>
      </c>
      <c r="I258" s="257"/>
    </row>
    <row r="259" spans="4:9">
      <c r="D259" s="267">
        <v>12290</v>
      </c>
      <c r="E259" s="211">
        <v>0</v>
      </c>
      <c r="F259" s="263" t="str">
        <f>IFERROR(IF(COUNTIF(Consolidado!$E$3:$E$358,'Range de Logins'!$D259)&gt;0,"Em uso","Livre"),"-")</f>
        <v>Em uso</v>
      </c>
      <c r="G259" s="211" t="s">
        <v>1265</v>
      </c>
      <c r="H259" s="211" t="str">
        <f>IFERROR(VLOOKUP(D259,Consolidado!$E$3:$K$311,7,0),"")</f>
        <v>PSG</v>
      </c>
      <c r="I259" s="257"/>
    </row>
    <row r="260" spans="4:9">
      <c r="D260" s="267">
        <v>12252</v>
      </c>
      <c r="E260" s="211" t="s">
        <v>26</v>
      </c>
      <c r="F260" s="263" t="str">
        <f>IFERROR(IF(COUNTIF(Consolidado!$E$3:$E$358,'Range de Logins'!$D260)&gt;0,"Em uso","Livre"),"-")</f>
        <v>Livre</v>
      </c>
      <c r="G260" s="211" t="s">
        <v>1265</v>
      </c>
      <c r="H260" s="211" t="str">
        <f>IFERROR(VLOOKUP(D260,Consolidado!$E$3:$K$311,7,0),"")</f>
        <v/>
      </c>
      <c r="I260" s="257"/>
    </row>
    <row r="261" spans="4:9">
      <c r="D261" s="267">
        <v>12253</v>
      </c>
      <c r="E261" s="211" t="s">
        <v>26</v>
      </c>
      <c r="F261" s="263" t="str">
        <f>IFERROR(IF(COUNTIF(Consolidado!$E$3:$E$358,'Range de Logins'!$D261)&gt;0,"Em uso","Livre"),"-")</f>
        <v>Livre</v>
      </c>
      <c r="G261" s="211" t="s">
        <v>1265</v>
      </c>
      <c r="H261" s="211" t="str">
        <f>IFERROR(VLOOKUP(D261,Consolidado!$E$3:$K$311,7,0),"")</f>
        <v/>
      </c>
      <c r="I261" s="257"/>
    </row>
    <row r="262" spans="4:9">
      <c r="D262" s="267">
        <v>12254</v>
      </c>
      <c r="E262" s="211" t="s">
        <v>26</v>
      </c>
      <c r="F262" s="263" t="str">
        <f>IFERROR(IF(COUNTIF(Consolidado!$E$3:$E$358,'Range de Logins'!$D262)&gt;0,"Em uso","Livre"),"-")</f>
        <v>Livre</v>
      </c>
      <c r="G262" s="211" t="s">
        <v>1265</v>
      </c>
      <c r="H262" s="211" t="str">
        <f>IFERROR(VLOOKUP(D262,Consolidado!$E$3:$K$311,7,0),"")</f>
        <v/>
      </c>
      <c r="I262" s="257"/>
    </row>
    <row r="263" spans="4:9">
      <c r="D263" s="267">
        <v>12295</v>
      </c>
      <c r="E263" s="211" t="s">
        <v>26</v>
      </c>
      <c r="F263" s="263" t="str">
        <f>IFERROR(IF(COUNTIF(Consolidado!$E$3:$E$358,'Range de Logins'!$D263)&gt;0,"Em uso","Livre"),"-")</f>
        <v>Em uso</v>
      </c>
      <c r="G263" s="211" t="s">
        <v>1065</v>
      </c>
      <c r="H263" s="211" t="str">
        <f>IFERROR(VLOOKUP(D263,Consolidado!$E$3:$K$311,7,0),"")</f>
        <v>PSG</v>
      </c>
      <c r="I263" s="257"/>
    </row>
    <row r="264" spans="4:9">
      <c r="D264" s="267">
        <v>12255</v>
      </c>
      <c r="E264" s="211" t="s">
        <v>26</v>
      </c>
      <c r="F264" s="263" t="str">
        <f>IFERROR(IF(COUNTIF(Consolidado!$E$3:$E$358,'Range de Logins'!$D264)&gt;0,"Em uso","Livre"),"-")</f>
        <v>Livre</v>
      </c>
      <c r="G264" s="211" t="s">
        <v>1265</v>
      </c>
      <c r="H264" s="211" t="str">
        <f>IFERROR(VLOOKUP(D264,Consolidado!$E$3:$K$311,7,0),"")</f>
        <v/>
      </c>
      <c r="I264" s="257"/>
    </row>
    <row r="265" spans="4:9">
      <c r="D265" s="267">
        <v>12256</v>
      </c>
      <c r="E265" s="211" t="s">
        <v>26</v>
      </c>
      <c r="F265" s="263" t="str">
        <f>IFERROR(IF(COUNTIF(Consolidado!$E$3:$E$358,'Range de Logins'!$D265)&gt;0,"Em uso","Livre"),"-")</f>
        <v>Livre</v>
      </c>
      <c r="G265" s="211" t="s">
        <v>1265</v>
      </c>
      <c r="H265" s="211" t="str">
        <f>IFERROR(VLOOKUP(D265,Consolidado!$E$3:$K$311,7,0),"")</f>
        <v/>
      </c>
      <c r="I265" s="257"/>
    </row>
    <row r="266" spans="4:9">
      <c r="D266" s="267">
        <v>12257</v>
      </c>
      <c r="E266" s="211" t="s">
        <v>26</v>
      </c>
      <c r="F266" s="263" t="str">
        <f>IFERROR(IF(COUNTIF(Consolidado!$E$3:$E$358,'Range de Logins'!$D266)&gt;0,"Em uso","Livre"),"-")</f>
        <v>Livre</v>
      </c>
      <c r="G266" s="211" t="s">
        <v>1265</v>
      </c>
      <c r="H266" s="211" t="str">
        <f>IFERROR(VLOOKUP(D266,Consolidado!$E$3:$K$311,7,0),"")</f>
        <v/>
      </c>
      <c r="I266" s="257"/>
    </row>
    <row r="267" spans="4:9">
      <c r="D267" s="267">
        <v>12258</v>
      </c>
      <c r="E267" s="211" t="s">
        <v>26</v>
      </c>
      <c r="F267" s="263" t="str">
        <f>IFERROR(IF(COUNTIF(Consolidado!$E$3:$E$358,'Range de Logins'!$D267)&gt;0,"Em uso","Livre"),"-")</f>
        <v>Livre</v>
      </c>
      <c r="G267" s="211" t="s">
        <v>1265</v>
      </c>
      <c r="H267" s="211" t="str">
        <f>IFERROR(VLOOKUP(D267,Consolidado!$E$3:$K$311,7,0),"")</f>
        <v/>
      </c>
      <c r="I267" s="257"/>
    </row>
    <row r="268" spans="4:9">
      <c r="D268" s="267">
        <v>12303</v>
      </c>
      <c r="E268" s="211" t="s">
        <v>26</v>
      </c>
      <c r="F268" s="263" t="str">
        <f>IFERROR(IF(COUNTIF(Consolidado!$E$3:$E$358,'Range de Logins'!$D268)&gt;0,"Em uso","Livre"),"-")</f>
        <v>Em uso</v>
      </c>
      <c r="G268" s="211" t="s">
        <v>1065</v>
      </c>
      <c r="H268" s="211" t="str">
        <f>IFERROR(VLOOKUP(D268,Consolidado!$E$3:$K$311,7,0),"")</f>
        <v>PSG</v>
      </c>
      <c r="I268" s="257"/>
    </row>
    <row r="269" spans="4:9">
      <c r="D269" s="267">
        <v>12260</v>
      </c>
      <c r="E269" s="211" t="s">
        <v>26</v>
      </c>
      <c r="F269" s="263" t="str">
        <f>IFERROR(IF(COUNTIF(Consolidado!$E$3:$E$358,'Range de Logins'!$D269)&gt;0,"Em uso","Livre"),"-")</f>
        <v>Livre</v>
      </c>
      <c r="G269" s="211" t="s">
        <v>1265</v>
      </c>
      <c r="H269" s="211" t="str">
        <f>IFERROR(VLOOKUP(D269,Consolidado!$E$3:$K$311,7,0),"")</f>
        <v/>
      </c>
      <c r="I269" s="257"/>
    </row>
    <row r="270" spans="4:9">
      <c r="D270" s="267">
        <v>12306</v>
      </c>
      <c r="E270" s="211" t="s">
        <v>26</v>
      </c>
      <c r="F270" s="263" t="str">
        <f>IFERROR(IF(COUNTIF(Consolidado!$E$3:$E$358,'Range de Logins'!$D270)&gt;0,"Em uso","Livre"),"-")</f>
        <v>Livre</v>
      </c>
      <c r="G270" s="211" t="s">
        <v>1265</v>
      </c>
      <c r="H270" s="211" t="str">
        <f>IFERROR(VLOOKUP(D270,Consolidado!$E$3:$K$311,7,0),"")</f>
        <v/>
      </c>
      <c r="I270" s="257"/>
    </row>
    <row r="271" spans="4:9">
      <c r="D271" s="267">
        <v>12261</v>
      </c>
      <c r="E271" s="211" t="s">
        <v>26</v>
      </c>
      <c r="F271" s="263" t="str">
        <f>IFERROR(IF(COUNTIF(Consolidado!$E$3:$E$358,'Range de Logins'!$D271)&gt;0,"Em uso","Livre"),"-")</f>
        <v>Livre</v>
      </c>
      <c r="G271" s="211" t="s">
        <v>1265</v>
      </c>
      <c r="H271" s="211" t="str">
        <f>IFERROR(VLOOKUP(D271,Consolidado!$E$3:$K$311,7,0),"")</f>
        <v/>
      </c>
      <c r="I271" s="257"/>
    </row>
    <row r="272" spans="4:9">
      <c r="D272" s="267">
        <v>12262</v>
      </c>
      <c r="E272" s="211" t="s">
        <v>26</v>
      </c>
      <c r="F272" s="263" t="str">
        <f>IFERROR(IF(COUNTIF(Consolidado!$E$3:$E$358,'Range de Logins'!$D272)&gt;0,"Em uso","Livre"),"-")</f>
        <v>Livre</v>
      </c>
      <c r="G272" s="211" t="s">
        <v>1265</v>
      </c>
      <c r="H272" s="211" t="str">
        <f>IFERROR(VLOOKUP(D272,Consolidado!$E$3:$K$311,7,0),"")</f>
        <v/>
      </c>
      <c r="I272" s="257"/>
    </row>
    <row r="273" spans="4:9">
      <c r="D273" s="267">
        <v>12263</v>
      </c>
      <c r="E273" s="211" t="s">
        <v>26</v>
      </c>
      <c r="F273" s="263" t="str">
        <f>IFERROR(IF(COUNTIF(Consolidado!$E$3:$E$358,'Range de Logins'!$D273)&gt;0,"Em uso","Livre"),"-")</f>
        <v>Livre</v>
      </c>
      <c r="G273" s="211" t="s">
        <v>1265</v>
      </c>
      <c r="H273" s="211" t="str">
        <f>IFERROR(VLOOKUP(D273,Consolidado!$E$3:$K$311,7,0),"")</f>
        <v/>
      </c>
      <c r="I273" s="257"/>
    </row>
    <row r="274" spans="4:9">
      <c r="D274" s="267">
        <v>12264</v>
      </c>
      <c r="E274" s="211" t="s">
        <v>26</v>
      </c>
      <c r="F274" s="263" t="str">
        <f>IFERROR(IF(COUNTIF(Consolidado!$E$3:$E$358,'Range de Logins'!$D274)&gt;0,"Em uso","Livre"),"-")</f>
        <v>Livre</v>
      </c>
      <c r="G274" s="211" t="s">
        <v>1265</v>
      </c>
      <c r="H274" s="211" t="str">
        <f>IFERROR(VLOOKUP(D274,Consolidado!$E$3:$K$311,7,0),"")</f>
        <v/>
      </c>
      <c r="I274" s="257"/>
    </row>
    <row r="275" spans="4:9">
      <c r="D275" s="267">
        <v>12265</v>
      </c>
      <c r="E275" s="211" t="s">
        <v>26</v>
      </c>
      <c r="F275" s="263" t="str">
        <f>IFERROR(IF(COUNTIF(Consolidado!$E$3:$E$358,'Range de Logins'!$D275)&gt;0,"Em uso","Livre"),"-")</f>
        <v>Livre</v>
      </c>
      <c r="G275" s="211" t="s">
        <v>1265</v>
      </c>
      <c r="H275" s="211" t="str">
        <f>IFERROR(VLOOKUP(D275,Consolidado!$E$3:$K$311,7,0),"")</f>
        <v/>
      </c>
      <c r="I275" s="257"/>
    </row>
    <row r="276" spans="4:9">
      <c r="D276" s="267">
        <v>12268</v>
      </c>
      <c r="E276" s="211" t="s">
        <v>26</v>
      </c>
      <c r="F276" s="263" t="str">
        <f>IFERROR(IF(COUNTIF(Consolidado!$E$3:$E$358,'Range de Logins'!$D276)&gt;0,"Em uso","Livre"),"-")</f>
        <v>Livre</v>
      </c>
      <c r="G276" s="211" t="s">
        <v>1265</v>
      </c>
      <c r="H276" s="211" t="str">
        <f>IFERROR(VLOOKUP(D276,Consolidado!$E$3:$K$311,7,0),"")</f>
        <v/>
      </c>
      <c r="I276" s="257"/>
    </row>
    <row r="277" spans="4:9">
      <c r="D277" s="267">
        <v>12269</v>
      </c>
      <c r="E277" s="211" t="s">
        <v>26</v>
      </c>
      <c r="F277" s="263" t="str">
        <f>IFERROR(IF(COUNTIF(Consolidado!$E$3:$E$358,'Range de Logins'!$D277)&gt;0,"Em uso","Livre"),"-")</f>
        <v>Livre</v>
      </c>
      <c r="G277" s="211" t="s">
        <v>1265</v>
      </c>
      <c r="H277" s="211" t="str">
        <f>IFERROR(VLOOKUP(D277,Consolidado!$E$3:$K$311,7,0),"")</f>
        <v/>
      </c>
      <c r="I277" s="257"/>
    </row>
    <row r="278" spans="4:9">
      <c r="D278" s="267">
        <v>12270</v>
      </c>
      <c r="E278" s="211" t="s">
        <v>26</v>
      </c>
      <c r="F278" s="263" t="str">
        <f>IFERROR(IF(COUNTIF(Consolidado!$E$3:$E$358,'Range de Logins'!$D278)&gt;0,"Em uso","Livre"),"-")</f>
        <v>Livre</v>
      </c>
      <c r="G278" s="211" t="s">
        <v>1265</v>
      </c>
      <c r="H278" s="211" t="str">
        <f>IFERROR(VLOOKUP(D278,Consolidado!$E$3:$K$311,7,0),"")</f>
        <v/>
      </c>
      <c r="I278" s="257"/>
    </row>
    <row r="279" spans="4:9">
      <c r="D279" s="267">
        <v>12272</v>
      </c>
      <c r="E279" s="211" t="s">
        <v>26</v>
      </c>
      <c r="F279" s="263" t="str">
        <f>IFERROR(IF(COUNTIF(Consolidado!$E$3:$E$358,'Range de Logins'!$D279)&gt;0,"Em uso","Livre"),"-")</f>
        <v>Livre</v>
      </c>
      <c r="G279" s="211" t="s">
        <v>1065</v>
      </c>
      <c r="H279" s="211" t="str">
        <f>IFERROR(VLOOKUP(D279,Consolidado!$E$3:$K$311,7,0),"")</f>
        <v/>
      </c>
      <c r="I279" s="257"/>
    </row>
    <row r="280" spans="4:9">
      <c r="D280" s="267">
        <v>12276</v>
      </c>
      <c r="E280" s="211" t="s">
        <v>26</v>
      </c>
      <c r="F280" s="263" t="str">
        <f>IFERROR(IF(COUNTIF(Consolidado!$E$3:$E$358,'Range de Logins'!$D280)&gt;0,"Em uso","Livre"),"-")</f>
        <v>Livre</v>
      </c>
      <c r="G280" s="211" t="s">
        <v>1265</v>
      </c>
      <c r="H280" s="211" t="str">
        <f>IFERROR(VLOOKUP(D280,Consolidado!$E$3:$K$311,7,0),"")</f>
        <v/>
      </c>
      <c r="I280" s="257"/>
    </row>
    <row r="281" spans="4:9">
      <c r="D281" s="267">
        <v>12280</v>
      </c>
      <c r="E281" s="211" t="s">
        <v>26</v>
      </c>
      <c r="F281" s="263" t="str">
        <f>IFERROR(IF(COUNTIF(Consolidado!$E$3:$E$358,'Range de Logins'!$D281)&gt;0,"Em uso","Livre"),"-")</f>
        <v>Livre</v>
      </c>
      <c r="G281" s="211" t="s">
        <v>1265</v>
      </c>
      <c r="H281" s="211" t="str">
        <f>IFERROR(VLOOKUP(D281,Consolidado!$E$3:$K$311,7,0),"")</f>
        <v/>
      </c>
      <c r="I281" s="257"/>
    </row>
    <row r="282" spans="4:9">
      <c r="D282" s="267">
        <v>12282</v>
      </c>
      <c r="E282" s="211">
        <v>987569</v>
      </c>
      <c r="F282" s="263" t="str">
        <f>IFERROR(IF(COUNTIF(Consolidado!$E$3:$E$358,'Range de Logins'!$D282)&gt;0,"Em uso","Livre"),"-")</f>
        <v>Livre</v>
      </c>
      <c r="G282" s="211" t="s">
        <v>1065</v>
      </c>
      <c r="H282" s="211" t="str">
        <f>IFERROR(VLOOKUP(D282,Consolidado!$E$3:$K$311,7,0),"")</f>
        <v/>
      </c>
      <c r="I282" s="257"/>
    </row>
    <row r="283" spans="4:9">
      <c r="D283" s="267">
        <v>12284</v>
      </c>
      <c r="E283" s="211" t="s">
        <v>26</v>
      </c>
      <c r="F283" s="263" t="str">
        <f>IFERROR(IF(COUNTIF(Consolidado!$E$3:$E$358,'Range de Logins'!$D283)&gt;0,"Em uso","Livre"),"-")</f>
        <v>Livre</v>
      </c>
      <c r="G283" s="211" t="s">
        <v>1265</v>
      </c>
      <c r="H283" s="211" t="str">
        <f>IFERROR(VLOOKUP(D283,Consolidado!$E$3:$K$311,7,0),"")</f>
        <v/>
      </c>
      <c r="I283" s="257"/>
    </row>
    <row r="284" spans="4:9">
      <c r="D284" s="267">
        <v>12286</v>
      </c>
      <c r="E284" s="211" t="s">
        <v>26</v>
      </c>
      <c r="F284" s="263" t="str">
        <f>IFERROR(IF(COUNTIF(Consolidado!$E$3:$E$358,'Range de Logins'!$D284)&gt;0,"Em uso","Livre"),"-")</f>
        <v>Livre</v>
      </c>
      <c r="G284" s="211" t="s">
        <v>1265</v>
      </c>
      <c r="H284" s="211" t="str">
        <f>IFERROR(VLOOKUP(D284,Consolidado!$E$3:$K$311,7,0),"")</f>
        <v/>
      </c>
      <c r="I284" s="257"/>
    </row>
    <row r="285" spans="4:9">
      <c r="D285" s="267">
        <v>12287</v>
      </c>
      <c r="E285" s="211" t="s">
        <v>26</v>
      </c>
      <c r="F285" s="263" t="str">
        <f>IFERROR(IF(COUNTIF(Consolidado!$E$3:$E$358,'Range de Logins'!$D285)&gt;0,"Em uso","Livre"),"-")</f>
        <v>Livre</v>
      </c>
      <c r="G285" s="211" t="s">
        <v>1265</v>
      </c>
      <c r="H285" s="211" t="str">
        <f>IFERROR(VLOOKUP(D285,Consolidado!$E$3:$K$311,7,0),"")</f>
        <v/>
      </c>
      <c r="I285" s="257"/>
    </row>
    <row r="286" spans="4:9">
      <c r="D286" s="267">
        <v>12288</v>
      </c>
      <c r="E286" s="211" t="s">
        <v>26</v>
      </c>
      <c r="F286" s="263" t="str">
        <f>IFERROR(IF(COUNTIF(Consolidado!$E$3:$E$358,'Range de Logins'!$D286)&gt;0,"Em uso","Livre"),"-")</f>
        <v>Livre</v>
      </c>
      <c r="G286" s="211" t="s">
        <v>1265</v>
      </c>
      <c r="H286" s="211" t="str">
        <f>IFERROR(VLOOKUP(D286,Consolidado!$E$3:$K$311,7,0),"")</f>
        <v/>
      </c>
      <c r="I286" s="257"/>
    </row>
    <row r="287" spans="4:9">
      <c r="D287" s="267">
        <v>12291</v>
      </c>
      <c r="E287" s="211" t="s">
        <v>26</v>
      </c>
      <c r="F287" s="263" t="str">
        <f>IFERROR(IF(COUNTIF(Consolidado!$E$3:$E$358,'Range de Logins'!$D287)&gt;0,"Em uso","Livre"),"-")</f>
        <v>Livre</v>
      </c>
      <c r="G287" s="211" t="s">
        <v>1265</v>
      </c>
      <c r="H287" s="211" t="str">
        <f>IFERROR(VLOOKUP(D287,Consolidado!$E$3:$K$311,7,0),"")</f>
        <v/>
      </c>
      <c r="I287" s="257"/>
    </row>
    <row r="288" spans="4:9">
      <c r="D288" s="267">
        <v>12293</v>
      </c>
      <c r="E288" s="211">
        <v>876660</v>
      </c>
      <c r="F288" s="263" t="str">
        <f>IFERROR(IF(COUNTIF(Consolidado!$E$3:$E$358,'Range de Logins'!$D288)&gt;0,"Em uso","Livre"),"-")</f>
        <v>Livre</v>
      </c>
      <c r="G288" s="211" t="s">
        <v>1065</v>
      </c>
      <c r="H288" s="211" t="str">
        <f>IFERROR(VLOOKUP(D288,Consolidado!$E$3:$K$311,7,0),"")</f>
        <v/>
      </c>
      <c r="I288" s="257"/>
    </row>
    <row r="289" spans="4:9">
      <c r="D289" s="267">
        <v>12294</v>
      </c>
      <c r="E289" s="211">
        <v>876684</v>
      </c>
      <c r="F289" s="263" t="str">
        <f>IFERROR(IF(COUNTIF(Consolidado!$E$3:$E$358,'Range de Logins'!$D289)&gt;0,"Em uso","Livre"),"-")</f>
        <v>Livre</v>
      </c>
      <c r="G289" s="211" t="s">
        <v>1065</v>
      </c>
      <c r="H289" s="211" t="str">
        <f>IFERROR(VLOOKUP(D289,Consolidado!$E$3:$K$311,7,0),"")</f>
        <v/>
      </c>
      <c r="I289" s="257"/>
    </row>
    <row r="290" spans="4:9">
      <c r="D290" s="267">
        <v>12297</v>
      </c>
      <c r="E290" s="211">
        <v>827425</v>
      </c>
      <c r="F290" s="263" t="str">
        <f>IFERROR(IF(COUNTIF(Consolidado!$E$3:$E$358,'Range de Logins'!$D290)&gt;0,"Em uso","Livre"),"-")</f>
        <v>Livre</v>
      </c>
      <c r="G290" s="211" t="s">
        <v>1065</v>
      </c>
      <c r="H290" s="211" t="str">
        <f>IFERROR(VLOOKUP(D290,Consolidado!$E$3:$K$311,7,0),"")</f>
        <v/>
      </c>
      <c r="I290" s="257"/>
    </row>
    <row r="291" spans="4:9">
      <c r="D291" s="267">
        <v>12298</v>
      </c>
      <c r="E291" s="211" t="s">
        <v>26</v>
      </c>
      <c r="F291" s="263" t="str">
        <f>IFERROR(IF(COUNTIF(Consolidado!$E$3:$E$358,'Range de Logins'!$D291)&gt;0,"Em uso","Livre"),"-")</f>
        <v>Livre</v>
      </c>
      <c r="G291" s="211" t="s">
        <v>1265</v>
      </c>
      <c r="H291" s="211" t="str">
        <f>IFERROR(VLOOKUP(D291,Consolidado!$E$3:$K$311,7,0),"")</f>
        <v/>
      </c>
      <c r="I291" s="257"/>
    </row>
    <row r="292" spans="4:9">
      <c r="D292" s="267">
        <v>12301</v>
      </c>
      <c r="E292" s="211">
        <v>869827</v>
      </c>
      <c r="F292" s="263" t="str">
        <f>IFERROR(IF(COUNTIF(Consolidado!$E$3:$E$358,'Range de Logins'!$D292)&gt;0,"Em uso","Livre"),"-")</f>
        <v>Em uso</v>
      </c>
      <c r="G292" s="211" t="s">
        <v>1065</v>
      </c>
      <c r="H292" s="211" t="str">
        <f>IFERROR(VLOOKUP(D292,Consolidado!$E$3:$K$311,7,0),"")</f>
        <v>FUPOTECH</v>
      </c>
      <c r="I292" s="257"/>
    </row>
    <row r="293" spans="4:9">
      <c r="D293" s="267">
        <v>12302</v>
      </c>
      <c r="E293" s="211" t="s">
        <v>26</v>
      </c>
      <c r="F293" s="263" t="str">
        <f>IFERROR(IF(COUNTIF(Consolidado!$E$3:$E$358,'Range de Logins'!$D293)&gt;0,"Em uso","Livre"),"-")</f>
        <v>Livre</v>
      </c>
      <c r="G293" s="211" t="s">
        <v>1265</v>
      </c>
      <c r="H293" s="211" t="str">
        <f>IFERROR(VLOOKUP(D293,Consolidado!$E$3:$K$311,7,0),"")</f>
        <v/>
      </c>
      <c r="I293" s="257"/>
    </row>
    <row r="294" spans="4:9">
      <c r="D294" s="267">
        <v>12304</v>
      </c>
      <c r="E294" s="211">
        <v>836131</v>
      </c>
      <c r="F294" s="263" t="str">
        <f>IFERROR(IF(COUNTIF(Consolidado!$E$3:$E$358,'Range de Logins'!$D294)&gt;0,"Em uso","Livre"),"-")</f>
        <v>Em uso</v>
      </c>
      <c r="G294" s="211" t="s">
        <v>1265</v>
      </c>
      <c r="H294" s="211" t="str">
        <f>IFERROR(VLOOKUP(D294,Consolidado!$E$3:$K$311,7,0),"")</f>
        <v>PSG</v>
      </c>
      <c r="I294" s="257"/>
    </row>
    <row r="295" spans="4:9">
      <c r="D295" s="267">
        <v>12309</v>
      </c>
      <c r="E295" s="211" t="s">
        <v>26</v>
      </c>
      <c r="F295" s="263" t="str">
        <f>IFERROR(IF(COUNTIF(Consolidado!$E$3:$E$358,'Range de Logins'!$D295)&gt;0,"Em uso","Livre"),"-")</f>
        <v>Livre</v>
      </c>
      <c r="G295" s="211" t="s">
        <v>1265</v>
      </c>
      <c r="H295" s="211" t="str">
        <f>IFERROR(VLOOKUP(D295,Consolidado!$E$3:$K$311,7,0),"")</f>
        <v/>
      </c>
      <c r="I295" s="257"/>
    </row>
    <row r="296" spans="4:9">
      <c r="D296" s="267">
        <v>12311</v>
      </c>
      <c r="E296" s="211" t="s">
        <v>26</v>
      </c>
      <c r="F296" s="263" t="str">
        <f>IFERROR(IF(COUNTIF(Consolidado!$E$3:$E$358,'Range de Logins'!$D296)&gt;0,"Em uso","Livre"),"-")</f>
        <v>Livre</v>
      </c>
      <c r="G296" s="211" t="s">
        <v>1265</v>
      </c>
      <c r="H296" s="211" t="str">
        <f>IFERROR(VLOOKUP(D296,Consolidado!$E$3:$K$311,7,0),"")</f>
        <v/>
      </c>
      <c r="I296" s="257"/>
    </row>
    <row r="297" spans="4:9">
      <c r="D297" s="267">
        <v>12312</v>
      </c>
      <c r="E297" s="211" t="s">
        <v>26</v>
      </c>
      <c r="F297" s="263" t="str">
        <f>IFERROR(IF(COUNTIF(Consolidado!$E$3:$E$358,'Range de Logins'!$D297)&gt;0,"Em uso","Livre"),"-")</f>
        <v>Livre</v>
      </c>
      <c r="G297" s="211" t="s">
        <v>1265</v>
      </c>
      <c r="H297" s="211" t="str">
        <f>IFERROR(VLOOKUP(D297,Consolidado!$E$3:$K$311,7,0),"")</f>
        <v/>
      </c>
      <c r="I297" s="257"/>
    </row>
    <row r="298" spans="4:9">
      <c r="D298" s="267">
        <v>12313</v>
      </c>
      <c r="E298" s="211" t="s">
        <v>26</v>
      </c>
      <c r="F298" s="263" t="str">
        <f>IFERROR(IF(COUNTIF(Consolidado!$E$3:$E$358,'Range de Logins'!$D298)&gt;0,"Em uso","Livre"),"-")</f>
        <v>Livre</v>
      </c>
      <c r="G298" s="211" t="s">
        <v>1265</v>
      </c>
      <c r="H298" s="211" t="str">
        <f>IFERROR(VLOOKUP(D298,Consolidado!$E$3:$K$311,7,0),"")</f>
        <v/>
      </c>
      <c r="I298" s="257"/>
    </row>
    <row r="299" spans="4:9">
      <c r="D299" s="267">
        <v>12314</v>
      </c>
      <c r="E299" s="211" t="s">
        <v>26</v>
      </c>
      <c r="F299" s="263" t="str">
        <f>IFERROR(IF(COUNTIF(Consolidado!$E$3:$E$358,'Range de Logins'!$D299)&gt;0,"Em uso","Livre"),"-")</f>
        <v>Livre</v>
      </c>
      <c r="G299" s="211" t="s">
        <v>1265</v>
      </c>
      <c r="H299" s="211" t="str">
        <f>IFERROR(VLOOKUP(D299,Consolidado!$E$3:$K$311,7,0),"")</f>
        <v/>
      </c>
      <c r="I299" s="257"/>
    </row>
    <row r="300" spans="4:9">
      <c r="D300" s="267">
        <v>12315</v>
      </c>
      <c r="E300" s="211">
        <v>868209</v>
      </c>
      <c r="F300" s="263" t="str">
        <f>IFERROR(IF(COUNTIF(Consolidado!$E$3:$E$358,'Range de Logins'!$D300)&gt;0,"Em uso","Livre"),"-")</f>
        <v>Livre</v>
      </c>
      <c r="G300" s="211" t="s">
        <v>1265</v>
      </c>
      <c r="H300" s="211" t="str">
        <f>IFERROR(VLOOKUP(D300,Consolidado!$E$3:$K$311,7,0),"")</f>
        <v/>
      </c>
      <c r="I300" s="257"/>
    </row>
    <row r="301" spans="4:9">
      <c r="D301" s="267">
        <v>12317</v>
      </c>
      <c r="E301" s="211" t="s">
        <v>26</v>
      </c>
      <c r="F301" s="263" t="str">
        <f>IFERROR(IF(COUNTIF(Consolidado!$E$3:$E$358,'Range de Logins'!$D301)&gt;0,"Em uso","Livre"),"-")</f>
        <v>Livre</v>
      </c>
      <c r="G301" s="211" t="s">
        <v>1265</v>
      </c>
      <c r="H301" s="211" t="str">
        <f>IFERROR(VLOOKUP(D301,Consolidado!$E$3:$K$311,7,0),"")</f>
        <v/>
      </c>
      <c r="I301" s="257"/>
    </row>
    <row r="302" spans="4:9">
      <c r="D302" s="267">
        <v>12318</v>
      </c>
      <c r="E302" s="211" t="s">
        <v>26</v>
      </c>
      <c r="F302" s="263" t="str">
        <f>IFERROR(IF(COUNTIF(Consolidado!$E$3:$E$358,'Range de Logins'!$D302)&gt;0,"Em uso","Livre"),"-")</f>
        <v>Livre</v>
      </c>
      <c r="G302" s="211" t="s">
        <v>1265</v>
      </c>
      <c r="H302" s="211" t="str">
        <f>IFERROR(VLOOKUP(D302,Consolidado!$E$3:$K$311,7,0),"")</f>
        <v/>
      </c>
      <c r="I302" s="257"/>
    </row>
    <row r="303" spans="4:9">
      <c r="D303" s="267">
        <v>12350</v>
      </c>
      <c r="E303" s="211" t="s">
        <v>26</v>
      </c>
      <c r="F303" s="263" t="str">
        <f>IFERROR(IF(COUNTIF(Consolidado!$E$3:$E$358,'Range de Logins'!$D303)&gt;0,"Em uso","Livre"),"-")</f>
        <v>Livre</v>
      </c>
      <c r="G303" s="211" t="s">
        <v>1265</v>
      </c>
      <c r="H303" s="211" t="str">
        <f>IFERROR(VLOOKUP(D303,Consolidado!$E$3:$K$311,7,0),"")</f>
        <v/>
      </c>
      <c r="I303" s="257"/>
    </row>
    <row r="304" spans="4:9">
      <c r="D304" s="267">
        <v>12319</v>
      </c>
      <c r="E304" s="211" t="s">
        <v>26</v>
      </c>
      <c r="F304" s="263" t="str">
        <f>IFERROR(IF(COUNTIF(Consolidado!$E$3:$E$358,'Range de Logins'!$D304)&gt;0,"Em uso","Livre"),"-")</f>
        <v>Livre</v>
      </c>
      <c r="G304" s="211" t="s">
        <v>1265</v>
      </c>
      <c r="H304" s="211" t="str">
        <f>IFERROR(VLOOKUP(D304,Consolidado!$E$3:$K$311,7,0),"")</f>
        <v/>
      </c>
      <c r="I304" s="257"/>
    </row>
    <row r="305" spans="4:9">
      <c r="D305" s="267">
        <v>12321</v>
      </c>
      <c r="E305" s="211" t="s">
        <v>26</v>
      </c>
      <c r="F305" s="263" t="str">
        <f>IFERROR(IF(COUNTIF(Consolidado!$E$3:$E$358,'Range de Logins'!$D305)&gt;0,"Em uso","Livre"),"-")</f>
        <v>Livre</v>
      </c>
      <c r="G305" s="211" t="s">
        <v>1265</v>
      </c>
      <c r="H305" s="211" t="str">
        <f>IFERROR(VLOOKUP(D305,Consolidado!$E$3:$K$311,7,0),"")</f>
        <v/>
      </c>
      <c r="I305" s="257"/>
    </row>
    <row r="306" spans="4:9">
      <c r="D306" s="267">
        <v>12322</v>
      </c>
      <c r="E306" s="211" t="s">
        <v>26</v>
      </c>
      <c r="F306" s="263" t="str">
        <f>IFERROR(IF(COUNTIF(Consolidado!$E$3:$E$358,'Range de Logins'!$D306)&gt;0,"Em uso","Livre"),"-")</f>
        <v>Livre</v>
      </c>
      <c r="G306" s="211" t="s">
        <v>1265</v>
      </c>
      <c r="H306" s="211" t="str">
        <f>IFERROR(VLOOKUP(D306,Consolidado!$E$3:$K$311,7,0),"")</f>
        <v/>
      </c>
      <c r="I306" s="257"/>
    </row>
    <row r="307" spans="4:9">
      <c r="D307" s="267">
        <v>12323</v>
      </c>
      <c r="E307" s="211">
        <v>836145</v>
      </c>
      <c r="F307" s="263" t="str">
        <f>IFERROR(IF(COUNTIF(Consolidado!$E$3:$E$358,'Range de Logins'!$D307)&gt;0,"Em uso","Livre"),"-")</f>
        <v>Livre</v>
      </c>
      <c r="G307" s="211" t="s">
        <v>1065</v>
      </c>
      <c r="H307" s="211" t="str">
        <f>IFERROR(VLOOKUP(D307,Consolidado!$E$3:$K$311,7,0),"")</f>
        <v/>
      </c>
      <c r="I307" s="257"/>
    </row>
    <row r="308" spans="4:9">
      <c r="D308" s="267">
        <v>12324</v>
      </c>
      <c r="E308" s="211" t="s">
        <v>26</v>
      </c>
      <c r="F308" s="263" t="str">
        <f>IFERROR(IF(COUNTIF(Consolidado!$E$3:$E$358,'Range de Logins'!$D308)&gt;0,"Em uso","Livre"),"-")</f>
        <v>Livre</v>
      </c>
      <c r="G308" s="211" t="s">
        <v>1265</v>
      </c>
      <c r="H308" s="211" t="str">
        <f>IFERROR(VLOOKUP(D308,Consolidado!$E$3:$K$311,7,0),"")</f>
        <v/>
      </c>
      <c r="I308" s="257"/>
    </row>
    <row r="309" spans="4:9">
      <c r="D309" s="267">
        <v>12326</v>
      </c>
      <c r="E309" s="211" t="s">
        <v>26</v>
      </c>
      <c r="F309" s="263" t="str">
        <f>IFERROR(IF(COUNTIF(Consolidado!$E$3:$E$358,'Range de Logins'!$D309)&gt;0,"Em uso","Livre"),"-")</f>
        <v>Livre</v>
      </c>
      <c r="G309" s="211" t="s">
        <v>1265</v>
      </c>
      <c r="H309" s="211" t="str">
        <f>IFERROR(VLOOKUP(D309,Consolidado!$E$3:$K$311,7,0),"")</f>
        <v/>
      </c>
      <c r="I309" s="257"/>
    </row>
    <row r="310" spans="4:9">
      <c r="D310" s="267">
        <v>12327</v>
      </c>
      <c r="E310" s="211" t="s">
        <v>26</v>
      </c>
      <c r="F310" s="263" t="str">
        <f>IFERROR(IF(COUNTIF(Consolidado!$E$3:$E$358,'Range de Logins'!$D310)&gt;0,"Em uso","Livre"),"-")</f>
        <v>Livre</v>
      </c>
      <c r="G310" s="211" t="s">
        <v>1265</v>
      </c>
      <c r="H310" s="211" t="str">
        <f>IFERROR(VLOOKUP(D310,Consolidado!$E$3:$K$311,7,0),"")</f>
        <v/>
      </c>
      <c r="I310" s="257"/>
    </row>
    <row r="311" spans="4:9">
      <c r="D311" s="267">
        <v>12328</v>
      </c>
      <c r="E311" s="211" t="s">
        <v>26</v>
      </c>
      <c r="F311" s="263" t="str">
        <f>IFERROR(IF(COUNTIF(Consolidado!$E$3:$E$358,'Range de Logins'!$D311)&gt;0,"Em uso","Livre"),"-")</f>
        <v>Livre</v>
      </c>
      <c r="G311" s="211" t="s">
        <v>1265</v>
      </c>
      <c r="H311" s="211" t="str">
        <f>IFERROR(VLOOKUP(D311,Consolidado!$E$3:$K$311,7,0),"")</f>
        <v/>
      </c>
      <c r="I311" s="257"/>
    </row>
    <row r="312" spans="4:9">
      <c r="D312" s="267">
        <v>12329</v>
      </c>
      <c r="E312" s="211" t="s">
        <v>26</v>
      </c>
      <c r="F312" s="263" t="str">
        <f>IFERROR(IF(COUNTIF(Consolidado!$E$3:$E$358,'Range de Logins'!$D312)&gt;0,"Em uso","Livre"),"-")</f>
        <v>Livre</v>
      </c>
      <c r="G312" s="211" t="s">
        <v>1265</v>
      </c>
      <c r="H312" s="211" t="str">
        <f>IFERROR(VLOOKUP(D312,Consolidado!$E$3:$K$311,7,0),"")</f>
        <v/>
      </c>
      <c r="I312" s="257"/>
    </row>
    <row r="313" spans="4:9">
      <c r="D313" s="267">
        <v>12330</v>
      </c>
      <c r="E313" s="211" t="s">
        <v>26</v>
      </c>
      <c r="F313" s="263" t="str">
        <f>IFERROR(IF(COUNTIF(Consolidado!$E$3:$E$358,'Range de Logins'!$D313)&gt;0,"Em uso","Livre"),"-")</f>
        <v>Livre</v>
      </c>
      <c r="G313" s="211" t="s">
        <v>1265</v>
      </c>
      <c r="H313" s="211" t="str">
        <f>IFERROR(VLOOKUP(D313,Consolidado!$E$3:$K$311,7,0),"")</f>
        <v/>
      </c>
      <c r="I313" s="257"/>
    </row>
    <row r="314" spans="4:9">
      <c r="D314" s="267">
        <v>12331</v>
      </c>
      <c r="E314" s="211" t="s">
        <v>26</v>
      </c>
      <c r="F314" s="263" t="str">
        <f>IFERROR(IF(COUNTIF(Consolidado!$E$3:$E$358,'Range de Logins'!$D314)&gt;0,"Em uso","Livre"),"-")</f>
        <v>Livre</v>
      </c>
      <c r="G314" s="211" t="s">
        <v>1265</v>
      </c>
      <c r="H314" s="211" t="str">
        <f>IFERROR(VLOOKUP(D314,Consolidado!$E$3:$K$311,7,0),"")</f>
        <v/>
      </c>
      <c r="I314" s="257"/>
    </row>
    <row r="315" spans="4:9">
      <c r="D315" s="267">
        <v>12332</v>
      </c>
      <c r="E315" s="211">
        <v>869817</v>
      </c>
      <c r="F315" s="263" t="str">
        <f>IFERROR(IF(COUNTIF(Consolidado!$E$3:$E$358,'Range de Logins'!$D315)&gt;0,"Em uso","Livre"),"-")</f>
        <v>Livre</v>
      </c>
      <c r="G315" s="211" t="s">
        <v>1065</v>
      </c>
      <c r="H315" s="211" t="str">
        <f>IFERROR(VLOOKUP(D315,Consolidado!$E$3:$K$311,7,0),"")</f>
        <v/>
      </c>
      <c r="I315" s="257"/>
    </row>
    <row r="316" spans="4:9">
      <c r="D316" s="267">
        <v>12333</v>
      </c>
      <c r="E316" s="211" t="s">
        <v>26</v>
      </c>
      <c r="F316" s="263" t="str">
        <f>IFERROR(IF(COUNTIF(Consolidado!$E$3:$E$358,'Range de Logins'!$D316)&gt;0,"Em uso","Livre"),"-")</f>
        <v>Livre</v>
      </c>
      <c r="G316" s="211" t="s">
        <v>1265</v>
      </c>
      <c r="H316" s="211" t="str">
        <f>IFERROR(VLOOKUP(D316,Consolidado!$E$3:$K$311,7,0),"")</f>
        <v/>
      </c>
      <c r="I316" s="257"/>
    </row>
    <row r="317" spans="4:9">
      <c r="D317" s="267">
        <v>12334</v>
      </c>
      <c r="E317" s="211" t="s">
        <v>26</v>
      </c>
      <c r="F317" s="263" t="str">
        <f>IFERROR(IF(COUNTIF(Consolidado!$E$3:$E$358,'Range de Logins'!$D317)&gt;0,"Em uso","Livre"),"-")</f>
        <v>Livre</v>
      </c>
      <c r="G317" s="211" t="s">
        <v>1265</v>
      </c>
      <c r="H317" s="211" t="str">
        <f>IFERROR(VLOOKUP(D317,Consolidado!$E$3:$K$311,7,0),"")</f>
        <v/>
      </c>
      <c r="I317" s="257"/>
    </row>
    <row r="318" spans="4:9">
      <c r="D318" s="267">
        <v>12335</v>
      </c>
      <c r="E318" s="211" t="s">
        <v>26</v>
      </c>
      <c r="F318" s="263" t="str">
        <f>IFERROR(IF(COUNTIF(Consolidado!$E$3:$E$358,'Range de Logins'!$D318)&gt;0,"Em uso","Livre"),"-")</f>
        <v>Livre</v>
      </c>
      <c r="G318" s="211" t="s">
        <v>1265</v>
      </c>
      <c r="H318" s="211" t="str">
        <f>IFERROR(VLOOKUP(D318,Consolidado!$E$3:$K$311,7,0),"")</f>
        <v/>
      </c>
      <c r="I318" s="257"/>
    </row>
    <row r="319" spans="4:9">
      <c r="D319" s="267">
        <v>12336</v>
      </c>
      <c r="E319" s="211" t="s">
        <v>26</v>
      </c>
      <c r="F319" s="263" t="str">
        <f>IFERROR(IF(COUNTIF(Consolidado!$E$3:$E$358,'Range de Logins'!$D319)&gt;0,"Em uso","Livre"),"-")</f>
        <v>Livre</v>
      </c>
      <c r="G319" s="211" t="s">
        <v>1265</v>
      </c>
      <c r="H319" s="211" t="str">
        <f>IFERROR(VLOOKUP(D319,Consolidado!$E$3:$K$311,7,0),"")</f>
        <v/>
      </c>
      <c r="I319" s="257"/>
    </row>
    <row r="320" spans="4:9">
      <c r="D320" s="267">
        <v>12337</v>
      </c>
      <c r="E320" s="211" t="s">
        <v>26</v>
      </c>
      <c r="F320" s="263" t="str">
        <f>IFERROR(IF(COUNTIF(Consolidado!$E$3:$E$358,'Range de Logins'!$D320)&gt;0,"Em uso","Livre"),"-")</f>
        <v>Livre</v>
      </c>
      <c r="G320" s="211" t="s">
        <v>1265</v>
      </c>
      <c r="H320" s="211" t="str">
        <f>IFERROR(VLOOKUP(D320,Consolidado!$E$3:$K$311,7,0),"")</f>
        <v/>
      </c>
      <c r="I320" s="257"/>
    </row>
    <row r="321" spans="4:9">
      <c r="D321" s="267">
        <v>12339</v>
      </c>
      <c r="E321" s="211" t="s">
        <v>26</v>
      </c>
      <c r="F321" s="263" t="str">
        <f>IFERROR(IF(COUNTIF(Consolidado!$E$3:$E$358,'Range de Logins'!$D321)&gt;0,"Em uso","Livre"),"-")</f>
        <v>Livre</v>
      </c>
      <c r="G321" s="211" t="s">
        <v>1265</v>
      </c>
      <c r="H321" s="211" t="str">
        <f>IFERROR(VLOOKUP(D321,Consolidado!$E$3:$K$311,7,0),"")</f>
        <v/>
      </c>
      <c r="I321" s="257"/>
    </row>
    <row r="322" spans="4:9">
      <c r="D322" s="267">
        <v>12341</v>
      </c>
      <c r="E322" s="211">
        <v>873178</v>
      </c>
      <c r="F322" s="263" t="str">
        <f>IFERROR(IF(COUNTIF(Consolidado!$E$3:$E$358,'Range de Logins'!$D322)&gt;0,"Em uso","Livre"),"-")</f>
        <v>Livre</v>
      </c>
      <c r="G322" s="211" t="s">
        <v>1065</v>
      </c>
      <c r="H322" s="211" t="str">
        <f>IFERROR(VLOOKUP(D322,Consolidado!$E$3:$K$311,7,0),"")</f>
        <v/>
      </c>
      <c r="I322" s="257"/>
    </row>
    <row r="323" spans="4:9">
      <c r="D323" s="267">
        <v>12342</v>
      </c>
      <c r="E323" s="211" t="s">
        <v>26</v>
      </c>
      <c r="F323" s="263" t="str">
        <f>IFERROR(IF(COUNTIF(Consolidado!$E$3:$E$358,'Range de Logins'!$D323)&gt;0,"Em uso","Livre"),"-")</f>
        <v>Livre</v>
      </c>
      <c r="G323" s="211" t="s">
        <v>1265</v>
      </c>
      <c r="H323" s="211" t="str">
        <f>IFERROR(VLOOKUP(D323,Consolidado!$E$3:$K$311,7,0),"")</f>
        <v/>
      </c>
      <c r="I323" s="257"/>
    </row>
    <row r="324" spans="4:9">
      <c r="D324" s="267">
        <v>12343</v>
      </c>
      <c r="E324" s="211" t="s">
        <v>26</v>
      </c>
      <c r="F324" s="263" t="str">
        <f>IFERROR(IF(COUNTIF(Consolidado!$E$3:$E$358,'Range de Logins'!$D324)&gt;0,"Em uso","Livre"),"-")</f>
        <v>Livre</v>
      </c>
      <c r="G324" s="211" t="s">
        <v>1265</v>
      </c>
      <c r="H324" s="211" t="str">
        <f>IFERROR(VLOOKUP(D324,Consolidado!$E$3:$K$311,7,0),"")</f>
        <v/>
      </c>
      <c r="I324" s="257"/>
    </row>
    <row r="325" spans="4:9">
      <c r="D325" s="267">
        <v>12344</v>
      </c>
      <c r="E325" s="211" t="s">
        <v>26</v>
      </c>
      <c r="F325" s="263" t="str">
        <f>IFERROR(IF(COUNTIF(Consolidado!$E$3:$E$358,'Range de Logins'!$D325)&gt;0,"Em uso","Livre"),"-")</f>
        <v>Livre</v>
      </c>
      <c r="G325" s="211" t="s">
        <v>1265</v>
      </c>
      <c r="H325" s="211" t="str">
        <f>IFERROR(VLOOKUP(D325,Consolidado!$E$3:$K$311,7,0),"")</f>
        <v/>
      </c>
      <c r="I325" s="257"/>
    </row>
    <row r="326" spans="4:9">
      <c r="D326" s="267">
        <v>12345</v>
      </c>
      <c r="E326" s="211" t="s">
        <v>26</v>
      </c>
      <c r="F326" s="263" t="str">
        <f>IFERROR(IF(COUNTIF(Consolidado!$E$3:$E$358,'Range de Logins'!$D326)&gt;0,"Em uso","Livre"),"-")</f>
        <v>Livre</v>
      </c>
      <c r="G326" s="211" t="s">
        <v>1265</v>
      </c>
      <c r="H326" s="211" t="str">
        <f>IFERROR(VLOOKUP(D326,Consolidado!$E$3:$K$311,7,0),"")</f>
        <v/>
      </c>
      <c r="I326" s="257"/>
    </row>
    <row r="327" spans="4:9">
      <c r="D327" s="267">
        <v>12346</v>
      </c>
      <c r="E327" s="211" t="s">
        <v>26</v>
      </c>
      <c r="F327" s="263" t="str">
        <f>IFERROR(IF(COUNTIF(Consolidado!$E$3:$E$358,'Range de Logins'!$D327)&gt;0,"Em uso","Livre"),"-")</f>
        <v>Livre</v>
      </c>
      <c r="G327" s="211" t="s">
        <v>1265</v>
      </c>
      <c r="H327" s="211" t="str">
        <f>IFERROR(VLOOKUP(D327,Consolidado!$E$3:$K$311,7,0),"")</f>
        <v/>
      </c>
      <c r="I327" s="257"/>
    </row>
    <row r="328" spans="4:9">
      <c r="D328" s="267">
        <v>12347</v>
      </c>
      <c r="E328" s="211" t="s">
        <v>26</v>
      </c>
      <c r="F328" s="263" t="str">
        <f>IFERROR(IF(COUNTIF(Consolidado!$E$3:$E$358,'Range de Logins'!$D328)&gt;0,"Em uso","Livre"),"-")</f>
        <v>Livre</v>
      </c>
      <c r="G328" s="211" t="s">
        <v>1265</v>
      </c>
      <c r="H328" s="211" t="str">
        <f>IFERROR(VLOOKUP(D328,Consolidado!$E$3:$K$311,7,0),"")</f>
        <v/>
      </c>
      <c r="I328" s="257"/>
    </row>
    <row r="329" spans="4:9">
      <c r="D329" s="267">
        <v>12351</v>
      </c>
      <c r="E329" s="211" t="s">
        <v>26</v>
      </c>
      <c r="F329" s="263" t="str">
        <f>IFERROR(IF(COUNTIF(Consolidado!$E$3:$E$358,'Range de Logins'!$D329)&gt;0,"Em uso","Livre"),"-")</f>
        <v>Livre</v>
      </c>
      <c r="G329" s="211" t="s">
        <v>1265</v>
      </c>
      <c r="H329" s="211" t="str">
        <f>IFERROR(VLOOKUP(D329,Consolidado!$E$3:$K$311,7,0),"")</f>
        <v/>
      </c>
      <c r="I329" s="257"/>
    </row>
    <row r="330" spans="4:9">
      <c r="D330" s="267">
        <v>12352</v>
      </c>
      <c r="E330" s="211" t="s">
        <v>26</v>
      </c>
      <c r="F330" s="263" t="str">
        <f>IFERROR(IF(COUNTIF(Consolidado!$E$3:$E$358,'Range de Logins'!$D330)&gt;0,"Em uso","Livre"),"-")</f>
        <v>Livre</v>
      </c>
      <c r="G330" s="211" t="s">
        <v>1265</v>
      </c>
      <c r="H330" s="211" t="str">
        <f>IFERROR(VLOOKUP(D330,Consolidado!$E$3:$K$311,7,0),"")</f>
        <v/>
      </c>
      <c r="I330" s="257"/>
    </row>
    <row r="331" spans="4:9">
      <c r="D331" s="267">
        <v>12353</v>
      </c>
      <c r="E331" s="211" t="s">
        <v>26</v>
      </c>
      <c r="F331" s="263" t="str">
        <f>IFERROR(IF(COUNTIF(Consolidado!$E$3:$E$358,'Range de Logins'!$D331)&gt;0,"Em uso","Livre"),"-")</f>
        <v>Livre</v>
      </c>
      <c r="G331" s="211" t="s">
        <v>1265</v>
      </c>
      <c r="H331" s="211" t="str">
        <f>IFERROR(VLOOKUP(D331,Consolidado!$E$3:$K$311,7,0),"")</f>
        <v/>
      </c>
      <c r="I331" s="257"/>
    </row>
    <row r="332" spans="4:9">
      <c r="D332" s="267">
        <v>12354</v>
      </c>
      <c r="E332" s="211" t="s">
        <v>26</v>
      </c>
      <c r="F332" s="263" t="str">
        <f>IFERROR(IF(COUNTIF(Consolidado!$E$3:$E$358,'Range de Logins'!$D332)&gt;0,"Em uso","Livre"),"-")</f>
        <v>Livre</v>
      </c>
      <c r="G332" s="211" t="s">
        <v>1265</v>
      </c>
      <c r="H332" s="211" t="str">
        <f>IFERROR(VLOOKUP(D332,Consolidado!$E$3:$K$311,7,0),"")</f>
        <v/>
      </c>
      <c r="I332" s="257"/>
    </row>
    <row r="333" spans="4:9">
      <c r="D333" s="267">
        <v>12355</v>
      </c>
      <c r="E333" s="211" t="s">
        <v>26</v>
      </c>
      <c r="F333" s="263" t="str">
        <f>IFERROR(IF(COUNTIF(Consolidado!$E$3:$E$358,'Range de Logins'!$D333)&gt;0,"Em uso","Livre"),"-")</f>
        <v>Livre</v>
      </c>
      <c r="G333" s="211" t="s">
        <v>1265</v>
      </c>
      <c r="H333" s="211" t="str">
        <f>IFERROR(VLOOKUP(D333,Consolidado!$E$3:$K$311,7,0),"")</f>
        <v/>
      </c>
      <c r="I333" s="257"/>
    </row>
    <row r="334" spans="4:9">
      <c r="D334" s="267">
        <v>12356</v>
      </c>
      <c r="E334" s="211" t="s">
        <v>26</v>
      </c>
      <c r="F334" s="263" t="str">
        <f>IFERROR(IF(COUNTIF(Consolidado!$E$3:$E$358,'Range de Logins'!$D334)&gt;0,"Em uso","Livre"),"-")</f>
        <v>Livre</v>
      </c>
      <c r="G334" s="211" t="s">
        <v>1265</v>
      </c>
      <c r="H334" s="211" t="str">
        <f>IFERROR(VLOOKUP(D334,Consolidado!$E$3:$K$311,7,0),"")</f>
        <v/>
      </c>
      <c r="I334" s="257"/>
    </row>
    <row r="335" spans="4:9">
      <c r="D335" s="267">
        <v>12357</v>
      </c>
      <c r="E335" s="211" t="s">
        <v>26</v>
      </c>
      <c r="F335" s="263" t="str">
        <f>IFERROR(IF(COUNTIF(Consolidado!$E$3:$E$358,'Range de Logins'!$D335)&gt;0,"Em uso","Livre"),"-")</f>
        <v>Livre</v>
      </c>
      <c r="G335" s="211" t="s">
        <v>1265</v>
      </c>
      <c r="H335" s="211" t="str">
        <f>IFERROR(VLOOKUP(D335,Consolidado!$E$3:$K$311,7,0),"")</f>
        <v/>
      </c>
      <c r="I335" s="257"/>
    </row>
    <row r="336" spans="4:9">
      <c r="D336" s="267">
        <v>12359</v>
      </c>
      <c r="E336" s="211" t="s">
        <v>26</v>
      </c>
      <c r="F336" s="263" t="str">
        <f>IFERROR(IF(COUNTIF(Consolidado!$E$3:$E$358,'Range de Logins'!$D336)&gt;0,"Em uso","Livre"),"-")</f>
        <v>Livre</v>
      </c>
      <c r="G336" s="211" t="s">
        <v>1265</v>
      </c>
      <c r="H336" s="211" t="str">
        <f>IFERROR(VLOOKUP(D336,Consolidado!$E$3:$K$311,7,0),"")</f>
        <v/>
      </c>
      <c r="I336" s="257"/>
    </row>
    <row r="337" spans="4:9">
      <c r="D337" s="267">
        <v>12360</v>
      </c>
      <c r="E337" s="211" t="s">
        <v>26</v>
      </c>
      <c r="F337" s="263" t="str">
        <f>IFERROR(IF(COUNTIF(Consolidado!$E$3:$E$358,'Range de Logins'!$D337)&gt;0,"Em uso","Livre"),"-")</f>
        <v>Livre</v>
      </c>
      <c r="G337" s="211" t="s">
        <v>1265</v>
      </c>
      <c r="H337" s="211" t="str">
        <f>IFERROR(VLOOKUP(D337,Consolidado!$E$3:$K$311,7,0),"")</f>
        <v/>
      </c>
      <c r="I337" s="257"/>
    </row>
    <row r="338" spans="4:9">
      <c r="D338" s="267">
        <v>12361</v>
      </c>
      <c r="E338" s="211" t="s">
        <v>26</v>
      </c>
      <c r="F338" s="263" t="str">
        <f>IFERROR(IF(COUNTIF(Consolidado!$E$3:$E$358,'Range de Logins'!$D338)&gt;0,"Em uso","Livre"),"-")</f>
        <v>Livre</v>
      </c>
      <c r="G338" s="211" t="s">
        <v>1265</v>
      </c>
      <c r="H338" s="211" t="str">
        <f>IFERROR(VLOOKUP(D338,Consolidado!$E$3:$K$311,7,0),"")</f>
        <v/>
      </c>
      <c r="I338" s="257"/>
    </row>
    <row r="339" spans="4:9">
      <c r="D339" s="267">
        <v>12363</v>
      </c>
      <c r="E339" s="211" t="s">
        <v>26</v>
      </c>
      <c r="F339" s="263" t="str">
        <f>IFERROR(IF(COUNTIF(Consolidado!$E$3:$E$358,'Range de Logins'!$D339)&gt;0,"Em uso","Livre"),"-")</f>
        <v>Livre</v>
      </c>
      <c r="G339" s="211" t="s">
        <v>1265</v>
      </c>
      <c r="H339" s="211" t="str">
        <f>IFERROR(VLOOKUP(D339,Consolidado!$E$3:$K$311,7,0),"")</f>
        <v/>
      </c>
      <c r="I339" s="257"/>
    </row>
    <row r="340" spans="4:9">
      <c r="D340" s="267">
        <v>12364</v>
      </c>
      <c r="E340" s="211" t="s">
        <v>26</v>
      </c>
      <c r="F340" s="263" t="str">
        <f>IFERROR(IF(COUNTIF(Consolidado!$E$3:$E$358,'Range de Logins'!$D340)&gt;0,"Em uso","Livre"),"-")</f>
        <v>Livre</v>
      </c>
      <c r="G340" s="211" t="s">
        <v>1265</v>
      </c>
      <c r="H340" s="211" t="str">
        <f>IFERROR(VLOOKUP(D340,Consolidado!$E$3:$K$311,7,0),"")</f>
        <v/>
      </c>
      <c r="I340" s="257"/>
    </row>
    <row r="341" spans="4:9">
      <c r="D341" s="267">
        <v>12365</v>
      </c>
      <c r="E341" s="211" t="s">
        <v>26</v>
      </c>
      <c r="F341" s="263" t="str">
        <f>IFERROR(IF(COUNTIF(Consolidado!$E$3:$E$358,'Range de Logins'!$D341)&gt;0,"Em uso","Livre"),"-")</f>
        <v>Livre</v>
      </c>
      <c r="G341" s="211" t="s">
        <v>1265</v>
      </c>
      <c r="H341" s="211" t="str">
        <f>IFERROR(VLOOKUP(D341,Consolidado!$E$3:$K$311,7,0),"")</f>
        <v/>
      </c>
      <c r="I341" s="257"/>
    </row>
    <row r="342" spans="4:9">
      <c r="D342" s="267">
        <v>12366</v>
      </c>
      <c r="E342" s="211">
        <v>876663</v>
      </c>
      <c r="F342" s="263" t="str">
        <f>IFERROR(IF(COUNTIF(Consolidado!$E$3:$E$358,'Range de Logins'!$D342)&gt;0,"Em uso","Livre"),"-")</f>
        <v>Livre</v>
      </c>
      <c r="G342" s="211" t="s">
        <v>1065</v>
      </c>
      <c r="H342" s="211" t="str">
        <f>IFERROR(VLOOKUP(D342,Consolidado!$E$3:$K$311,7,0),"")</f>
        <v/>
      </c>
      <c r="I342" s="257"/>
    </row>
    <row r="343" spans="4:9">
      <c r="D343" s="267">
        <v>12367</v>
      </c>
      <c r="E343" s="211" t="s">
        <v>26</v>
      </c>
      <c r="F343" s="263" t="str">
        <f>IFERROR(IF(COUNTIF(Consolidado!$E$3:$E$358,'Range de Logins'!$D343)&gt;0,"Em uso","Livre"),"-")</f>
        <v>Livre</v>
      </c>
      <c r="G343" s="211" t="s">
        <v>1265</v>
      </c>
      <c r="H343" s="211" t="str">
        <f>IFERROR(VLOOKUP(D343,Consolidado!$E$3:$K$311,7,0),"")</f>
        <v/>
      </c>
      <c r="I343" s="257"/>
    </row>
    <row r="344" spans="4:9">
      <c r="D344" s="267">
        <v>12368</v>
      </c>
      <c r="E344" s="211" t="s">
        <v>26</v>
      </c>
      <c r="F344" s="263" t="str">
        <f>IFERROR(IF(COUNTIF(Consolidado!$E$3:$E$358,'Range de Logins'!$D344)&gt;0,"Em uso","Livre"),"-")</f>
        <v>Livre</v>
      </c>
      <c r="G344" s="211" t="s">
        <v>1265</v>
      </c>
      <c r="H344" s="211" t="str">
        <f>IFERROR(VLOOKUP(D344,Consolidado!$E$3:$K$311,7,0),"")</f>
        <v/>
      </c>
      <c r="I344" s="257"/>
    </row>
    <row r="345" spans="4:9">
      <c r="D345" s="267">
        <v>12369</v>
      </c>
      <c r="E345" s="211" t="s">
        <v>26</v>
      </c>
      <c r="F345" s="263" t="str">
        <f>IFERROR(IF(COUNTIF(Consolidado!$E$3:$E$358,'Range de Logins'!$D345)&gt;0,"Em uso","Livre"),"-")</f>
        <v>Livre</v>
      </c>
      <c r="G345" s="211" t="s">
        <v>1265</v>
      </c>
      <c r="H345" s="211" t="str">
        <f>IFERROR(VLOOKUP(D345,Consolidado!$E$3:$K$311,7,0),"")</f>
        <v/>
      </c>
      <c r="I345" s="257"/>
    </row>
    <row r="346" spans="4:9">
      <c r="D346" s="267">
        <v>12370</v>
      </c>
      <c r="E346" s="211" t="s">
        <v>26</v>
      </c>
      <c r="F346" s="263" t="str">
        <f>IFERROR(IF(COUNTIF(Consolidado!$E$3:$E$358,'Range de Logins'!$D346)&gt;0,"Em uso","Livre"),"-")</f>
        <v>Livre</v>
      </c>
      <c r="G346" s="211" t="s">
        <v>1265</v>
      </c>
      <c r="H346" s="211" t="str">
        <f>IFERROR(VLOOKUP(D346,Consolidado!$E$3:$K$311,7,0),"")</f>
        <v/>
      </c>
      <c r="I346" s="257"/>
    </row>
    <row r="347" spans="4:9">
      <c r="D347" s="267">
        <v>12371</v>
      </c>
      <c r="E347" s="211" t="s">
        <v>26</v>
      </c>
      <c r="F347" s="263" t="str">
        <f>IFERROR(IF(COUNTIF(Consolidado!$E$3:$E$358,'Range de Logins'!$D347)&gt;0,"Em uso","Livre"),"-")</f>
        <v>Livre</v>
      </c>
      <c r="G347" s="211" t="s">
        <v>1265</v>
      </c>
      <c r="H347" s="211" t="str">
        <f>IFERROR(VLOOKUP(D347,Consolidado!$E$3:$K$311,7,0),"")</f>
        <v/>
      </c>
      <c r="I347" s="257"/>
    </row>
    <row r="348" spans="4:9">
      <c r="D348" s="267">
        <v>12372</v>
      </c>
      <c r="E348" s="211" t="s">
        <v>26</v>
      </c>
      <c r="F348" s="263" t="str">
        <f>IFERROR(IF(COUNTIF(Consolidado!$E$3:$E$358,'Range de Logins'!$D348)&gt;0,"Em uso","Livre"),"-")</f>
        <v>Livre</v>
      </c>
      <c r="G348" s="211" t="s">
        <v>1265</v>
      </c>
      <c r="H348" s="211" t="str">
        <f>IFERROR(VLOOKUP(D348,Consolidado!$E$3:$K$311,7,0),"")</f>
        <v/>
      </c>
      <c r="I348" s="257"/>
    </row>
    <row r="349" spans="4:9">
      <c r="D349" s="267">
        <v>12373</v>
      </c>
      <c r="E349" s="211" t="s">
        <v>26</v>
      </c>
      <c r="F349" s="263" t="str">
        <f>IFERROR(IF(COUNTIF(Consolidado!$E$3:$E$358,'Range de Logins'!$D349)&gt;0,"Em uso","Livre"),"-")</f>
        <v>Livre</v>
      </c>
      <c r="G349" s="211" t="s">
        <v>1265</v>
      </c>
      <c r="H349" s="211" t="str">
        <f>IFERROR(VLOOKUP(D349,Consolidado!$E$3:$K$311,7,0),"")</f>
        <v/>
      </c>
      <c r="I349" s="257"/>
    </row>
    <row r="350" spans="4:9">
      <c r="D350" s="267">
        <v>12375</v>
      </c>
      <c r="E350" s="211" t="s">
        <v>26</v>
      </c>
      <c r="F350" s="263" t="str">
        <f>IFERROR(IF(COUNTIF(Consolidado!$E$3:$E$358,'Range de Logins'!$D350)&gt;0,"Em uso","Livre"),"-")</f>
        <v>Livre</v>
      </c>
      <c r="G350" s="211" t="s">
        <v>1265</v>
      </c>
      <c r="H350" s="211" t="str">
        <f>IFERROR(VLOOKUP(D350,Consolidado!$E$3:$K$311,7,0),"")</f>
        <v/>
      </c>
      <c r="I350" s="257"/>
    </row>
    <row r="351" spans="4:9">
      <c r="D351" s="267">
        <v>12376</v>
      </c>
      <c r="E351" s="211">
        <v>714382</v>
      </c>
      <c r="F351" s="263" t="str">
        <f>IFERROR(IF(COUNTIF(Consolidado!$E$3:$E$358,'Range de Logins'!$D351)&gt;0,"Em uso","Livre"),"-")</f>
        <v>Livre</v>
      </c>
      <c r="G351" s="211" t="s">
        <v>1065</v>
      </c>
      <c r="H351" s="211" t="str">
        <f>IFERROR(VLOOKUP(D351,Consolidado!$E$3:$K$311,7,0),"")</f>
        <v/>
      </c>
      <c r="I351" s="257"/>
    </row>
    <row r="352" spans="4:9">
      <c r="D352" s="267">
        <v>12377</v>
      </c>
      <c r="E352" s="211" t="s">
        <v>26</v>
      </c>
      <c r="F352" s="263" t="str">
        <f>IFERROR(IF(COUNTIF(Consolidado!$E$3:$E$358,'Range de Logins'!$D352)&gt;0,"Em uso","Livre"),"-")</f>
        <v>Livre</v>
      </c>
      <c r="G352" s="211" t="s">
        <v>1265</v>
      </c>
      <c r="H352" s="211" t="str">
        <f>IFERROR(VLOOKUP(D352,Consolidado!$E$3:$K$311,7,0),"")</f>
        <v/>
      </c>
      <c r="I352" s="257"/>
    </row>
    <row r="353" spans="4:9">
      <c r="D353" s="267">
        <v>12378</v>
      </c>
      <c r="E353" s="211">
        <v>689676</v>
      </c>
      <c r="F353" s="263" t="str">
        <f>IFERROR(IF(COUNTIF(Consolidado!$E$3:$E$358,'Range de Logins'!$D353)&gt;0,"Em uso","Livre"),"-")</f>
        <v>Livre</v>
      </c>
      <c r="G353" s="211" t="s">
        <v>1065</v>
      </c>
      <c r="H353" s="211" t="str">
        <f>IFERROR(VLOOKUP(D353,Consolidado!$E$3:$K$311,7,0),"")</f>
        <v/>
      </c>
      <c r="I353" s="257"/>
    </row>
    <row r="354" spans="4:9">
      <c r="D354" s="267">
        <v>12381</v>
      </c>
      <c r="E354" s="211" t="s">
        <v>26</v>
      </c>
      <c r="F354" s="263" t="str">
        <f>IFERROR(IF(COUNTIF(Consolidado!$E$3:$E$358,'Range de Logins'!$D354)&gt;0,"Em uso","Livre"),"-")</f>
        <v>Livre</v>
      </c>
      <c r="G354" s="211" t="s">
        <v>1265</v>
      </c>
      <c r="H354" s="211" t="str">
        <f>IFERROR(VLOOKUP(D354,Consolidado!$E$3:$K$311,7,0),"")</f>
        <v/>
      </c>
      <c r="I354" s="257"/>
    </row>
    <row r="355" spans="4:9">
      <c r="D355" s="267">
        <v>12382</v>
      </c>
      <c r="E355" s="211">
        <v>446390</v>
      </c>
      <c r="F355" s="263" t="str">
        <f>IFERROR(IF(COUNTIF(Consolidado!$E$3:$E$358,'Range de Logins'!$D355)&gt;0,"Em uso","Livre"),"-")</f>
        <v>Livre</v>
      </c>
      <c r="G355" s="211" t="s">
        <v>1065</v>
      </c>
      <c r="H355" s="211" t="str">
        <f>IFERROR(VLOOKUP(D355,Consolidado!$E$3:$K$311,7,0),"")</f>
        <v/>
      </c>
      <c r="I355" s="257"/>
    </row>
    <row r="356" spans="4:9">
      <c r="D356" s="267">
        <v>12386</v>
      </c>
      <c r="E356" s="211">
        <v>689167</v>
      </c>
      <c r="F356" s="263" t="str">
        <f>IFERROR(IF(COUNTIF(Consolidado!$E$3:$E$358,'Range de Logins'!$D356)&gt;0,"Em uso","Livre"),"-")</f>
        <v>Livre</v>
      </c>
      <c r="G356" s="211" t="s">
        <v>1065</v>
      </c>
      <c r="H356" s="211" t="str">
        <f>IFERROR(VLOOKUP(D356,Consolidado!$E$3:$K$311,7,0),"")</f>
        <v/>
      </c>
      <c r="I356" s="257"/>
    </row>
    <row r="357" spans="4:9">
      <c r="D357" s="267">
        <v>12387</v>
      </c>
      <c r="E357" s="211" t="s">
        <v>26</v>
      </c>
      <c r="F357" s="263" t="str">
        <f>IFERROR(IF(COUNTIF(Consolidado!$E$3:$E$358,'Range de Logins'!$D357)&gt;0,"Em uso","Livre"),"-")</f>
        <v>Livre</v>
      </c>
      <c r="G357" s="211" t="s">
        <v>1265</v>
      </c>
      <c r="H357" s="211" t="str">
        <f>IFERROR(VLOOKUP(D357,Consolidado!$E$3:$K$311,7,0),"")</f>
        <v/>
      </c>
      <c r="I357" s="257"/>
    </row>
    <row r="358" spans="4:9">
      <c r="D358" s="267">
        <v>12388</v>
      </c>
      <c r="E358" s="211" t="s">
        <v>26</v>
      </c>
      <c r="F358" s="263" t="str">
        <f>IFERROR(IF(COUNTIF(Consolidado!$E$3:$E$358,'Range de Logins'!$D358)&gt;0,"Em uso","Livre"),"-")</f>
        <v>Livre</v>
      </c>
      <c r="G358" s="211" t="s">
        <v>1265</v>
      </c>
      <c r="H358" s="211" t="str">
        <f>IFERROR(VLOOKUP(D358,Consolidado!$E$3:$K$311,7,0),"")</f>
        <v/>
      </c>
      <c r="I358" s="257"/>
    </row>
    <row r="359" spans="4:9">
      <c r="D359" s="267">
        <v>12389</v>
      </c>
      <c r="E359" s="211" t="s">
        <v>26</v>
      </c>
      <c r="F359" s="263" t="str">
        <f>IFERROR(IF(COUNTIF(Consolidado!$E$3:$E$358,'Range de Logins'!$D359)&gt;0,"Em uso","Livre"),"-")</f>
        <v>Livre</v>
      </c>
      <c r="G359" s="211" t="s">
        <v>1265</v>
      </c>
      <c r="H359" s="211" t="str">
        <f>IFERROR(VLOOKUP(D359,Consolidado!$E$3:$K$311,7,0),"")</f>
        <v/>
      </c>
      <c r="I359" s="257"/>
    </row>
    <row r="360" spans="4:9">
      <c r="D360" s="267">
        <v>12390</v>
      </c>
      <c r="E360" s="211" t="s">
        <v>26</v>
      </c>
      <c r="F360" s="263" t="str">
        <f>IFERROR(IF(COUNTIF(Consolidado!$E$3:$E$358,'Range de Logins'!$D360)&gt;0,"Em uso","Livre"),"-")</f>
        <v>Livre</v>
      </c>
      <c r="G360" s="211" t="s">
        <v>1265</v>
      </c>
      <c r="H360" s="211" t="str">
        <f>IFERROR(VLOOKUP(D360,Consolidado!$E$3:$K$311,7,0),"")</f>
        <v/>
      </c>
      <c r="I360" s="257"/>
    </row>
    <row r="361" spans="4:9">
      <c r="D361" s="267">
        <v>12392</v>
      </c>
      <c r="E361" s="211" t="s">
        <v>26</v>
      </c>
      <c r="F361" s="263" t="str">
        <f>IFERROR(IF(COUNTIF(Consolidado!$E$3:$E$358,'Range de Logins'!$D361)&gt;0,"Em uso","Livre"),"-")</f>
        <v>Livre</v>
      </c>
      <c r="G361" s="211" t="s">
        <v>1265</v>
      </c>
      <c r="H361" s="211" t="str">
        <f>IFERROR(VLOOKUP(D361,Consolidado!$E$3:$K$311,7,0),"")</f>
        <v/>
      </c>
      <c r="I361" s="257"/>
    </row>
    <row r="362" spans="4:9">
      <c r="D362" s="267">
        <v>12393</v>
      </c>
      <c r="E362" s="211" t="s">
        <v>26</v>
      </c>
      <c r="F362" s="263" t="str">
        <f>IFERROR(IF(COUNTIF(Consolidado!$E$3:$E$358,'Range de Logins'!$D362)&gt;0,"Em uso","Livre"),"-")</f>
        <v>Livre</v>
      </c>
      <c r="G362" s="211" t="s">
        <v>1265</v>
      </c>
      <c r="H362" s="211" t="str">
        <f>IFERROR(VLOOKUP(D362,Consolidado!$E$3:$K$311,7,0),"")</f>
        <v/>
      </c>
      <c r="I362" s="257"/>
    </row>
    <row r="363" spans="4:9">
      <c r="D363" s="267">
        <v>12394</v>
      </c>
      <c r="E363" s="211" t="s">
        <v>26</v>
      </c>
      <c r="F363" s="263" t="str">
        <f>IFERROR(IF(COUNTIF(Consolidado!$E$3:$E$358,'Range de Logins'!$D363)&gt;0,"Em uso","Livre"),"-")</f>
        <v>Livre</v>
      </c>
      <c r="G363" s="211" t="s">
        <v>1265</v>
      </c>
      <c r="H363" s="211" t="str">
        <f>IFERROR(VLOOKUP(D363,Consolidado!$E$3:$K$311,7,0),"")</f>
        <v/>
      </c>
      <c r="I363" s="257"/>
    </row>
    <row r="364" spans="4:9">
      <c r="D364" s="267">
        <v>12395</v>
      </c>
      <c r="E364" s="211">
        <v>830471</v>
      </c>
      <c r="F364" s="263" t="str">
        <f>IFERROR(IF(COUNTIF(Consolidado!$E$3:$E$358,'Range de Logins'!$D364)&gt;0,"Em uso","Livre"),"-")</f>
        <v>Livre</v>
      </c>
      <c r="G364" s="211" t="s">
        <v>1065</v>
      </c>
      <c r="H364" s="211" t="str">
        <f>IFERROR(VLOOKUP(D364,Consolidado!$E$3:$K$311,7,0),"")</f>
        <v/>
      </c>
      <c r="I364" s="257"/>
    </row>
    <row r="365" spans="4:9">
      <c r="D365" s="267">
        <v>12396</v>
      </c>
      <c r="E365" s="211" t="s">
        <v>26</v>
      </c>
      <c r="F365" s="263" t="str">
        <f>IFERROR(IF(COUNTIF(Consolidado!$E$3:$E$358,'Range de Logins'!$D365)&gt;0,"Em uso","Livre"),"-")</f>
        <v>Livre</v>
      </c>
      <c r="G365" s="211" t="s">
        <v>1265</v>
      </c>
      <c r="H365" s="211" t="str">
        <f>IFERROR(VLOOKUP(D365,Consolidado!$E$3:$K$311,7,0),"")</f>
        <v/>
      </c>
      <c r="I365" s="257"/>
    </row>
    <row r="366" spans="4:9">
      <c r="D366" s="267">
        <v>12397</v>
      </c>
      <c r="E366" s="211" t="s">
        <v>26</v>
      </c>
      <c r="F366" s="263" t="str">
        <f>IFERROR(IF(COUNTIF(Consolidado!$E$3:$E$358,'Range de Logins'!$D366)&gt;0,"Em uso","Livre"),"-")</f>
        <v>Livre</v>
      </c>
      <c r="G366" s="211" t="s">
        <v>1265</v>
      </c>
      <c r="H366" s="211" t="str">
        <f>IFERROR(VLOOKUP(D366,Consolidado!$E$3:$K$311,7,0),"")</f>
        <v/>
      </c>
      <c r="I366" s="257"/>
    </row>
    <row r="367" spans="4:9">
      <c r="D367" s="267">
        <v>12398</v>
      </c>
      <c r="E367" s="211" t="s">
        <v>26</v>
      </c>
      <c r="F367" s="263" t="str">
        <f>IFERROR(IF(COUNTIF(Consolidado!$E$3:$E$358,'Range de Logins'!$D367)&gt;0,"Em uso","Livre"),"-")</f>
        <v>Livre</v>
      </c>
      <c r="G367" s="211" t="s">
        <v>1265</v>
      </c>
      <c r="H367" s="211" t="str">
        <f>IFERROR(VLOOKUP(D367,Consolidado!$E$3:$K$311,7,0),"")</f>
        <v/>
      </c>
      <c r="I367" s="257"/>
    </row>
    <row r="368" spans="4:9">
      <c r="D368" s="267">
        <v>12399</v>
      </c>
      <c r="E368" s="211" t="s">
        <v>26</v>
      </c>
      <c r="F368" s="263" t="str">
        <f>IFERROR(IF(COUNTIF(Consolidado!$E$3:$E$358,'Range de Logins'!$D368)&gt;0,"Em uso","Livre"),"-")</f>
        <v>Livre</v>
      </c>
      <c r="G368" s="211" t="s">
        <v>1265</v>
      </c>
      <c r="H368" s="211" t="str">
        <f>IFERROR(VLOOKUP(D368,Consolidado!$E$3:$K$311,7,0),"")</f>
        <v/>
      </c>
      <c r="I368" s="257"/>
    </row>
    <row r="369" spans="4:9">
      <c r="D369" s="267">
        <v>12400</v>
      </c>
      <c r="E369" s="211" t="s">
        <v>26</v>
      </c>
      <c r="F369" s="263" t="str">
        <f>IFERROR(IF(COUNTIF(Consolidado!$E$3:$E$358,'Range de Logins'!$D369)&gt;0,"Em uso","Livre"),"-")</f>
        <v>Livre</v>
      </c>
      <c r="G369" s="211" t="s">
        <v>1265</v>
      </c>
      <c r="H369" s="211" t="str">
        <f>IFERROR(VLOOKUP(D369,Consolidado!$E$3:$K$311,7,0),"")</f>
        <v/>
      </c>
      <c r="I369" s="257"/>
    </row>
    <row r="370" spans="4:9">
      <c r="D370" s="267">
        <v>12401</v>
      </c>
      <c r="E370" s="211" t="s">
        <v>26</v>
      </c>
      <c r="F370" s="263" t="str">
        <f>IFERROR(IF(COUNTIF(Consolidado!$E$3:$E$358,'Range de Logins'!$D370)&gt;0,"Em uso","Livre"),"-")</f>
        <v>Livre</v>
      </c>
      <c r="G370" s="211" t="s">
        <v>1265</v>
      </c>
      <c r="H370" s="211" t="str">
        <f>IFERROR(VLOOKUP(D370,Consolidado!$E$3:$K$311,7,0),"")</f>
        <v/>
      </c>
      <c r="I370" s="257"/>
    </row>
    <row r="371" spans="4:9">
      <c r="D371" s="267">
        <v>12405</v>
      </c>
      <c r="E371" s="211" t="s">
        <v>26</v>
      </c>
      <c r="F371" s="263" t="str">
        <f>IFERROR(IF(COUNTIF(Consolidado!$E$3:$E$358,'Range de Logins'!$D371)&gt;0,"Em uso","Livre"),"-")</f>
        <v>Livre</v>
      </c>
      <c r="G371" s="211" t="s">
        <v>1265</v>
      </c>
      <c r="H371" s="211" t="str">
        <f>IFERROR(VLOOKUP(D371,Consolidado!$E$3:$K$311,7,0),"")</f>
        <v/>
      </c>
      <c r="I371" s="257"/>
    </row>
    <row r="372" spans="4:9">
      <c r="D372" s="267">
        <v>12407</v>
      </c>
      <c r="E372" s="211" t="s">
        <v>26</v>
      </c>
      <c r="F372" s="263" t="str">
        <f>IFERROR(IF(COUNTIF(Consolidado!$E$3:$E$358,'Range de Logins'!$D372)&gt;0,"Em uso","Livre"),"-")</f>
        <v>Livre</v>
      </c>
      <c r="G372" s="211" t="s">
        <v>1265</v>
      </c>
      <c r="H372" s="211" t="str">
        <f>IFERROR(VLOOKUP(D372,Consolidado!$E$3:$K$311,7,0),"")</f>
        <v/>
      </c>
      <c r="I372" s="257"/>
    </row>
    <row r="373" spans="4:9">
      <c r="D373" s="267">
        <v>12409</v>
      </c>
      <c r="E373" s="211" t="s">
        <v>26</v>
      </c>
      <c r="F373" s="263" t="str">
        <f>IFERROR(IF(COUNTIF(Consolidado!$E$3:$E$358,'Range de Logins'!$D373)&gt;0,"Em uso","Livre"),"-")</f>
        <v>Livre</v>
      </c>
      <c r="G373" s="211" t="s">
        <v>1065</v>
      </c>
      <c r="H373" s="211" t="str">
        <f>IFERROR(VLOOKUP(D373,Consolidado!$E$3:$K$311,7,0),"")</f>
        <v/>
      </c>
      <c r="I373" s="257"/>
    </row>
    <row r="374" spans="4:9">
      <c r="D374" s="267">
        <v>12410</v>
      </c>
      <c r="E374" s="211" t="s">
        <v>26</v>
      </c>
      <c r="F374" s="263" t="str">
        <f>IFERROR(IF(COUNTIF(Consolidado!$E$3:$E$358,'Range de Logins'!$D374)&gt;0,"Em uso","Livre"),"-")</f>
        <v>Livre</v>
      </c>
      <c r="G374" s="211" t="s">
        <v>1265</v>
      </c>
      <c r="H374" s="211" t="str">
        <f>IFERROR(VLOOKUP(D374,Consolidado!$E$3:$K$311,7,0),"")</f>
        <v/>
      </c>
      <c r="I374" s="257"/>
    </row>
    <row r="375" spans="4:9">
      <c r="D375" s="267">
        <v>12411</v>
      </c>
      <c r="E375" s="211">
        <v>435769</v>
      </c>
      <c r="F375" s="263" t="str">
        <f>IFERROR(IF(COUNTIF(Consolidado!$E$3:$E$358,'Range de Logins'!$D375)&gt;0,"Em uso","Livre"),"-")</f>
        <v>Livre</v>
      </c>
      <c r="G375" s="211" t="s">
        <v>1065</v>
      </c>
      <c r="H375" s="211" t="str">
        <f>IFERROR(VLOOKUP(D375,Consolidado!$E$3:$K$311,7,0),"")</f>
        <v/>
      </c>
      <c r="I375" s="257"/>
    </row>
    <row r="376" spans="4:9">
      <c r="D376" s="267">
        <v>12412</v>
      </c>
      <c r="E376" s="211">
        <v>868206</v>
      </c>
      <c r="F376" s="263" t="str">
        <f>IFERROR(IF(COUNTIF(Consolidado!$E$3:$E$358,'Range de Logins'!$D376)&gt;0,"Em uso","Livre"),"-")</f>
        <v>Livre</v>
      </c>
      <c r="G376" s="211" t="s">
        <v>1065</v>
      </c>
      <c r="H376" s="211" t="str">
        <f>IFERROR(VLOOKUP(D376,Consolidado!$E$3:$K$311,7,0),"")</f>
        <v/>
      </c>
      <c r="I376" s="257"/>
    </row>
    <row r="377" spans="4:9">
      <c r="D377" s="267">
        <v>12416</v>
      </c>
      <c r="E377" s="211">
        <v>513316</v>
      </c>
      <c r="F377" s="263" t="str">
        <f>IFERROR(IF(COUNTIF(Consolidado!$E$3:$E$358,'Range de Logins'!$D377)&gt;0,"Em uso","Livre"),"-")</f>
        <v>Em uso</v>
      </c>
      <c r="G377" s="211" t="s">
        <v>1065</v>
      </c>
      <c r="H377" s="211" t="str">
        <f>IFERROR(VLOOKUP(D377,Consolidado!$E$3:$K$311,7,0),"")</f>
        <v>IPG</v>
      </c>
      <c r="I377" s="257"/>
    </row>
    <row r="378" spans="4:9">
      <c r="D378" s="267">
        <v>12417</v>
      </c>
      <c r="E378" s="211" t="s">
        <v>26</v>
      </c>
      <c r="F378" s="263" t="str">
        <f>IFERROR(IF(COUNTIF(Consolidado!$E$3:$E$358,'Range de Logins'!$D378)&gt;0,"Em uso","Livre"),"-")</f>
        <v>Livre</v>
      </c>
      <c r="G378" s="211" t="s">
        <v>1265</v>
      </c>
      <c r="H378" s="211" t="str">
        <f>IFERROR(VLOOKUP(D378,Consolidado!$E$3:$K$311,7,0),"")</f>
        <v/>
      </c>
      <c r="I378" s="257"/>
    </row>
    <row r="379" spans="4:9">
      <c r="D379" s="267">
        <v>12418</v>
      </c>
      <c r="E379" s="211" t="s">
        <v>26</v>
      </c>
      <c r="F379" s="263" t="str">
        <f>IFERROR(IF(COUNTIF(Consolidado!$E$3:$E$358,'Range de Logins'!$D379)&gt;0,"Em uso","Livre"),"-")</f>
        <v>Livre</v>
      </c>
      <c r="G379" s="211" t="s">
        <v>1265</v>
      </c>
      <c r="H379" s="211" t="str">
        <f>IFERROR(VLOOKUP(D379,Consolidado!$E$3:$K$311,7,0),"")</f>
        <v/>
      </c>
      <c r="I379" s="257"/>
    </row>
    <row r="380" spans="4:9">
      <c r="D380" s="267">
        <v>12419</v>
      </c>
      <c r="E380" s="211" t="s">
        <v>26</v>
      </c>
      <c r="F380" s="263" t="str">
        <f>IFERROR(IF(COUNTIF(Consolidado!$E$3:$E$358,'Range de Logins'!$D380)&gt;0,"Em uso","Livre"),"-")</f>
        <v>Livre</v>
      </c>
      <c r="G380" s="211" t="s">
        <v>1265</v>
      </c>
      <c r="H380" s="211" t="str">
        <f>IFERROR(VLOOKUP(D380,Consolidado!$E$3:$K$311,7,0),"")</f>
        <v/>
      </c>
      <c r="I380" s="257"/>
    </row>
    <row r="381" spans="4:9">
      <c r="D381" s="267">
        <v>12420</v>
      </c>
      <c r="E381" s="211" t="s">
        <v>26</v>
      </c>
      <c r="F381" s="263" t="str">
        <f>IFERROR(IF(COUNTIF(Consolidado!$E$3:$E$358,'Range de Logins'!$D381)&gt;0,"Em uso","Livre"),"-")</f>
        <v>Livre</v>
      </c>
      <c r="G381" s="211" t="s">
        <v>1265</v>
      </c>
      <c r="H381" s="211" t="str">
        <f>IFERROR(VLOOKUP(D381,Consolidado!$E$3:$K$311,7,0),"")</f>
        <v/>
      </c>
      <c r="I381" s="257"/>
    </row>
    <row r="382" spans="4:9">
      <c r="D382" s="267">
        <v>12421</v>
      </c>
      <c r="E382" s="211" t="s">
        <v>26</v>
      </c>
      <c r="F382" s="263" t="str">
        <f>IFERROR(IF(COUNTIF(Consolidado!$E$3:$E$358,'Range de Logins'!$D382)&gt;0,"Em uso","Livre"),"-")</f>
        <v>Livre</v>
      </c>
      <c r="G382" s="211" t="s">
        <v>1265</v>
      </c>
      <c r="H382" s="211" t="str">
        <f>IFERROR(VLOOKUP(D382,Consolidado!$E$3:$K$311,7,0),"")</f>
        <v/>
      </c>
      <c r="I382" s="257"/>
    </row>
    <row r="383" spans="4:9">
      <c r="D383" s="267">
        <v>12422</v>
      </c>
      <c r="E383" s="211" t="s">
        <v>26</v>
      </c>
      <c r="F383" s="263" t="str">
        <f>IFERROR(IF(COUNTIF(Consolidado!$E$3:$E$358,'Range de Logins'!$D383)&gt;0,"Em uso","Livre"),"-")</f>
        <v>Livre</v>
      </c>
      <c r="G383" s="211" t="s">
        <v>1265</v>
      </c>
      <c r="H383" s="211" t="str">
        <f>IFERROR(VLOOKUP(D383,Consolidado!$E$3:$K$311,7,0),"")</f>
        <v/>
      </c>
      <c r="I383" s="257"/>
    </row>
    <row r="384" spans="4:9">
      <c r="D384" s="267">
        <v>12423</v>
      </c>
      <c r="E384" s="211">
        <v>688654</v>
      </c>
      <c r="F384" s="263" t="str">
        <f>IFERROR(IF(COUNTIF(Consolidado!$E$3:$E$358,'Range de Logins'!$D384)&gt;0,"Em uso","Livre"),"-")</f>
        <v>Livre</v>
      </c>
      <c r="G384" s="211" t="s">
        <v>1065</v>
      </c>
      <c r="H384" s="211" t="str">
        <f>IFERROR(VLOOKUP(D384,Consolidado!$E$3:$K$311,7,0),"")</f>
        <v/>
      </c>
      <c r="I384" s="257"/>
    </row>
    <row r="385" spans="4:9">
      <c r="D385" s="267">
        <v>12424</v>
      </c>
      <c r="E385" s="211" t="s">
        <v>26</v>
      </c>
      <c r="F385" s="263" t="str">
        <f>IFERROR(IF(COUNTIF(Consolidado!$E$3:$E$358,'Range de Logins'!$D385)&gt;0,"Em uso","Livre"),"-")</f>
        <v>Livre</v>
      </c>
      <c r="G385" s="211" t="s">
        <v>1265</v>
      </c>
      <c r="H385" s="211" t="str">
        <f>IFERROR(VLOOKUP(D385,Consolidado!$E$3:$K$311,7,0),"")</f>
        <v/>
      </c>
      <c r="I385" s="257"/>
    </row>
    <row r="386" spans="4:9">
      <c r="D386" s="267">
        <v>12426</v>
      </c>
      <c r="E386" s="211" t="s">
        <v>26</v>
      </c>
      <c r="F386" s="263" t="str">
        <f>IFERROR(IF(COUNTIF(Consolidado!$E$3:$E$358,'Range de Logins'!$D386)&gt;0,"Em uso","Livre"),"-")</f>
        <v>Livre</v>
      </c>
      <c r="G386" s="211" t="s">
        <v>1265</v>
      </c>
      <c r="H386" s="211" t="str">
        <f>IFERROR(VLOOKUP(D386,Consolidado!$E$3:$K$311,7,0),"")</f>
        <v/>
      </c>
      <c r="I386" s="257"/>
    </row>
    <row r="387" spans="4:9">
      <c r="D387" s="267">
        <v>12427</v>
      </c>
      <c r="E387" s="211" t="s">
        <v>26</v>
      </c>
      <c r="F387" s="263" t="str">
        <f>IFERROR(IF(COUNTIF(Consolidado!$E$3:$E$358,'Range de Logins'!$D387)&gt;0,"Em uso","Livre"),"-")</f>
        <v>Livre</v>
      </c>
      <c r="G387" s="211" t="s">
        <v>1265</v>
      </c>
      <c r="H387" s="211" t="str">
        <f>IFERROR(VLOOKUP(D387,Consolidado!$E$3:$K$311,7,0),"")</f>
        <v/>
      </c>
      <c r="I387" s="257"/>
    </row>
    <row r="388" spans="4:9">
      <c r="D388" s="267">
        <v>12428</v>
      </c>
      <c r="E388" s="211" t="s">
        <v>26</v>
      </c>
      <c r="F388" s="263" t="str">
        <f>IFERROR(IF(COUNTIF(Consolidado!$E$3:$E$358,'Range de Logins'!$D388)&gt;0,"Em uso","Livre"),"-")</f>
        <v>Livre</v>
      </c>
      <c r="G388" s="211" t="s">
        <v>1265</v>
      </c>
      <c r="H388" s="211" t="str">
        <f>IFERROR(VLOOKUP(D388,Consolidado!$E$3:$K$311,7,0),"")</f>
        <v/>
      </c>
      <c r="I388" s="257"/>
    </row>
    <row r="389" spans="4:9">
      <c r="D389" s="267">
        <v>12429</v>
      </c>
      <c r="E389" s="211" t="s">
        <v>26</v>
      </c>
      <c r="F389" s="263" t="str">
        <f>IFERROR(IF(COUNTIF(Consolidado!$E$3:$E$358,'Range de Logins'!$D389)&gt;0,"Em uso","Livre"),"-")</f>
        <v>Livre</v>
      </c>
      <c r="G389" s="211" t="s">
        <v>1265</v>
      </c>
      <c r="H389" s="211" t="str">
        <f>IFERROR(VLOOKUP(D389,Consolidado!$E$3:$K$311,7,0),"")</f>
        <v/>
      </c>
      <c r="I389" s="257"/>
    </row>
    <row r="390" spans="4:9">
      <c r="D390" s="267">
        <v>12431</v>
      </c>
      <c r="E390" s="211" t="s">
        <v>26</v>
      </c>
      <c r="F390" s="263" t="str">
        <f>IFERROR(IF(COUNTIF(Consolidado!$E$3:$E$358,'Range de Logins'!$D390)&gt;0,"Em uso","Livre"),"-")</f>
        <v>Livre</v>
      </c>
      <c r="G390" s="211" t="s">
        <v>1265</v>
      </c>
      <c r="H390" s="211" t="str">
        <f>IFERROR(VLOOKUP(D390,Consolidado!$E$3:$K$311,7,0),"")</f>
        <v/>
      </c>
      <c r="I390" s="257"/>
    </row>
    <row r="391" spans="4:9">
      <c r="D391" s="267">
        <v>12432</v>
      </c>
      <c r="E391" s="211">
        <v>0</v>
      </c>
      <c r="F391" s="263" t="str">
        <f>IFERROR(IF(COUNTIF(Consolidado!$E$3:$E$358,'Range de Logins'!$D391)&gt;0,"Em uso","Livre"),"-")</f>
        <v>Livre</v>
      </c>
      <c r="G391" s="211" t="s">
        <v>1065</v>
      </c>
      <c r="H391" s="211" t="str">
        <f>IFERROR(VLOOKUP(D391,Consolidado!$E$3:$K$311,7,0),"")</f>
        <v/>
      </c>
      <c r="I391" s="257"/>
    </row>
    <row r="392" spans="4:9">
      <c r="D392" s="267">
        <v>12433</v>
      </c>
      <c r="E392" s="211" t="s">
        <v>26</v>
      </c>
      <c r="F392" s="263" t="str">
        <f>IFERROR(IF(COUNTIF(Consolidado!$E$3:$E$358,'Range de Logins'!$D392)&gt;0,"Em uso","Livre"),"-")</f>
        <v>Livre</v>
      </c>
      <c r="G392" s="211" t="s">
        <v>1265</v>
      </c>
      <c r="H392" s="211" t="str">
        <f>IFERROR(VLOOKUP(D392,Consolidado!$E$3:$K$311,7,0),"")</f>
        <v/>
      </c>
      <c r="I392" s="257"/>
    </row>
    <row r="393" spans="4:9">
      <c r="D393" s="267">
        <v>12434</v>
      </c>
      <c r="E393" s="211" t="s">
        <v>26</v>
      </c>
      <c r="F393" s="263" t="str">
        <f>IFERROR(IF(COUNTIF(Consolidado!$E$3:$E$358,'Range de Logins'!$D393)&gt;0,"Em uso","Livre"),"-")</f>
        <v>Livre</v>
      </c>
      <c r="G393" s="211" t="s">
        <v>1265</v>
      </c>
      <c r="H393" s="211" t="str">
        <f>IFERROR(VLOOKUP(D393,Consolidado!$E$3:$K$311,7,0),"")</f>
        <v/>
      </c>
      <c r="I393" s="257"/>
    </row>
    <row r="394" spans="4:9">
      <c r="D394" s="267">
        <v>12435</v>
      </c>
      <c r="E394" s="211">
        <v>169784</v>
      </c>
      <c r="F394" s="263" t="str">
        <f>IFERROR(IF(COUNTIF(Consolidado!$E$3:$E$358,'Range de Logins'!$D394)&gt;0,"Em uso","Livre"),"-")</f>
        <v>Livre</v>
      </c>
      <c r="G394" s="211" t="s">
        <v>1065</v>
      </c>
      <c r="H394" s="211" t="str">
        <f>IFERROR(VLOOKUP(D394,Consolidado!$E$3:$K$311,7,0),"")</f>
        <v/>
      </c>
      <c r="I394" s="257"/>
    </row>
    <row r="395" spans="4:9">
      <c r="D395" s="267">
        <v>12436</v>
      </c>
      <c r="E395" s="211" t="s">
        <v>26</v>
      </c>
      <c r="F395" s="263" t="str">
        <f>IFERROR(IF(COUNTIF(Consolidado!$E$3:$E$358,'Range de Logins'!$D395)&gt;0,"Em uso","Livre"),"-")</f>
        <v>Livre</v>
      </c>
      <c r="G395" s="211" t="s">
        <v>1265</v>
      </c>
      <c r="H395" s="211" t="str">
        <f>IFERROR(VLOOKUP(D395,Consolidado!$E$3:$K$311,7,0),"")</f>
        <v/>
      </c>
      <c r="I395" s="257"/>
    </row>
    <row r="396" spans="4:9">
      <c r="D396" s="267">
        <v>12438</v>
      </c>
      <c r="E396" s="211" t="s">
        <v>26</v>
      </c>
      <c r="F396" s="263" t="str">
        <f>IFERROR(IF(COUNTIF(Consolidado!$E$3:$E$358,'Range de Logins'!$D396)&gt;0,"Em uso","Livre"),"-")</f>
        <v>Livre</v>
      </c>
      <c r="G396" s="211" t="s">
        <v>1265</v>
      </c>
      <c r="H396" s="211" t="str">
        <f>IFERROR(VLOOKUP(D396,Consolidado!$E$3:$K$311,7,0),"")</f>
        <v/>
      </c>
      <c r="I396" s="257"/>
    </row>
    <row r="397" spans="4:9">
      <c r="D397" s="267">
        <v>12439</v>
      </c>
      <c r="E397" s="211">
        <v>460164</v>
      </c>
      <c r="F397" s="263" t="str">
        <f>IFERROR(IF(COUNTIF(Consolidado!$E$3:$E$358,'Range de Logins'!$D397)&gt;0,"Em uso","Livre"),"-")</f>
        <v>Livre</v>
      </c>
      <c r="G397" s="211" t="s">
        <v>1065</v>
      </c>
      <c r="H397" s="211" t="str">
        <f>IFERROR(VLOOKUP(D397,Consolidado!$E$3:$K$311,7,0),"")</f>
        <v/>
      </c>
      <c r="I397" s="257"/>
    </row>
    <row r="398" spans="4:9">
      <c r="D398" s="267">
        <v>12441</v>
      </c>
      <c r="E398" s="211" t="s">
        <v>26</v>
      </c>
      <c r="F398" s="263" t="str">
        <f>IFERROR(IF(COUNTIF(Consolidado!$E$3:$E$358,'Range de Logins'!$D398)&gt;0,"Em uso","Livre"),"-")</f>
        <v>Livre</v>
      </c>
      <c r="G398" s="211" t="s">
        <v>1265</v>
      </c>
      <c r="H398" s="211" t="str">
        <f>IFERROR(VLOOKUP(D398,Consolidado!$E$3:$K$311,7,0),"")</f>
        <v/>
      </c>
      <c r="I398" s="257"/>
    </row>
    <row r="399" spans="4:9">
      <c r="D399" s="267">
        <v>12442</v>
      </c>
      <c r="E399" s="211" t="s">
        <v>26</v>
      </c>
      <c r="F399" s="263" t="str">
        <f>IFERROR(IF(COUNTIF(Consolidado!$E$3:$E$358,'Range de Logins'!$D399)&gt;0,"Em uso","Livre"),"-")</f>
        <v>Livre</v>
      </c>
      <c r="G399" s="211" t="s">
        <v>1265</v>
      </c>
      <c r="H399" s="211" t="str">
        <f>IFERROR(VLOOKUP(D399,Consolidado!$E$3:$K$311,7,0),"")</f>
        <v/>
      </c>
      <c r="I399" s="257"/>
    </row>
    <row r="400" spans="4:9">
      <c r="D400" s="267">
        <v>12444</v>
      </c>
      <c r="E400" s="211" t="s">
        <v>26</v>
      </c>
      <c r="F400" s="263" t="str">
        <f>IFERROR(IF(COUNTIF(Consolidado!$E$3:$E$358,'Range de Logins'!$D400)&gt;0,"Em uso","Livre"),"-")</f>
        <v>Livre</v>
      </c>
      <c r="G400" s="211" t="s">
        <v>1265</v>
      </c>
      <c r="H400" s="211" t="str">
        <f>IFERROR(VLOOKUP(D400,Consolidado!$E$3:$K$311,7,0),"")</f>
        <v/>
      </c>
      <c r="I400" s="257"/>
    </row>
    <row r="401" spans="4:9">
      <c r="D401" s="267">
        <v>12445</v>
      </c>
      <c r="E401" s="211">
        <v>782613</v>
      </c>
      <c r="F401" s="263" t="str">
        <f>IFERROR(IF(COUNTIF(Consolidado!$E$3:$E$358,'Range de Logins'!$D401)&gt;0,"Em uso","Livre"),"-")</f>
        <v>Livre</v>
      </c>
      <c r="G401" s="211" t="s">
        <v>1065</v>
      </c>
      <c r="H401" s="211" t="str">
        <f>IFERROR(VLOOKUP(D401,Consolidado!$E$3:$K$311,7,0),"")</f>
        <v/>
      </c>
      <c r="I401" s="257"/>
    </row>
    <row r="402" spans="4:9">
      <c r="D402" s="267">
        <v>12446</v>
      </c>
      <c r="E402" s="211" t="s">
        <v>26</v>
      </c>
      <c r="F402" s="263" t="str">
        <f>IFERROR(IF(COUNTIF(Consolidado!$E$3:$E$358,'Range de Logins'!$D402)&gt;0,"Em uso","Livre"),"-")</f>
        <v>Livre</v>
      </c>
      <c r="G402" s="211" t="s">
        <v>1265</v>
      </c>
      <c r="H402" s="211" t="str">
        <f>IFERROR(VLOOKUP(D402,Consolidado!$E$3:$K$311,7,0),"")</f>
        <v/>
      </c>
      <c r="I402" s="257"/>
    </row>
    <row r="403" spans="4:9">
      <c r="D403" s="267">
        <v>12448</v>
      </c>
      <c r="E403" s="211" t="s">
        <v>26</v>
      </c>
      <c r="F403" s="263" t="str">
        <f>IFERROR(IF(COUNTIF(Consolidado!$E$3:$E$358,'Range de Logins'!$D403)&gt;0,"Em uso","Livre"),"-")</f>
        <v>Livre</v>
      </c>
      <c r="G403" s="211" t="s">
        <v>1265</v>
      </c>
      <c r="H403" s="211" t="str">
        <f>IFERROR(VLOOKUP(D403,Consolidado!$E$3:$K$311,7,0),"")</f>
        <v/>
      </c>
      <c r="I403" s="257"/>
    </row>
    <row r="404" spans="4:9">
      <c r="D404" s="267">
        <v>12449</v>
      </c>
      <c r="E404" s="211" t="s">
        <v>26</v>
      </c>
      <c r="F404" s="263" t="str">
        <f>IFERROR(IF(COUNTIF(Consolidado!$E$3:$E$358,'Range de Logins'!$D404)&gt;0,"Em uso","Livre"),"-")</f>
        <v>Livre</v>
      </c>
      <c r="G404" s="211" t="s">
        <v>1265</v>
      </c>
      <c r="H404" s="211" t="str">
        <f>IFERROR(VLOOKUP(D404,Consolidado!$E$3:$K$311,7,0),"")</f>
        <v/>
      </c>
      <c r="I404" s="257"/>
    </row>
    <row r="405" spans="4:9">
      <c r="D405" s="267">
        <v>12450</v>
      </c>
      <c r="E405" s="211" t="s">
        <v>26</v>
      </c>
      <c r="F405" s="263" t="str">
        <f>IFERROR(IF(COUNTIF(Consolidado!$E$3:$E$358,'Range de Logins'!$D405)&gt;0,"Em uso","Livre"),"-")</f>
        <v>Livre</v>
      </c>
      <c r="G405" s="211" t="s">
        <v>1265</v>
      </c>
      <c r="H405" s="211" t="str">
        <f>IFERROR(VLOOKUP(D405,Consolidado!$E$3:$K$311,7,0),"")</f>
        <v/>
      </c>
      <c r="I405" s="257"/>
    </row>
    <row r="406" spans="4:9">
      <c r="D406" s="267">
        <v>12451</v>
      </c>
      <c r="E406" s="211" t="s">
        <v>26</v>
      </c>
      <c r="F406" s="263" t="str">
        <f>IFERROR(IF(COUNTIF(Consolidado!$E$3:$E$358,'Range de Logins'!$D406)&gt;0,"Em uso","Livre"),"-")</f>
        <v>Livre</v>
      </c>
      <c r="G406" s="211" t="s">
        <v>1265</v>
      </c>
      <c r="H406" s="211" t="str">
        <f>IFERROR(VLOOKUP(D406,Consolidado!$E$3:$K$311,7,0),"")</f>
        <v/>
      </c>
      <c r="I406" s="257"/>
    </row>
    <row r="407" spans="4:9">
      <c r="D407" s="267">
        <v>12452</v>
      </c>
      <c r="E407" s="211" t="s">
        <v>26</v>
      </c>
      <c r="F407" s="263" t="str">
        <f>IFERROR(IF(COUNTIF(Consolidado!$E$3:$E$358,'Range de Logins'!$D407)&gt;0,"Em uso","Livre"),"-")</f>
        <v>Livre</v>
      </c>
      <c r="G407" s="211" t="s">
        <v>1265</v>
      </c>
      <c r="H407" s="211" t="str">
        <f>IFERROR(VLOOKUP(D407,Consolidado!$E$3:$K$311,7,0),"")</f>
        <v/>
      </c>
      <c r="I407" s="257"/>
    </row>
    <row r="408" spans="4:9">
      <c r="D408" s="267">
        <v>12453</v>
      </c>
      <c r="E408" s="211" t="s">
        <v>26</v>
      </c>
      <c r="F408" s="263" t="str">
        <f>IFERROR(IF(COUNTIF(Consolidado!$E$3:$E$358,'Range de Logins'!$D408)&gt;0,"Em uso","Livre"),"-")</f>
        <v>Livre</v>
      </c>
      <c r="G408" s="211" t="s">
        <v>1265</v>
      </c>
      <c r="H408" s="211" t="str">
        <f>IFERROR(VLOOKUP(D408,Consolidado!$E$3:$K$311,7,0),"")</f>
        <v/>
      </c>
      <c r="I408" s="257"/>
    </row>
    <row r="409" spans="4:9">
      <c r="D409" s="267">
        <v>12454</v>
      </c>
      <c r="E409" s="211" t="s">
        <v>26</v>
      </c>
      <c r="F409" s="263" t="str">
        <f>IFERROR(IF(COUNTIF(Consolidado!$E$3:$E$358,'Range de Logins'!$D409)&gt;0,"Em uso","Livre"),"-")</f>
        <v>Livre</v>
      </c>
      <c r="G409" s="211" t="s">
        <v>1265</v>
      </c>
      <c r="H409" s="211" t="str">
        <f>IFERROR(VLOOKUP(D409,Consolidado!$E$3:$K$311,7,0),"")</f>
        <v/>
      </c>
      <c r="I409" s="257"/>
    </row>
    <row r="410" spans="4:9">
      <c r="D410" s="267">
        <v>12455</v>
      </c>
      <c r="E410" s="211" t="s">
        <v>26</v>
      </c>
      <c r="F410" s="263" t="str">
        <f>IFERROR(IF(COUNTIF(Consolidado!$E$3:$E$358,'Range de Logins'!$D410)&gt;0,"Em uso","Livre"),"-")</f>
        <v>Livre</v>
      </c>
      <c r="G410" s="211" t="s">
        <v>1265</v>
      </c>
      <c r="H410" s="211" t="str">
        <f>IFERROR(VLOOKUP(D410,Consolidado!$E$3:$K$311,7,0),"")</f>
        <v/>
      </c>
      <c r="I410" s="257"/>
    </row>
    <row r="411" spans="4:9">
      <c r="D411" s="267">
        <v>12456</v>
      </c>
      <c r="E411" s="211" t="s">
        <v>26</v>
      </c>
      <c r="F411" s="263" t="str">
        <f>IFERROR(IF(COUNTIF(Consolidado!$E$3:$E$358,'Range de Logins'!$D411)&gt;0,"Em uso","Livre"),"-")</f>
        <v>Livre</v>
      </c>
      <c r="G411" s="211" t="s">
        <v>1265</v>
      </c>
      <c r="H411" s="211" t="str">
        <f>IFERROR(VLOOKUP(D411,Consolidado!$E$3:$K$311,7,0),"")</f>
        <v/>
      </c>
      <c r="I411" s="257"/>
    </row>
    <row r="412" spans="4:9">
      <c r="D412" s="267">
        <v>12458</v>
      </c>
      <c r="E412" s="211">
        <v>958634</v>
      </c>
      <c r="F412" s="263" t="str">
        <f>IFERROR(IF(COUNTIF(Consolidado!$E$3:$E$358,'Range de Logins'!$D412)&gt;0,"Em uso","Livre"),"-")</f>
        <v>Livre</v>
      </c>
      <c r="G412" s="211" t="s">
        <v>1065</v>
      </c>
      <c r="H412" s="211" t="str">
        <f>IFERROR(VLOOKUP(D412,Consolidado!$E$3:$K$311,7,0),"")</f>
        <v/>
      </c>
      <c r="I412" s="257"/>
    </row>
    <row r="413" spans="4:9">
      <c r="D413" s="267">
        <v>12460</v>
      </c>
      <c r="E413" s="211" t="s">
        <v>26</v>
      </c>
      <c r="F413" s="263" t="str">
        <f>IFERROR(IF(COUNTIF(Consolidado!$E$3:$E$358,'Range de Logins'!$D413)&gt;0,"Em uso","Livre"),"-")</f>
        <v>Livre</v>
      </c>
      <c r="G413" s="211" t="s">
        <v>1265</v>
      </c>
      <c r="H413" s="211" t="str">
        <f>IFERROR(VLOOKUP(D413,Consolidado!$E$3:$K$311,7,0),"")</f>
        <v/>
      </c>
      <c r="I413" s="257"/>
    </row>
    <row r="414" spans="4:9">
      <c r="D414" s="267">
        <v>12461</v>
      </c>
      <c r="E414" s="211" t="s">
        <v>26</v>
      </c>
      <c r="F414" s="263" t="str">
        <f>IFERROR(IF(COUNTIF(Consolidado!$E$3:$E$358,'Range de Logins'!$D414)&gt;0,"Em uso","Livre"),"-")</f>
        <v>Livre</v>
      </c>
      <c r="G414" s="211" t="s">
        <v>1265</v>
      </c>
      <c r="H414" s="211" t="str">
        <f>IFERROR(VLOOKUP(D414,Consolidado!$E$3:$K$311,7,0),"")</f>
        <v/>
      </c>
      <c r="I414" s="257"/>
    </row>
    <row r="415" spans="4:9">
      <c r="D415" s="267">
        <v>12463</v>
      </c>
      <c r="E415" s="211">
        <v>567402</v>
      </c>
      <c r="F415" s="263" t="str">
        <f>IFERROR(IF(COUNTIF(Consolidado!$E$3:$E$358,'Range de Logins'!$D415)&gt;0,"Em uso","Livre"),"-")</f>
        <v>Livre</v>
      </c>
      <c r="G415" s="211" t="s">
        <v>1065</v>
      </c>
      <c r="H415" s="211" t="str">
        <f>IFERROR(VLOOKUP(D415,Consolidado!$E$3:$K$311,7,0),"")</f>
        <v/>
      </c>
      <c r="I415" s="257"/>
    </row>
    <row r="416" spans="4:9">
      <c r="D416" s="267">
        <v>12464</v>
      </c>
      <c r="E416" s="211" t="s">
        <v>26</v>
      </c>
      <c r="F416" s="263" t="str">
        <f>IFERROR(IF(COUNTIF(Consolidado!$E$3:$E$358,'Range de Logins'!$D416)&gt;0,"Em uso","Livre"),"-")</f>
        <v>Livre</v>
      </c>
      <c r="G416" s="211" t="s">
        <v>1265</v>
      </c>
      <c r="H416" s="211" t="str">
        <f>IFERROR(VLOOKUP(D416,Consolidado!$E$3:$K$311,7,0),"")</f>
        <v/>
      </c>
      <c r="I416" s="257"/>
    </row>
    <row r="417" spans="4:9">
      <c r="D417" s="267">
        <v>12465</v>
      </c>
      <c r="E417" s="211" t="s">
        <v>26</v>
      </c>
      <c r="F417" s="263" t="str">
        <f>IFERROR(IF(COUNTIF(Consolidado!$E$3:$E$358,'Range de Logins'!$D417)&gt;0,"Em uso","Livre"),"-")</f>
        <v>Livre</v>
      </c>
      <c r="G417" s="211" t="s">
        <v>1265</v>
      </c>
      <c r="H417" s="211" t="str">
        <f>IFERROR(VLOOKUP(D417,Consolidado!$E$3:$K$311,7,0),"")</f>
        <v/>
      </c>
      <c r="I417" s="257"/>
    </row>
    <row r="418" spans="4:9">
      <c r="D418" s="267">
        <v>12466</v>
      </c>
      <c r="E418" s="211" t="s">
        <v>26</v>
      </c>
      <c r="F418" s="263" t="str">
        <f>IFERROR(IF(COUNTIF(Consolidado!$E$3:$E$358,'Range de Logins'!$D418)&gt;0,"Em uso","Livre"),"-")</f>
        <v>Livre</v>
      </c>
      <c r="G418" s="211" t="s">
        <v>1265</v>
      </c>
      <c r="H418" s="211" t="str">
        <f>IFERROR(VLOOKUP(D418,Consolidado!$E$3:$K$311,7,0),"")</f>
        <v/>
      </c>
      <c r="I418" s="257"/>
    </row>
    <row r="419" spans="4:9">
      <c r="D419" s="267">
        <v>12467</v>
      </c>
      <c r="E419" s="211" t="s">
        <v>26</v>
      </c>
      <c r="F419" s="263" t="str">
        <f>IFERROR(IF(COUNTIF(Consolidado!$E$3:$E$358,'Range de Logins'!$D419)&gt;0,"Em uso","Livre"),"-")</f>
        <v>Livre</v>
      </c>
      <c r="G419" s="211" t="s">
        <v>1265</v>
      </c>
      <c r="H419" s="211" t="str">
        <f>IFERROR(VLOOKUP(D419,Consolidado!$E$3:$K$311,7,0),"")</f>
        <v/>
      </c>
      <c r="I419" s="257"/>
    </row>
    <row r="420" spans="4:9">
      <c r="D420" s="267">
        <v>12468</v>
      </c>
      <c r="E420" s="211" t="s">
        <v>26</v>
      </c>
      <c r="F420" s="263" t="str">
        <f>IFERROR(IF(COUNTIF(Consolidado!$E$3:$E$358,'Range de Logins'!$D420)&gt;0,"Em uso","Livre"),"-")</f>
        <v>Livre</v>
      </c>
      <c r="G420" s="211" t="s">
        <v>1265</v>
      </c>
      <c r="H420" s="211" t="str">
        <f>IFERROR(VLOOKUP(D420,Consolidado!$E$3:$K$311,7,0),"")</f>
        <v/>
      </c>
      <c r="I420" s="257"/>
    </row>
    <row r="421" spans="4:9">
      <c r="D421" s="267">
        <v>12469</v>
      </c>
      <c r="E421" s="211">
        <v>612578</v>
      </c>
      <c r="F421" s="263" t="str">
        <f>IFERROR(IF(COUNTIF(Consolidado!$E$3:$E$358,'Range de Logins'!$D421)&gt;0,"Em uso","Livre"),"-")</f>
        <v>Livre</v>
      </c>
      <c r="G421" s="211" t="s">
        <v>1065</v>
      </c>
      <c r="H421" s="211" t="str">
        <f>IFERROR(VLOOKUP(D421,Consolidado!$E$3:$K$311,7,0),"")</f>
        <v/>
      </c>
      <c r="I421" s="257"/>
    </row>
    <row r="422" spans="4:9">
      <c r="D422" s="267">
        <v>12470</v>
      </c>
      <c r="E422" s="211" t="s">
        <v>26</v>
      </c>
      <c r="F422" s="263" t="str">
        <f>IFERROR(IF(COUNTIF(Consolidado!$E$3:$E$358,'Range de Logins'!$D422)&gt;0,"Em uso","Livre"),"-")</f>
        <v>Livre</v>
      </c>
      <c r="G422" s="211" t="s">
        <v>1265</v>
      </c>
      <c r="H422" s="211" t="str">
        <f>IFERROR(VLOOKUP(D422,Consolidado!$E$3:$K$311,7,0),"")</f>
        <v/>
      </c>
      <c r="I422" s="257"/>
    </row>
    <row r="423" spans="4:9">
      <c r="D423" s="267">
        <v>12472</v>
      </c>
      <c r="E423" s="211" t="s">
        <v>26</v>
      </c>
      <c r="F423" s="263" t="str">
        <f>IFERROR(IF(COUNTIF(Consolidado!$E$3:$E$358,'Range de Logins'!$D423)&gt;0,"Em uso","Livre"),"-")</f>
        <v>Livre</v>
      </c>
      <c r="G423" s="211" t="s">
        <v>1265</v>
      </c>
      <c r="H423" s="211" t="str">
        <f>IFERROR(VLOOKUP(D423,Consolidado!$E$3:$K$311,7,0),"")</f>
        <v/>
      </c>
      <c r="I423" s="257"/>
    </row>
    <row r="424" spans="4:9">
      <c r="D424" s="267">
        <v>12474</v>
      </c>
      <c r="E424" s="211" t="s">
        <v>26</v>
      </c>
      <c r="F424" s="263" t="str">
        <f>IFERROR(IF(COUNTIF(Consolidado!$E$3:$E$358,'Range de Logins'!$D424)&gt;0,"Em uso","Livre"),"-")</f>
        <v>Livre</v>
      </c>
      <c r="G424" s="211" t="s">
        <v>1265</v>
      </c>
      <c r="H424" s="211" t="str">
        <f>IFERROR(VLOOKUP(D424,Consolidado!$E$3:$K$311,7,0),"")</f>
        <v/>
      </c>
      <c r="I424" s="257"/>
    </row>
    <row r="425" spans="4:9">
      <c r="D425" s="267">
        <v>12475</v>
      </c>
      <c r="E425" s="211">
        <v>807820</v>
      </c>
      <c r="F425" s="263" t="str">
        <f>IFERROR(IF(COUNTIF(Consolidado!$E$3:$E$358,'Range de Logins'!$D425)&gt;0,"Em uso","Livre"),"-")</f>
        <v>Livre</v>
      </c>
      <c r="G425" s="211" t="s">
        <v>1065</v>
      </c>
      <c r="H425" s="211" t="str">
        <f>IFERROR(VLOOKUP(D425,Consolidado!$E$3:$K$311,7,0),"")</f>
        <v/>
      </c>
      <c r="I425" s="257"/>
    </row>
    <row r="426" spans="4:9">
      <c r="D426" s="267">
        <v>12476</v>
      </c>
      <c r="E426" s="211" t="s">
        <v>26</v>
      </c>
      <c r="F426" s="263" t="str">
        <f>IFERROR(IF(COUNTIF(Consolidado!$E$3:$E$358,'Range de Logins'!$D426)&gt;0,"Em uso","Livre"),"-")</f>
        <v>Livre</v>
      </c>
      <c r="G426" s="211" t="s">
        <v>1265</v>
      </c>
      <c r="H426" s="211" t="str">
        <f>IFERROR(VLOOKUP(D426,Consolidado!$E$3:$K$311,7,0),"")</f>
        <v/>
      </c>
      <c r="I426" s="257"/>
    </row>
    <row r="427" spans="4:9">
      <c r="D427" s="267">
        <v>12478</v>
      </c>
      <c r="E427" s="211" t="s">
        <v>26</v>
      </c>
      <c r="F427" s="263" t="str">
        <f>IFERROR(IF(COUNTIF(Consolidado!$E$3:$E$358,'Range de Logins'!$D427)&gt;0,"Em uso","Livre"),"-")</f>
        <v>Livre</v>
      </c>
      <c r="G427" s="211" t="s">
        <v>1265</v>
      </c>
      <c r="H427" s="211" t="str">
        <f>IFERROR(VLOOKUP(D427,Consolidado!$E$3:$K$311,7,0),"")</f>
        <v/>
      </c>
      <c r="I427" s="257"/>
    </row>
    <row r="428" spans="4:9">
      <c r="D428" s="267">
        <v>12481</v>
      </c>
      <c r="E428" s="211" t="s">
        <v>26</v>
      </c>
      <c r="F428" s="263" t="str">
        <f>IFERROR(IF(COUNTIF(Consolidado!$E$3:$E$358,'Range de Logins'!$D428)&gt;0,"Em uso","Livre"),"-")</f>
        <v>Livre</v>
      </c>
      <c r="G428" s="211" t="s">
        <v>1265</v>
      </c>
      <c r="H428" s="211" t="str">
        <f>IFERROR(VLOOKUP(D428,Consolidado!$E$3:$K$311,7,0),"")</f>
        <v/>
      </c>
      <c r="I428" s="257"/>
    </row>
    <row r="429" spans="4:9">
      <c r="D429" s="267">
        <v>12482</v>
      </c>
      <c r="E429" s="211">
        <v>776136</v>
      </c>
      <c r="F429" s="263" t="str">
        <f>IFERROR(IF(COUNTIF(Consolidado!$E$3:$E$358,'Range de Logins'!$D429)&gt;0,"Em uso","Livre"),"-")</f>
        <v>Livre</v>
      </c>
      <c r="G429" s="211" t="s">
        <v>1065</v>
      </c>
      <c r="H429" s="211" t="str">
        <f>IFERROR(VLOOKUP(D429,Consolidado!$E$3:$K$311,7,0),"")</f>
        <v/>
      </c>
      <c r="I429" s="257"/>
    </row>
    <row r="430" spans="4:9">
      <c r="D430" s="267">
        <v>12484</v>
      </c>
      <c r="E430" s="211" t="s">
        <v>26</v>
      </c>
      <c r="F430" s="263" t="str">
        <f>IFERROR(IF(COUNTIF(Consolidado!$E$3:$E$358,'Range de Logins'!$D430)&gt;0,"Em uso","Livre"),"-")</f>
        <v>Livre</v>
      </c>
      <c r="G430" s="211" t="s">
        <v>1265</v>
      </c>
      <c r="H430" s="211" t="str">
        <f>IFERROR(VLOOKUP(D430,Consolidado!$E$3:$K$311,7,0),"")</f>
        <v/>
      </c>
      <c r="I430" s="257"/>
    </row>
    <row r="431" spans="4:9">
      <c r="D431" s="267">
        <v>12485</v>
      </c>
      <c r="E431" s="211" t="s">
        <v>26</v>
      </c>
      <c r="F431" s="263" t="str">
        <f>IFERROR(IF(COUNTIF(Consolidado!$E$3:$E$358,'Range de Logins'!$D431)&gt;0,"Em uso","Livre"),"-")</f>
        <v>Livre</v>
      </c>
      <c r="G431" s="211" t="s">
        <v>1265</v>
      </c>
      <c r="H431" s="211" t="str">
        <f>IFERROR(VLOOKUP(D431,Consolidado!$E$3:$K$311,7,0),"")</f>
        <v/>
      </c>
      <c r="I431" s="257"/>
    </row>
    <row r="432" spans="4:9">
      <c r="D432" s="267">
        <v>12487</v>
      </c>
      <c r="E432" s="211" t="s">
        <v>26</v>
      </c>
      <c r="F432" s="263" t="str">
        <f>IFERROR(IF(COUNTIF(Consolidado!$E$3:$E$358,'Range de Logins'!$D432)&gt;0,"Em uso","Livre"),"-")</f>
        <v>Livre</v>
      </c>
      <c r="G432" s="211" t="s">
        <v>1265</v>
      </c>
      <c r="H432" s="211" t="str">
        <f>IFERROR(VLOOKUP(D432,Consolidado!$E$3:$K$311,7,0),"")</f>
        <v/>
      </c>
      <c r="I432" s="257"/>
    </row>
    <row r="433" spans="4:9">
      <c r="D433" s="267">
        <v>12489</v>
      </c>
      <c r="E433" s="211" t="s">
        <v>26</v>
      </c>
      <c r="F433" s="263" t="str">
        <f>IFERROR(IF(COUNTIF(Consolidado!$E$3:$E$358,'Range de Logins'!$D433)&gt;0,"Em uso","Livre"),"-")</f>
        <v>Livre</v>
      </c>
      <c r="G433" s="211" t="s">
        <v>1265</v>
      </c>
      <c r="H433" s="211" t="str">
        <f>IFERROR(VLOOKUP(D433,Consolidado!$E$3:$K$311,7,0),"")</f>
        <v/>
      </c>
      <c r="I433" s="257"/>
    </row>
    <row r="434" spans="4:9">
      <c r="D434" s="267">
        <v>12490</v>
      </c>
      <c r="E434" s="211" t="s">
        <v>26</v>
      </c>
      <c r="F434" s="263" t="str">
        <f>IFERROR(IF(COUNTIF(Consolidado!$E$3:$E$358,'Range de Logins'!$D434)&gt;0,"Em uso","Livre"),"-")</f>
        <v>Livre</v>
      </c>
      <c r="G434" s="211" t="s">
        <v>1265</v>
      </c>
      <c r="H434" s="211" t="str">
        <f>IFERROR(VLOOKUP(D434,Consolidado!$E$3:$K$311,7,0),"")</f>
        <v/>
      </c>
      <c r="I434" s="257"/>
    </row>
    <row r="435" spans="4:9">
      <c r="D435" s="267">
        <v>12491</v>
      </c>
      <c r="E435" s="211" t="s">
        <v>26</v>
      </c>
      <c r="F435" s="263" t="str">
        <f>IFERROR(IF(COUNTIF(Consolidado!$E$3:$E$358,'Range de Logins'!$D435)&gt;0,"Em uso","Livre"),"-")</f>
        <v>Livre</v>
      </c>
      <c r="G435" s="211" t="s">
        <v>1265</v>
      </c>
      <c r="H435" s="211" t="str">
        <f>IFERROR(VLOOKUP(D435,Consolidado!$E$3:$K$311,7,0),"")</f>
        <v/>
      </c>
      <c r="I435" s="257"/>
    </row>
    <row r="436" spans="4:9">
      <c r="D436" s="267">
        <v>12492</v>
      </c>
      <c r="E436" s="211" t="s">
        <v>26</v>
      </c>
      <c r="F436" s="263" t="str">
        <f>IFERROR(IF(COUNTIF(Consolidado!$E$3:$E$358,'Range de Logins'!$D436)&gt;0,"Em uso","Livre"),"-")</f>
        <v>Livre</v>
      </c>
      <c r="G436" s="211" t="s">
        <v>1265</v>
      </c>
      <c r="H436" s="211" t="str">
        <f>IFERROR(VLOOKUP(D436,Consolidado!$E$3:$K$311,7,0),"")</f>
        <v/>
      </c>
      <c r="I436" s="257"/>
    </row>
    <row r="437" spans="4:9">
      <c r="D437" s="267">
        <v>12493</v>
      </c>
      <c r="E437" s="211" t="s">
        <v>26</v>
      </c>
      <c r="F437" s="263" t="str">
        <f>IFERROR(IF(COUNTIF(Consolidado!$E$3:$E$358,'Range de Logins'!$D437)&gt;0,"Em uso","Livre"),"-")</f>
        <v>Livre</v>
      </c>
      <c r="G437" s="211" t="s">
        <v>1265</v>
      </c>
      <c r="H437" s="211" t="str">
        <f>IFERROR(VLOOKUP(D437,Consolidado!$E$3:$K$311,7,0),"")</f>
        <v/>
      </c>
      <c r="I437" s="257"/>
    </row>
    <row r="438" spans="4:9">
      <c r="D438" s="267">
        <v>12494</v>
      </c>
      <c r="E438" s="211" t="s">
        <v>26</v>
      </c>
      <c r="F438" s="263" t="str">
        <f>IFERROR(IF(COUNTIF(Consolidado!$E$3:$E$358,'Range de Logins'!$D438)&gt;0,"Em uso","Livre"),"-")</f>
        <v>Livre</v>
      </c>
      <c r="G438" s="211" t="s">
        <v>1265</v>
      </c>
      <c r="H438" s="211" t="str">
        <f>IFERROR(VLOOKUP(D438,Consolidado!$E$3:$K$311,7,0),"")</f>
        <v/>
      </c>
      <c r="I438" s="257"/>
    </row>
    <row r="439" spans="4:9">
      <c r="D439" s="267">
        <v>12495</v>
      </c>
      <c r="E439" s="211" t="s">
        <v>26</v>
      </c>
      <c r="F439" s="263" t="str">
        <f>IFERROR(IF(COUNTIF(Consolidado!$E$3:$E$358,'Range de Logins'!$D439)&gt;0,"Em uso","Livre"),"-")</f>
        <v>Livre</v>
      </c>
      <c r="G439" s="211" t="s">
        <v>1265</v>
      </c>
      <c r="H439" s="211" t="str">
        <f>IFERROR(VLOOKUP(D439,Consolidado!$E$3:$K$311,7,0),"")</f>
        <v/>
      </c>
      <c r="I439" s="257"/>
    </row>
    <row r="440" spans="4:9">
      <c r="D440" s="267">
        <v>12496</v>
      </c>
      <c r="E440" s="211" t="s">
        <v>26</v>
      </c>
      <c r="F440" s="263" t="str">
        <f>IFERROR(IF(COUNTIF(Consolidado!$E$3:$E$358,'Range de Logins'!$D440)&gt;0,"Em uso","Livre"),"-")</f>
        <v>Livre</v>
      </c>
      <c r="G440" s="211" t="s">
        <v>1265</v>
      </c>
      <c r="H440" s="211" t="str">
        <f>IFERROR(VLOOKUP(D440,Consolidado!$E$3:$K$311,7,0),"")</f>
        <v/>
      </c>
      <c r="I440" s="257"/>
    </row>
    <row r="441" spans="4:9">
      <c r="D441" s="267">
        <v>12498</v>
      </c>
      <c r="E441" s="211" t="s">
        <v>26</v>
      </c>
      <c r="F441" s="263" t="str">
        <f>IFERROR(IF(COUNTIF(Consolidado!$E$3:$E$358,'Range de Logins'!$D441)&gt;0,"Em uso","Livre"),"-")</f>
        <v>Livre</v>
      </c>
      <c r="G441" s="211" t="s">
        <v>1265</v>
      </c>
      <c r="H441" s="211" t="str">
        <f>IFERROR(VLOOKUP(D441,Consolidado!$E$3:$K$311,7,0),"")</f>
        <v/>
      </c>
      <c r="I441" s="257"/>
    </row>
    <row r="442" spans="4:9">
      <c r="D442" s="267">
        <v>12499</v>
      </c>
      <c r="E442" s="211" t="s">
        <v>26</v>
      </c>
      <c r="F442" s="263" t="str">
        <f>IFERROR(IF(COUNTIF(Consolidado!$E$3:$E$358,'Range de Logins'!$D442)&gt;0,"Em uso","Livre"),"-")</f>
        <v>Livre</v>
      </c>
      <c r="G442" s="211" t="s">
        <v>1265</v>
      </c>
      <c r="H442" s="211" t="str">
        <f>IFERROR(VLOOKUP(D442,Consolidado!$E$3:$K$311,7,0),"")</f>
        <v/>
      </c>
      <c r="I442" s="257"/>
    </row>
    <row r="443" spans="4:9">
      <c r="D443" s="267">
        <v>12500</v>
      </c>
      <c r="E443" s="211" t="s">
        <v>26</v>
      </c>
      <c r="F443" s="263" t="str">
        <f>IFERROR(IF(COUNTIF(Consolidado!$E$3:$E$358,'Range de Logins'!$D443)&gt;0,"Em uso","Livre"),"-")</f>
        <v>Livre</v>
      </c>
      <c r="G443" s="211" t="s">
        <v>1265</v>
      </c>
      <c r="H443" s="211" t="str">
        <f>IFERROR(VLOOKUP(D443,Consolidado!$E$3:$K$311,7,0),"")</f>
        <v/>
      </c>
      <c r="I443" s="257"/>
    </row>
    <row r="444" spans="4:9">
      <c r="D444" s="267">
        <v>12501</v>
      </c>
      <c r="E444" s="211">
        <v>359876</v>
      </c>
      <c r="F444" s="263" t="str">
        <f>IFERROR(IF(COUNTIF(Consolidado!$E$3:$E$358,'Range de Logins'!$D444)&gt;0,"Em uso","Livre"),"-")</f>
        <v>Livre</v>
      </c>
      <c r="G444" s="211" t="s">
        <v>1065</v>
      </c>
      <c r="H444" s="211" t="str">
        <f>IFERROR(VLOOKUP(D444,Consolidado!$E$3:$K$311,7,0),"")</f>
        <v/>
      </c>
      <c r="I444" s="257"/>
    </row>
    <row r="445" spans="4:9">
      <c r="D445" s="267">
        <v>12502</v>
      </c>
      <c r="E445" s="211" t="s">
        <v>26</v>
      </c>
      <c r="F445" s="263" t="str">
        <f>IFERROR(IF(COUNTIF(Consolidado!$E$3:$E$358,'Range de Logins'!$D445)&gt;0,"Em uso","Livre"),"-")</f>
        <v>Livre</v>
      </c>
      <c r="G445" s="211" t="s">
        <v>1265</v>
      </c>
      <c r="H445" s="211" t="str">
        <f>IFERROR(VLOOKUP(D445,Consolidado!$E$3:$K$311,7,0),"")</f>
        <v/>
      </c>
      <c r="I445" s="257"/>
    </row>
    <row r="446" spans="4:9">
      <c r="D446" s="267">
        <v>12503</v>
      </c>
      <c r="E446" s="211" t="s">
        <v>26</v>
      </c>
      <c r="F446" s="263" t="str">
        <f>IFERROR(IF(COUNTIF(Consolidado!$E$3:$E$358,'Range de Logins'!$D446)&gt;0,"Em uso","Livre"),"-")</f>
        <v>Livre</v>
      </c>
      <c r="G446" s="211" t="s">
        <v>1265</v>
      </c>
      <c r="H446" s="211" t="str">
        <f>IFERROR(VLOOKUP(D446,Consolidado!$E$3:$K$311,7,0),"")</f>
        <v/>
      </c>
      <c r="I446" s="257"/>
    </row>
    <row r="447" spans="4:9">
      <c r="D447" s="267">
        <v>12505</v>
      </c>
      <c r="E447" s="211" t="s">
        <v>26</v>
      </c>
      <c r="F447" s="263" t="str">
        <f>IFERROR(IF(COUNTIF(Consolidado!$E$3:$E$358,'Range de Logins'!$D447)&gt;0,"Em uso","Livre"),"-")</f>
        <v>Livre</v>
      </c>
      <c r="G447" s="211" t="s">
        <v>1265</v>
      </c>
      <c r="H447" s="211" t="str">
        <f>IFERROR(VLOOKUP(D447,Consolidado!$E$3:$K$311,7,0),"")</f>
        <v/>
      </c>
      <c r="I447" s="257"/>
    </row>
    <row r="448" spans="4:9">
      <c r="D448" s="267">
        <v>12506</v>
      </c>
      <c r="E448" s="211" t="s">
        <v>26</v>
      </c>
      <c r="F448" s="263" t="str">
        <f>IFERROR(IF(COUNTIF(Consolidado!$E$3:$E$358,'Range de Logins'!$D448)&gt;0,"Em uso","Livre"),"-")</f>
        <v>Livre</v>
      </c>
      <c r="G448" s="211" t="s">
        <v>1265</v>
      </c>
      <c r="H448" s="211" t="str">
        <f>IFERROR(VLOOKUP(D448,Consolidado!$E$3:$K$311,7,0),"")</f>
        <v/>
      </c>
      <c r="I448" s="257"/>
    </row>
    <row r="449" spans="4:9">
      <c r="D449" s="267">
        <v>12507</v>
      </c>
      <c r="E449" s="211">
        <v>755847</v>
      </c>
      <c r="F449" s="263" t="str">
        <f>IFERROR(IF(COUNTIF(Consolidado!$E$3:$E$358,'Range de Logins'!$D449)&gt;0,"Em uso","Livre"),"-")</f>
        <v>Livre</v>
      </c>
      <c r="G449" s="211" t="s">
        <v>1065</v>
      </c>
      <c r="H449" s="211" t="str">
        <f>IFERROR(VLOOKUP(D449,Consolidado!$E$3:$K$311,7,0),"")</f>
        <v/>
      </c>
      <c r="I449" s="257"/>
    </row>
    <row r="450" spans="4:9">
      <c r="D450" s="267">
        <v>12509</v>
      </c>
      <c r="E450" s="211" t="s">
        <v>26</v>
      </c>
      <c r="F450" s="263" t="str">
        <f>IFERROR(IF(COUNTIF(Consolidado!$E$3:$E$358,'Range de Logins'!$D450)&gt;0,"Em uso","Livre"),"-")</f>
        <v>Livre</v>
      </c>
      <c r="G450" s="211" t="s">
        <v>1265</v>
      </c>
      <c r="H450" s="211" t="str">
        <f>IFERROR(VLOOKUP(D450,Consolidado!$E$3:$K$311,7,0),"")</f>
        <v/>
      </c>
      <c r="I450" s="257"/>
    </row>
    <row r="451" spans="4:9">
      <c r="D451" s="267">
        <v>12510</v>
      </c>
      <c r="E451" s="211">
        <v>0</v>
      </c>
      <c r="F451" s="263" t="str">
        <f>IFERROR(IF(COUNTIF(Consolidado!$E$3:$E$358,'Range de Logins'!$D451)&gt;0,"Em uso","Livre"),"-")</f>
        <v>Livre</v>
      </c>
      <c r="G451" s="211" t="s">
        <v>1065</v>
      </c>
      <c r="H451" s="211" t="str">
        <f>IFERROR(VLOOKUP(D451,Consolidado!$E$3:$K$311,7,0),"")</f>
        <v/>
      </c>
      <c r="I451" s="257"/>
    </row>
    <row r="452" spans="4:9">
      <c r="D452" s="267">
        <v>12511</v>
      </c>
      <c r="E452" s="211" t="s">
        <v>26</v>
      </c>
      <c r="F452" s="263" t="str">
        <f>IFERROR(IF(COUNTIF(Consolidado!$E$3:$E$358,'Range de Logins'!$D452)&gt;0,"Em uso","Livre"),"-")</f>
        <v>Livre</v>
      </c>
      <c r="G452" s="211" t="s">
        <v>1265</v>
      </c>
      <c r="H452" s="211" t="str">
        <f>IFERROR(VLOOKUP(D452,Consolidado!$E$3:$K$311,7,0),"")</f>
        <v/>
      </c>
      <c r="I452" s="257"/>
    </row>
    <row r="453" spans="4:9">
      <c r="D453" s="267">
        <v>12512</v>
      </c>
      <c r="E453" s="211" t="s">
        <v>26</v>
      </c>
      <c r="F453" s="263" t="str">
        <f>IFERROR(IF(COUNTIF(Consolidado!$E$3:$E$358,'Range de Logins'!$D453)&gt;0,"Em uso","Livre"),"-")</f>
        <v>Livre</v>
      </c>
      <c r="G453" s="211" t="s">
        <v>1265</v>
      </c>
      <c r="H453" s="211" t="str">
        <f>IFERROR(VLOOKUP(D453,Consolidado!$E$3:$K$311,7,0),"")</f>
        <v/>
      </c>
      <c r="I453" s="257"/>
    </row>
    <row r="454" spans="4:9">
      <c r="D454" s="267">
        <v>12515</v>
      </c>
      <c r="E454" s="211" t="s">
        <v>26</v>
      </c>
      <c r="F454" s="263" t="str">
        <f>IFERROR(IF(COUNTIF(Consolidado!$E$3:$E$358,'Range de Logins'!$D454)&gt;0,"Em uso","Livre"),"-")</f>
        <v>Livre</v>
      </c>
      <c r="G454" s="211" t="s">
        <v>1265</v>
      </c>
      <c r="H454" s="211" t="str">
        <f>IFERROR(VLOOKUP(D454,Consolidado!$E$3:$K$311,7,0),"")</f>
        <v/>
      </c>
      <c r="I454" s="257"/>
    </row>
    <row r="455" spans="4:9">
      <c r="D455" s="267">
        <v>12517</v>
      </c>
      <c r="E455" s="211" t="s">
        <v>26</v>
      </c>
      <c r="F455" s="263" t="str">
        <f>IFERROR(IF(COUNTIF(Consolidado!$E$3:$E$358,'Range de Logins'!$D455)&gt;0,"Em uso","Livre"),"-")</f>
        <v>Livre</v>
      </c>
      <c r="G455" s="211" t="s">
        <v>1265</v>
      </c>
      <c r="H455" s="211" t="str">
        <f>IFERROR(VLOOKUP(D455,Consolidado!$E$3:$K$311,7,0),"")</f>
        <v/>
      </c>
      <c r="I455" s="257"/>
    </row>
    <row r="456" spans="4:9">
      <c r="D456" s="267">
        <v>12518</v>
      </c>
      <c r="E456" s="211" t="s">
        <v>26</v>
      </c>
      <c r="F456" s="263" t="str">
        <f>IFERROR(IF(COUNTIF(Consolidado!$E$3:$E$358,'Range de Logins'!$D456)&gt;0,"Em uso","Livre"),"-")</f>
        <v>Livre</v>
      </c>
      <c r="G456" s="211" t="s">
        <v>1265</v>
      </c>
      <c r="H456" s="211" t="str">
        <f>IFERROR(VLOOKUP(D456,Consolidado!$E$3:$K$311,7,0),"")</f>
        <v/>
      </c>
      <c r="I456" s="257"/>
    </row>
    <row r="457" spans="4:9">
      <c r="D457" s="267">
        <v>12519</v>
      </c>
      <c r="E457" s="211" t="s">
        <v>26</v>
      </c>
      <c r="F457" s="263" t="str">
        <f>IFERROR(IF(COUNTIF(Consolidado!$E$3:$E$358,'Range de Logins'!$D457)&gt;0,"Em uso","Livre"),"-")</f>
        <v>Livre</v>
      </c>
      <c r="G457" s="211" t="s">
        <v>1065</v>
      </c>
      <c r="H457" s="211" t="str">
        <f>IFERROR(VLOOKUP(D457,Consolidado!$E$3:$K$311,7,0),"")</f>
        <v/>
      </c>
      <c r="I457" s="257"/>
    </row>
    <row r="458" spans="4:9">
      <c r="D458" s="267">
        <v>12383</v>
      </c>
      <c r="E458" s="211">
        <v>347982</v>
      </c>
      <c r="F458" s="263" t="str">
        <f>IFERROR(IF(COUNTIF(Consolidado!$E$3:$E$358,'Range de Logins'!$D458)&gt;0,"Em uso","Livre"),"-")</f>
        <v>Livre</v>
      </c>
      <c r="G458" s="211" t="s">
        <v>1065</v>
      </c>
      <c r="H458" s="211" t="str">
        <f>IFERROR(VLOOKUP(D458,Consolidado!$E$3:$K$311,7,0),"")</f>
        <v/>
      </c>
      <c r="I458" s="257"/>
    </row>
    <row r="459" spans="4:9">
      <c r="D459" s="267">
        <v>12520</v>
      </c>
      <c r="E459" s="211" t="s">
        <v>26</v>
      </c>
      <c r="F459" s="263" t="str">
        <f>IFERROR(IF(COUNTIF(Consolidado!$E$3:$E$358,'Range de Logins'!$D459)&gt;0,"Em uso","Livre"),"-")</f>
        <v>Livre</v>
      </c>
      <c r="G459" s="211" t="s">
        <v>1265</v>
      </c>
      <c r="H459" s="211" t="str">
        <f>IFERROR(VLOOKUP(D459,Consolidado!$E$3:$K$311,7,0),"")</f>
        <v/>
      </c>
      <c r="I459" s="257"/>
    </row>
    <row r="460" spans="4:9">
      <c r="D460" s="267">
        <v>12521</v>
      </c>
      <c r="E460" s="211">
        <v>786786</v>
      </c>
      <c r="F460" s="263" t="str">
        <f>IFERROR(IF(COUNTIF(Consolidado!$E$3:$E$358,'Range de Logins'!$D460)&gt;0,"Em uso","Livre"),"-")</f>
        <v>Em uso</v>
      </c>
      <c r="G460" s="211" t="s">
        <v>1065</v>
      </c>
      <c r="H460" s="211" t="str">
        <f>IFERROR(VLOOKUP(D460,Consolidado!$E$3:$K$311,7,0),"")</f>
        <v>PSG</v>
      </c>
      <c r="I460" s="257"/>
    </row>
    <row r="461" spans="4:9">
      <c r="D461" s="267">
        <v>12522</v>
      </c>
      <c r="E461" s="211">
        <v>720669</v>
      </c>
      <c r="F461" s="263" t="str">
        <f>IFERROR(IF(COUNTIF(Consolidado!$E$3:$E$358,'Range de Logins'!$D461)&gt;0,"Em uso","Livre"),"-")</f>
        <v>Livre</v>
      </c>
      <c r="G461" s="211" t="s">
        <v>1065</v>
      </c>
      <c r="H461" s="211" t="str">
        <f>IFERROR(VLOOKUP(D461,Consolidado!$E$3:$K$311,7,0),"")</f>
        <v/>
      </c>
      <c r="I461" s="257"/>
    </row>
    <row r="462" spans="4:9">
      <c r="D462" s="267">
        <v>12523</v>
      </c>
      <c r="E462" s="211" t="s">
        <v>26</v>
      </c>
      <c r="F462" s="263" t="str">
        <f>IFERROR(IF(COUNTIF(Consolidado!$E$3:$E$358,'Range de Logins'!$D462)&gt;0,"Em uso","Livre"),"-")</f>
        <v>Livre</v>
      </c>
      <c r="G462" s="211" t="s">
        <v>1265</v>
      </c>
      <c r="H462" s="211" t="str">
        <f>IFERROR(VLOOKUP(D462,Consolidado!$E$3:$K$311,7,0),"")</f>
        <v/>
      </c>
      <c r="I462" s="257"/>
    </row>
    <row r="463" spans="4:9">
      <c r="D463" s="267">
        <v>12524</v>
      </c>
      <c r="E463" s="211" t="s">
        <v>26</v>
      </c>
      <c r="F463" s="263" t="str">
        <f>IFERROR(IF(COUNTIF(Consolidado!$E$3:$E$358,'Range de Logins'!$D463)&gt;0,"Em uso","Livre"),"-")</f>
        <v>Livre</v>
      </c>
      <c r="G463" s="211" t="s">
        <v>1265</v>
      </c>
      <c r="H463" s="211" t="str">
        <f>IFERROR(VLOOKUP(D463,Consolidado!$E$3:$K$311,7,0),"")</f>
        <v/>
      </c>
      <c r="I463" s="257"/>
    </row>
    <row r="464" spans="4:9">
      <c r="D464" s="267">
        <v>12525</v>
      </c>
      <c r="E464" s="211" t="s">
        <v>26</v>
      </c>
      <c r="F464" s="263" t="str">
        <f>IFERROR(IF(COUNTIF(Consolidado!$E$3:$E$358,'Range de Logins'!$D464)&gt;0,"Em uso","Livre"),"-")</f>
        <v>Livre</v>
      </c>
      <c r="G464" s="211" t="s">
        <v>1265</v>
      </c>
      <c r="H464" s="211" t="str">
        <f>IFERROR(VLOOKUP(D464,Consolidado!$E$3:$K$311,7,0),"")</f>
        <v/>
      </c>
      <c r="I464" s="257"/>
    </row>
    <row r="465" spans="4:9">
      <c r="D465" s="267">
        <v>12526</v>
      </c>
      <c r="E465" s="211" t="s">
        <v>26</v>
      </c>
      <c r="F465" s="263" t="str">
        <f>IFERROR(IF(COUNTIF(Consolidado!$E$3:$E$358,'Range de Logins'!$D465)&gt;0,"Em uso","Livre"),"-")</f>
        <v>Livre</v>
      </c>
      <c r="G465" s="211" t="s">
        <v>1265</v>
      </c>
      <c r="H465" s="211" t="str">
        <f>IFERROR(VLOOKUP(D465,Consolidado!$E$3:$K$311,7,0),"")</f>
        <v/>
      </c>
      <c r="I465" s="257"/>
    </row>
    <row r="466" spans="4:9">
      <c r="D466" s="267">
        <v>12527</v>
      </c>
      <c r="E466" s="211" t="s">
        <v>26</v>
      </c>
      <c r="F466" s="263" t="str">
        <f>IFERROR(IF(COUNTIF(Consolidado!$E$3:$E$358,'Range de Logins'!$D466)&gt;0,"Em uso","Livre"),"-")</f>
        <v>Livre</v>
      </c>
      <c r="G466" s="211" t="s">
        <v>1265</v>
      </c>
      <c r="H466" s="211" t="str">
        <f>IFERROR(VLOOKUP(D466,Consolidado!$E$3:$K$311,7,0),"")</f>
        <v/>
      </c>
      <c r="I466" s="257"/>
    </row>
    <row r="467" spans="4:9">
      <c r="D467" s="267">
        <v>12528</v>
      </c>
      <c r="E467" s="211" t="s">
        <v>26</v>
      </c>
      <c r="F467" s="263" t="str">
        <f>IFERROR(IF(COUNTIF(Consolidado!$E$3:$E$358,'Range de Logins'!$D467)&gt;0,"Em uso","Livre"),"-")</f>
        <v>Livre</v>
      </c>
      <c r="G467" s="211" t="s">
        <v>1265</v>
      </c>
      <c r="H467" s="211" t="str">
        <f>IFERROR(VLOOKUP(D467,Consolidado!$E$3:$K$311,7,0),"")</f>
        <v/>
      </c>
      <c r="I467" s="257"/>
    </row>
    <row r="468" spans="4:9">
      <c r="D468" s="267">
        <v>12529</v>
      </c>
      <c r="E468" s="211" t="s">
        <v>26</v>
      </c>
      <c r="F468" s="263" t="str">
        <f>IFERROR(IF(COUNTIF(Consolidado!$E$3:$E$358,'Range de Logins'!$D468)&gt;0,"Em uso","Livre"),"-")</f>
        <v>Livre</v>
      </c>
      <c r="G468" s="211" t="s">
        <v>1265</v>
      </c>
      <c r="H468" s="211" t="str">
        <f>IFERROR(VLOOKUP(D468,Consolidado!$E$3:$K$311,7,0),"")</f>
        <v/>
      </c>
      <c r="I468" s="257"/>
    </row>
    <row r="469" spans="4:9">
      <c r="D469" s="267">
        <v>12532</v>
      </c>
      <c r="E469" s="211" t="s">
        <v>26</v>
      </c>
      <c r="F469" s="263" t="str">
        <f>IFERROR(IF(COUNTIF(Consolidado!$E$3:$E$358,'Range de Logins'!$D469)&gt;0,"Em uso","Livre"),"-")</f>
        <v>Livre</v>
      </c>
      <c r="G469" s="211" t="s">
        <v>1265</v>
      </c>
      <c r="H469" s="211" t="str">
        <f>IFERROR(VLOOKUP(D469,Consolidado!$E$3:$K$311,7,0),"")</f>
        <v/>
      </c>
      <c r="I469" s="257"/>
    </row>
    <row r="470" spans="4:9">
      <c r="D470" s="267">
        <v>12533</v>
      </c>
      <c r="E470" s="211">
        <v>696933</v>
      </c>
      <c r="F470" s="263" t="str">
        <f>IFERROR(IF(COUNTIF(Consolidado!$E$3:$E$358,'Range de Logins'!$D470)&gt;0,"Em uso","Livre"),"-")</f>
        <v>Livre</v>
      </c>
      <c r="G470" s="211" t="s">
        <v>1065</v>
      </c>
      <c r="H470" s="211" t="str">
        <f>IFERROR(VLOOKUP(D470,Consolidado!$E$3:$K$311,7,0),"")</f>
        <v/>
      </c>
      <c r="I470" s="257"/>
    </row>
    <row r="471" spans="4:9">
      <c r="D471" s="267">
        <v>12535</v>
      </c>
      <c r="E471" s="211" t="s">
        <v>26</v>
      </c>
      <c r="F471" s="263" t="str">
        <f>IFERROR(IF(COUNTIF(Consolidado!$E$3:$E$358,'Range de Logins'!$D471)&gt;0,"Em uso","Livre"),"-")</f>
        <v>Livre</v>
      </c>
      <c r="G471" s="211" t="s">
        <v>1265</v>
      </c>
      <c r="H471" s="211" t="str">
        <f>IFERROR(VLOOKUP(D471,Consolidado!$E$3:$K$311,7,0),"")</f>
        <v/>
      </c>
      <c r="I471" s="257"/>
    </row>
    <row r="472" spans="4:9">
      <c r="D472" s="267">
        <v>12537</v>
      </c>
      <c r="E472" s="211" t="s">
        <v>26</v>
      </c>
      <c r="F472" s="263" t="str">
        <f>IFERROR(IF(COUNTIF(Consolidado!$E$3:$E$358,'Range de Logins'!$D472)&gt;0,"Em uso","Livre"),"-")</f>
        <v>Livre</v>
      </c>
      <c r="G472" s="211" t="s">
        <v>1265</v>
      </c>
      <c r="H472" s="211" t="str">
        <f>IFERROR(VLOOKUP(D472,Consolidado!$E$3:$K$311,7,0),"")</f>
        <v/>
      </c>
      <c r="I472" s="257"/>
    </row>
    <row r="473" spans="4:9">
      <c r="D473" s="267">
        <v>12540</v>
      </c>
      <c r="E473" s="211" t="s">
        <v>26</v>
      </c>
      <c r="F473" s="263" t="str">
        <f>IFERROR(IF(COUNTIF(Consolidado!$E$3:$E$358,'Range de Logins'!$D473)&gt;0,"Em uso","Livre"),"-")</f>
        <v>Livre</v>
      </c>
      <c r="G473" s="211" t="s">
        <v>1265</v>
      </c>
      <c r="H473" s="211" t="str">
        <f>IFERROR(VLOOKUP(D473,Consolidado!$E$3:$K$311,7,0),"")</f>
        <v/>
      </c>
      <c r="I473" s="257"/>
    </row>
    <row r="474" spans="4:9">
      <c r="D474" s="267">
        <v>12541</v>
      </c>
      <c r="E474" s="211">
        <v>658922</v>
      </c>
      <c r="F474" s="263" t="str">
        <f>IFERROR(IF(COUNTIF(Consolidado!$E$3:$E$358,'Range de Logins'!$D474)&gt;0,"Em uso","Livre"),"-")</f>
        <v>Livre</v>
      </c>
      <c r="G474" s="211" t="s">
        <v>1065</v>
      </c>
      <c r="H474" s="211" t="str">
        <f>IFERROR(VLOOKUP(D474,Consolidado!$E$3:$K$311,7,0),"")</f>
        <v/>
      </c>
      <c r="I474" s="257"/>
    </row>
    <row r="475" spans="4:9">
      <c r="D475" s="267">
        <v>12542</v>
      </c>
      <c r="E475" s="211" t="s">
        <v>26</v>
      </c>
      <c r="F475" s="263" t="str">
        <f>IFERROR(IF(COUNTIF(Consolidado!$E$3:$E$358,'Range de Logins'!$D475)&gt;0,"Em uso","Livre"),"-")</f>
        <v>Livre</v>
      </c>
      <c r="G475" s="211" t="s">
        <v>1265</v>
      </c>
      <c r="H475" s="211" t="str">
        <f>IFERROR(VLOOKUP(D475,Consolidado!$E$3:$K$311,7,0),"")</f>
        <v/>
      </c>
      <c r="I475" s="257"/>
    </row>
    <row r="476" spans="4:9">
      <c r="D476" s="267">
        <v>12543</v>
      </c>
      <c r="E476" s="211" t="s">
        <v>26</v>
      </c>
      <c r="F476" s="263" t="str">
        <f>IFERROR(IF(COUNTIF(Consolidado!$E$3:$E$358,'Range de Logins'!$D476)&gt;0,"Em uso","Livre"),"-")</f>
        <v>Livre</v>
      </c>
      <c r="G476" s="211" t="s">
        <v>1265</v>
      </c>
      <c r="H476" s="211" t="str">
        <f>IFERROR(VLOOKUP(D476,Consolidado!$E$3:$K$311,7,0),"")</f>
        <v/>
      </c>
      <c r="I476" s="257"/>
    </row>
    <row r="477" spans="4:9">
      <c r="D477" s="267">
        <v>12546</v>
      </c>
      <c r="E477" s="211" t="s">
        <v>26</v>
      </c>
      <c r="F477" s="263" t="str">
        <f>IFERROR(IF(COUNTIF(Consolidado!$E$3:$E$358,'Range de Logins'!$D477)&gt;0,"Em uso","Livre"),"-")</f>
        <v>Livre</v>
      </c>
      <c r="G477" s="211" t="s">
        <v>1265</v>
      </c>
      <c r="H477" s="211" t="str">
        <f>IFERROR(VLOOKUP(D477,Consolidado!$E$3:$K$311,7,0),"")</f>
        <v/>
      </c>
      <c r="I477" s="257"/>
    </row>
    <row r="478" spans="4:9">
      <c r="D478" s="267">
        <v>12547</v>
      </c>
      <c r="E478" s="211" t="s">
        <v>26</v>
      </c>
      <c r="F478" s="263" t="str">
        <f>IFERROR(IF(COUNTIF(Consolidado!$E$3:$E$358,'Range de Logins'!$D478)&gt;0,"Em uso","Livre"),"-")</f>
        <v>Livre</v>
      </c>
      <c r="G478" s="211" t="s">
        <v>1265</v>
      </c>
      <c r="H478" s="211" t="str">
        <f>IFERROR(VLOOKUP(D478,Consolidado!$E$3:$K$311,7,0),"")</f>
        <v/>
      </c>
      <c r="I478" s="257"/>
    </row>
    <row r="479" spans="4:9">
      <c r="D479" s="267">
        <v>12548</v>
      </c>
      <c r="E479" s="211">
        <v>732222</v>
      </c>
      <c r="F479" s="263" t="str">
        <f>IFERROR(IF(COUNTIF(Consolidado!$E$3:$E$358,'Range de Logins'!$D479)&gt;0,"Em uso","Livre"),"-")</f>
        <v>Livre</v>
      </c>
      <c r="G479" s="211" t="s">
        <v>1065</v>
      </c>
      <c r="H479" s="211" t="str">
        <f>IFERROR(VLOOKUP(D479,Consolidado!$E$3:$K$311,7,0),"")</f>
        <v/>
      </c>
      <c r="I479" s="257"/>
    </row>
    <row r="480" spans="4:9">
      <c r="D480" s="267">
        <v>12549</v>
      </c>
      <c r="E480" s="211" t="s">
        <v>26</v>
      </c>
      <c r="F480" s="263" t="str">
        <f>IFERROR(IF(COUNTIF(Consolidado!$E$3:$E$358,'Range de Logins'!$D480)&gt;0,"Em uso","Livre"),"-")</f>
        <v>Livre</v>
      </c>
      <c r="G480" s="211" t="s">
        <v>1265</v>
      </c>
      <c r="H480" s="211" t="str">
        <f>IFERROR(VLOOKUP(D480,Consolidado!$E$3:$K$311,7,0),"")</f>
        <v/>
      </c>
      <c r="I480" s="257"/>
    </row>
    <row r="481" spans="4:9">
      <c r="D481" s="267">
        <v>12550</v>
      </c>
      <c r="E481" s="211" t="s">
        <v>26</v>
      </c>
      <c r="F481" s="263" t="str">
        <f>IFERROR(IF(COUNTIF(Consolidado!$E$3:$E$358,'Range de Logins'!$D481)&gt;0,"Em uso","Livre"),"-")</f>
        <v>Livre</v>
      </c>
      <c r="G481" s="211" t="s">
        <v>1265</v>
      </c>
      <c r="H481" s="211" t="str">
        <f>IFERROR(VLOOKUP(D481,Consolidado!$E$3:$K$311,7,0),"")</f>
        <v/>
      </c>
      <c r="I481" s="257"/>
    </row>
    <row r="482" spans="4:9">
      <c r="D482" s="267">
        <v>12551</v>
      </c>
      <c r="E482" s="211" t="s">
        <v>26</v>
      </c>
      <c r="F482" s="263" t="str">
        <f>IFERROR(IF(COUNTIF(Consolidado!$E$3:$E$358,'Range de Logins'!$D482)&gt;0,"Em uso","Livre"),"-")</f>
        <v>Livre</v>
      </c>
      <c r="G482" s="211" t="s">
        <v>1265</v>
      </c>
      <c r="H482" s="211" t="str">
        <f>IFERROR(VLOOKUP(D482,Consolidado!$E$3:$K$311,7,0),"")</f>
        <v/>
      </c>
      <c r="I482" s="257"/>
    </row>
    <row r="483" spans="4:9">
      <c r="D483" s="267">
        <v>12552</v>
      </c>
      <c r="E483" s="211" t="s">
        <v>26</v>
      </c>
      <c r="F483" s="263" t="str">
        <f>IFERROR(IF(COUNTIF(Consolidado!$E$3:$E$358,'Range de Logins'!$D483)&gt;0,"Em uso","Livre"),"-")</f>
        <v>Livre</v>
      </c>
      <c r="G483" s="211" t="s">
        <v>1265</v>
      </c>
      <c r="H483" s="211" t="str">
        <f>IFERROR(VLOOKUP(D483,Consolidado!$E$3:$K$311,7,0),"")</f>
        <v/>
      </c>
      <c r="I483" s="257"/>
    </row>
    <row r="484" spans="4:9">
      <c r="D484" s="267">
        <v>12554</v>
      </c>
      <c r="E484" s="211" t="s">
        <v>26</v>
      </c>
      <c r="F484" s="263" t="str">
        <f>IFERROR(IF(COUNTIF(Consolidado!$E$3:$E$358,'Range de Logins'!$D484)&gt;0,"Em uso","Livre"),"-")</f>
        <v>Livre</v>
      </c>
      <c r="G484" s="211" t="s">
        <v>1265</v>
      </c>
      <c r="H484" s="211" t="str">
        <f>IFERROR(VLOOKUP(D484,Consolidado!$E$3:$K$311,7,0),"")</f>
        <v/>
      </c>
      <c r="I484" s="257"/>
    </row>
    <row r="485" spans="4:9">
      <c r="D485" s="267">
        <v>12555</v>
      </c>
      <c r="E485" s="211" t="s">
        <v>26</v>
      </c>
      <c r="F485" s="263" t="str">
        <f>IFERROR(IF(COUNTIF(Consolidado!$E$3:$E$358,'Range de Logins'!$D485)&gt;0,"Em uso","Livre"),"-")</f>
        <v>Livre</v>
      </c>
      <c r="G485" s="211" t="s">
        <v>1265</v>
      </c>
      <c r="H485" s="211" t="str">
        <f>IFERROR(VLOOKUP(D485,Consolidado!$E$3:$K$311,7,0),"")</f>
        <v/>
      </c>
      <c r="I485" s="257"/>
    </row>
    <row r="486" spans="4:9">
      <c r="D486" s="267">
        <v>12556</v>
      </c>
      <c r="E486" s="211" t="s">
        <v>26</v>
      </c>
      <c r="F486" s="263" t="str">
        <f>IFERROR(IF(COUNTIF(Consolidado!$E$3:$E$358,'Range de Logins'!$D486)&gt;0,"Em uso","Livre"),"-")</f>
        <v>Livre</v>
      </c>
      <c r="G486" s="211" t="s">
        <v>1265</v>
      </c>
      <c r="H486" s="211" t="str">
        <f>IFERROR(VLOOKUP(D486,Consolidado!$E$3:$K$311,7,0),"")</f>
        <v/>
      </c>
      <c r="I486" s="257"/>
    </row>
    <row r="487" spans="4:9">
      <c r="D487" s="267">
        <v>12558</v>
      </c>
      <c r="E487" s="211">
        <v>688666</v>
      </c>
      <c r="F487" s="263" t="str">
        <f>IFERROR(IF(COUNTIF(Consolidado!$E$3:$E$358,'Range de Logins'!$D487)&gt;0,"Em uso","Livre"),"-")</f>
        <v>Livre</v>
      </c>
      <c r="G487" s="211" t="s">
        <v>1065</v>
      </c>
      <c r="H487" s="211" t="str">
        <f>IFERROR(VLOOKUP(D487,Consolidado!$E$3:$K$311,7,0),"")</f>
        <v/>
      </c>
      <c r="I487" s="257"/>
    </row>
    <row r="488" spans="4:9">
      <c r="D488" s="267">
        <v>12559</v>
      </c>
      <c r="E488" s="211" t="s">
        <v>26</v>
      </c>
      <c r="F488" s="263" t="str">
        <f>IFERROR(IF(COUNTIF(Consolidado!$E$3:$E$358,'Range de Logins'!$D488)&gt;0,"Em uso","Livre"),"-")</f>
        <v>Livre</v>
      </c>
      <c r="G488" s="211" t="s">
        <v>1265</v>
      </c>
      <c r="H488" s="211" t="str">
        <f>IFERROR(VLOOKUP(D488,Consolidado!$E$3:$K$311,7,0),"")</f>
        <v/>
      </c>
      <c r="I488" s="257"/>
    </row>
    <row r="489" spans="4:9">
      <c r="D489" s="267">
        <v>12561</v>
      </c>
      <c r="E489" s="211" t="s">
        <v>26</v>
      </c>
      <c r="F489" s="263" t="str">
        <f>IFERROR(IF(COUNTIF(Consolidado!$E$3:$E$358,'Range de Logins'!$D489)&gt;0,"Em uso","Livre"),"-")</f>
        <v>Livre</v>
      </c>
      <c r="G489" s="211" t="s">
        <v>1265</v>
      </c>
      <c r="H489" s="211" t="str">
        <f>IFERROR(VLOOKUP(D489,Consolidado!$E$3:$K$311,7,0),"")</f>
        <v/>
      </c>
      <c r="I489" s="257"/>
    </row>
    <row r="490" spans="4:9">
      <c r="D490" s="267">
        <v>12562</v>
      </c>
      <c r="E490" s="211" t="s">
        <v>26</v>
      </c>
      <c r="F490" s="263" t="str">
        <f>IFERROR(IF(COUNTIF(Consolidado!$E$3:$E$358,'Range de Logins'!$D490)&gt;0,"Em uso","Livre"),"-")</f>
        <v>Livre</v>
      </c>
      <c r="G490" s="211" t="s">
        <v>1265</v>
      </c>
      <c r="H490" s="211" t="str">
        <f>IFERROR(VLOOKUP(D490,Consolidado!$E$3:$K$311,7,0),"")</f>
        <v/>
      </c>
      <c r="I490" s="257"/>
    </row>
    <row r="491" spans="4:9">
      <c r="D491" s="267">
        <v>12563</v>
      </c>
      <c r="E491" s="211" t="s">
        <v>26</v>
      </c>
      <c r="F491" s="263" t="str">
        <f>IFERROR(IF(COUNTIF(Consolidado!$E$3:$E$358,'Range de Logins'!$D491)&gt;0,"Em uso","Livre"),"-")</f>
        <v>Livre</v>
      </c>
      <c r="G491" s="211" t="s">
        <v>1265</v>
      </c>
      <c r="H491" s="211" t="str">
        <f>IFERROR(VLOOKUP(D491,Consolidado!$E$3:$K$311,7,0),"")</f>
        <v/>
      </c>
      <c r="I491" s="257"/>
    </row>
    <row r="492" spans="4:9">
      <c r="D492" s="267">
        <v>12564</v>
      </c>
      <c r="E492" s="211" t="s">
        <v>26</v>
      </c>
      <c r="F492" s="263" t="str">
        <f>IFERROR(IF(COUNTIF(Consolidado!$E$3:$E$358,'Range de Logins'!$D492)&gt;0,"Em uso","Livre"),"-")</f>
        <v>Livre</v>
      </c>
      <c r="G492" s="211" t="s">
        <v>1265</v>
      </c>
      <c r="H492" s="211" t="str">
        <f>IFERROR(VLOOKUP(D492,Consolidado!$E$3:$K$311,7,0),"")</f>
        <v/>
      </c>
      <c r="I492" s="257"/>
    </row>
    <row r="493" spans="4:9">
      <c r="D493" s="267">
        <v>12565</v>
      </c>
      <c r="E493" s="211" t="s">
        <v>26</v>
      </c>
      <c r="F493" s="263" t="str">
        <f>IFERROR(IF(COUNTIF(Consolidado!$E$3:$E$358,'Range de Logins'!$D493)&gt;0,"Em uso","Livre"),"-")</f>
        <v>Livre</v>
      </c>
      <c r="G493" s="211" t="s">
        <v>1265</v>
      </c>
      <c r="H493" s="211" t="str">
        <f>IFERROR(VLOOKUP(D493,Consolidado!$E$3:$K$311,7,0),"")</f>
        <v/>
      </c>
      <c r="I493" s="257"/>
    </row>
    <row r="494" spans="4:9">
      <c r="D494" s="267">
        <v>12567</v>
      </c>
      <c r="E494" s="211" t="s">
        <v>26</v>
      </c>
      <c r="F494" s="263" t="str">
        <f>IFERROR(IF(COUNTIF(Consolidado!$E$3:$E$358,'Range de Logins'!$D494)&gt;0,"Em uso","Livre"),"-")</f>
        <v>Livre</v>
      </c>
      <c r="G494" s="211" t="s">
        <v>1265</v>
      </c>
      <c r="H494" s="211" t="str">
        <f>IFERROR(VLOOKUP(D494,Consolidado!$E$3:$K$311,7,0),"")</f>
        <v/>
      </c>
      <c r="I494" s="257"/>
    </row>
    <row r="495" spans="4:9">
      <c r="D495" s="267">
        <v>12568</v>
      </c>
      <c r="E495" s="211">
        <v>365852</v>
      </c>
      <c r="F495" s="263" t="str">
        <f>IFERROR(IF(COUNTIF(Consolidado!$E$3:$E$358,'Range de Logins'!$D495)&gt;0,"Em uso","Livre"),"-")</f>
        <v>Livre</v>
      </c>
      <c r="G495" s="211" t="s">
        <v>1065</v>
      </c>
      <c r="H495" s="211" t="str">
        <f>IFERROR(VLOOKUP(D495,Consolidado!$E$3:$K$311,7,0),"")</f>
        <v/>
      </c>
      <c r="I495" s="257"/>
    </row>
    <row r="496" spans="4:9">
      <c r="D496" s="267">
        <v>12571</v>
      </c>
      <c r="E496" s="211" t="s">
        <v>26</v>
      </c>
      <c r="F496" s="263" t="str">
        <f>IFERROR(IF(COUNTIF(Consolidado!$E$3:$E$358,'Range de Logins'!$D496)&gt;0,"Em uso","Livre"),"-")</f>
        <v>Livre</v>
      </c>
      <c r="G496" s="211" t="s">
        <v>1265</v>
      </c>
      <c r="H496" s="211" t="str">
        <f>IFERROR(VLOOKUP(D496,Consolidado!$E$3:$K$311,7,0),"")</f>
        <v/>
      </c>
      <c r="I496" s="257"/>
    </row>
    <row r="497" spans="4:9">
      <c r="D497" s="267">
        <v>12572</v>
      </c>
      <c r="E497" s="211" t="s">
        <v>26</v>
      </c>
      <c r="F497" s="263" t="str">
        <f>IFERROR(IF(COUNTIF(Consolidado!$E$3:$E$358,'Range de Logins'!$D497)&gt;0,"Em uso","Livre"),"-")</f>
        <v>Livre</v>
      </c>
      <c r="G497" s="211" t="s">
        <v>1265</v>
      </c>
      <c r="H497" s="211" t="str">
        <f>IFERROR(VLOOKUP(D497,Consolidado!$E$3:$K$311,7,0),"")</f>
        <v/>
      </c>
      <c r="I497" s="257"/>
    </row>
    <row r="498" spans="4:9">
      <c r="D498" s="267">
        <v>12574</v>
      </c>
      <c r="E498" s="211">
        <v>766108</v>
      </c>
      <c r="F498" s="263" t="str">
        <f>IFERROR(IF(COUNTIF(Consolidado!$E$3:$E$358,'Range de Logins'!$D498)&gt;0,"Em uso","Livre"),"-")</f>
        <v>Livre</v>
      </c>
      <c r="G498" s="211" t="s">
        <v>1065</v>
      </c>
      <c r="H498" s="211" t="str">
        <f>IFERROR(VLOOKUP(D498,Consolidado!$E$3:$K$311,7,0),"")</f>
        <v/>
      </c>
      <c r="I498" s="257"/>
    </row>
    <row r="499" spans="4:9">
      <c r="D499" s="267">
        <v>12575</v>
      </c>
      <c r="E499" s="211" t="s">
        <v>26</v>
      </c>
      <c r="F499" s="263" t="str">
        <f>IFERROR(IF(COUNTIF(Consolidado!$E$3:$E$358,'Range de Logins'!$D499)&gt;0,"Em uso","Livre"),"-")</f>
        <v>Livre</v>
      </c>
      <c r="G499" s="211" t="s">
        <v>1265</v>
      </c>
      <c r="H499" s="211" t="str">
        <f>IFERROR(VLOOKUP(D499,Consolidado!$E$3:$K$311,7,0),"")</f>
        <v/>
      </c>
      <c r="I499" s="257"/>
    </row>
    <row r="500" spans="4:9">
      <c r="D500" s="267">
        <v>12576</v>
      </c>
      <c r="E500" s="211">
        <v>714233</v>
      </c>
      <c r="F500" s="263" t="str">
        <f>IFERROR(IF(COUNTIF(Consolidado!$E$3:$E$358,'Range de Logins'!$D500)&gt;0,"Em uso","Livre"),"-")</f>
        <v>Livre</v>
      </c>
      <c r="G500" s="211" t="s">
        <v>1065</v>
      </c>
      <c r="H500" s="211" t="str">
        <f>IFERROR(VLOOKUP(D500,Consolidado!$E$3:$K$311,7,0),"")</f>
        <v/>
      </c>
      <c r="I500" s="257"/>
    </row>
    <row r="501" spans="4:9">
      <c r="D501" s="267">
        <v>12580</v>
      </c>
      <c r="E501" s="211" t="s">
        <v>26</v>
      </c>
      <c r="F501" s="263" t="str">
        <f>IFERROR(IF(COUNTIF(Consolidado!$E$3:$E$358,'Range de Logins'!$D501)&gt;0,"Em uso","Livre"),"-")</f>
        <v>Livre</v>
      </c>
      <c r="G501" s="211" t="s">
        <v>1065</v>
      </c>
      <c r="H501" s="211" t="str">
        <f>IFERROR(VLOOKUP(D501,Consolidado!$E$3:$K$311,7,0),"")</f>
        <v/>
      </c>
      <c r="I501" s="257"/>
    </row>
    <row r="502" spans="4:9">
      <c r="D502" s="267">
        <v>12581</v>
      </c>
      <c r="E502" s="211">
        <v>439328</v>
      </c>
      <c r="F502" s="263" t="str">
        <f>IFERROR(IF(COUNTIF(Consolidado!$E$3:$E$358,'Range de Logins'!$D502)&gt;0,"Em uso","Livre"),"-")</f>
        <v>Livre</v>
      </c>
      <c r="G502" s="211" t="s">
        <v>1065</v>
      </c>
      <c r="H502" s="211" t="str">
        <f>IFERROR(VLOOKUP(D502,Consolidado!$E$3:$K$311,7,0),"")</f>
        <v/>
      </c>
      <c r="I502" s="257"/>
    </row>
    <row r="503" spans="4:9">
      <c r="D503" s="267">
        <v>12644</v>
      </c>
      <c r="E503" s="211">
        <v>825673</v>
      </c>
      <c r="F503" s="263" t="str">
        <f>IFERROR(IF(COUNTIF(Consolidado!$E$3:$E$358,'Range de Logins'!$D503)&gt;0,"Em uso","Livre"),"-")</f>
        <v>Em uso</v>
      </c>
      <c r="G503" s="211" t="s">
        <v>1065</v>
      </c>
      <c r="H503" s="211" t="str">
        <f>IFERROR(VLOOKUP(D503,Consolidado!$E$3:$K$311,7,0),"")</f>
        <v>FUPO</v>
      </c>
      <c r="I503" s="257"/>
    </row>
    <row r="504" spans="4:9">
      <c r="D504" s="267">
        <v>12586</v>
      </c>
      <c r="E504" s="211" t="s">
        <v>26</v>
      </c>
      <c r="F504" s="263" t="str">
        <f>IFERROR(IF(COUNTIF(Consolidado!$E$3:$E$358,'Range de Logins'!$D504)&gt;0,"Em uso","Livre"),"-")</f>
        <v>Livre</v>
      </c>
      <c r="G504" s="211" t="s">
        <v>1265</v>
      </c>
      <c r="H504" s="211" t="str">
        <f>IFERROR(VLOOKUP(D504,Consolidado!$E$3:$K$311,7,0),"")</f>
        <v/>
      </c>
      <c r="I504" s="257"/>
    </row>
    <row r="505" spans="4:9">
      <c r="D505" s="267">
        <v>12590</v>
      </c>
      <c r="E505" s="211" t="s">
        <v>26</v>
      </c>
      <c r="F505" s="263" t="str">
        <f>IFERROR(IF(COUNTIF(Consolidado!$E$3:$E$358,'Range de Logins'!$D505)&gt;0,"Em uso","Livre"),"-")</f>
        <v>Livre</v>
      </c>
      <c r="G505" s="211" t="s">
        <v>1265</v>
      </c>
      <c r="H505" s="211" t="str">
        <f>IFERROR(VLOOKUP(D505,Consolidado!$E$3:$K$311,7,0),"")</f>
        <v/>
      </c>
      <c r="I505" s="257"/>
    </row>
    <row r="506" spans="4:9">
      <c r="D506" s="267">
        <v>12592</v>
      </c>
      <c r="E506" s="211">
        <v>786547</v>
      </c>
      <c r="F506" s="263" t="str">
        <f>IFERROR(IF(COUNTIF(Consolidado!$E$3:$E$358,'Range de Logins'!$D506)&gt;0,"Em uso","Livre"),"-")</f>
        <v>Livre</v>
      </c>
      <c r="G506" s="211" t="s">
        <v>1065</v>
      </c>
      <c r="H506" s="211" t="str">
        <f>IFERROR(VLOOKUP(D506,Consolidado!$E$3:$K$311,7,0),"")</f>
        <v/>
      </c>
      <c r="I506" s="257"/>
    </row>
    <row r="507" spans="4:9">
      <c r="D507" s="267">
        <v>12593</v>
      </c>
      <c r="E507" s="211" t="s">
        <v>26</v>
      </c>
      <c r="F507" s="263" t="str">
        <f>IFERROR(IF(COUNTIF(Consolidado!$E$3:$E$358,'Range de Logins'!$D507)&gt;0,"Em uso","Livre"),"-")</f>
        <v>Livre</v>
      </c>
      <c r="G507" s="211" t="s">
        <v>1065</v>
      </c>
      <c r="H507" s="211" t="str">
        <f>IFERROR(VLOOKUP(D507,Consolidado!$E$3:$K$311,7,0),"")</f>
        <v/>
      </c>
      <c r="I507" s="257"/>
    </row>
    <row r="508" spans="4:9">
      <c r="D508" s="267">
        <v>12594</v>
      </c>
      <c r="E508" s="211">
        <v>773797</v>
      </c>
      <c r="F508" s="263" t="str">
        <f>IFERROR(IF(COUNTIF(Consolidado!$E$3:$E$358,'Range de Logins'!$D508)&gt;0,"Em uso","Livre"),"-")</f>
        <v>Livre</v>
      </c>
      <c r="G508" s="211" t="s">
        <v>1065</v>
      </c>
      <c r="H508" s="211" t="str">
        <f>IFERROR(VLOOKUP(D508,Consolidado!$E$3:$K$311,7,0),"")</f>
        <v/>
      </c>
      <c r="I508" s="257"/>
    </row>
    <row r="509" spans="4:9">
      <c r="D509" s="267">
        <v>12595</v>
      </c>
      <c r="E509" s="211">
        <v>697079</v>
      </c>
      <c r="F509" s="263" t="str">
        <f>IFERROR(IF(COUNTIF(Consolidado!$E$3:$E$358,'Range de Logins'!$D509)&gt;0,"Em uso","Livre"),"-")</f>
        <v>Livre</v>
      </c>
      <c r="G509" s="211" t="s">
        <v>1065</v>
      </c>
      <c r="H509" s="211" t="str">
        <f>IFERROR(VLOOKUP(D509,Consolidado!$E$3:$K$311,7,0),"")</f>
        <v/>
      </c>
      <c r="I509" s="257"/>
    </row>
    <row r="510" spans="4:9">
      <c r="D510" s="267">
        <v>12653</v>
      </c>
      <c r="E510" s="211">
        <v>712772</v>
      </c>
      <c r="F510" s="263" t="str">
        <f>IFERROR(IF(COUNTIF(Consolidado!$E$3:$E$358,'Range de Logins'!$D510)&gt;0,"Em uso","Livre"),"-")</f>
        <v>Livre</v>
      </c>
      <c r="G510" s="211" t="s">
        <v>1065</v>
      </c>
      <c r="H510" s="211" t="str">
        <f>IFERROR(VLOOKUP(D510,Consolidado!$E$3:$K$311,7,0),"")</f>
        <v/>
      </c>
      <c r="I510" s="257"/>
    </row>
    <row r="511" spans="4:9">
      <c r="D511" s="267">
        <v>12596</v>
      </c>
      <c r="E511" s="211" t="s">
        <v>26</v>
      </c>
      <c r="F511" s="263" t="str">
        <f>IFERROR(IF(COUNTIF(Consolidado!$E$3:$E$358,'Range de Logins'!$D511)&gt;0,"Em uso","Livre"),"-")</f>
        <v>Livre</v>
      </c>
      <c r="G511" s="211" t="s">
        <v>1265</v>
      </c>
      <c r="H511" s="211" t="str">
        <f>IFERROR(VLOOKUP(D511,Consolidado!$E$3:$K$311,7,0),"")</f>
        <v/>
      </c>
      <c r="I511" s="257"/>
    </row>
    <row r="512" spans="4:9">
      <c r="D512" s="267">
        <v>12597</v>
      </c>
      <c r="E512" s="211" t="s">
        <v>26</v>
      </c>
      <c r="F512" s="263" t="str">
        <f>IFERROR(IF(COUNTIF(Consolidado!$E$3:$E$358,'Range de Logins'!$D512)&gt;0,"Em uso","Livre"),"-")</f>
        <v>Livre</v>
      </c>
      <c r="G512" s="211" t="s">
        <v>1265</v>
      </c>
      <c r="H512" s="211" t="str">
        <f>IFERROR(VLOOKUP(D512,Consolidado!$E$3:$K$311,7,0),"")</f>
        <v/>
      </c>
      <c r="I512" s="257"/>
    </row>
    <row r="513" spans="4:9">
      <c r="D513" s="267">
        <v>12598</v>
      </c>
      <c r="E513" s="211" t="s">
        <v>26</v>
      </c>
      <c r="F513" s="263" t="str">
        <f>IFERROR(IF(COUNTIF(Consolidado!$E$3:$E$358,'Range de Logins'!$D513)&gt;0,"Em uso","Livre"),"-")</f>
        <v>Livre</v>
      </c>
      <c r="G513" s="211" t="s">
        <v>1265</v>
      </c>
      <c r="H513" s="211" t="str">
        <f>IFERROR(VLOOKUP(D513,Consolidado!$E$3:$K$311,7,0),"")</f>
        <v/>
      </c>
      <c r="I513" s="257"/>
    </row>
    <row r="514" spans="4:9">
      <c r="D514" s="267">
        <v>12660</v>
      </c>
      <c r="E514" s="211">
        <v>689774</v>
      </c>
      <c r="F514" s="263" t="str">
        <f>IFERROR(IF(COUNTIF(Consolidado!$E$3:$E$358,'Range de Logins'!$D514)&gt;0,"Em uso","Livre"),"-")</f>
        <v>Em uso</v>
      </c>
      <c r="G514" s="211" t="s">
        <v>1065</v>
      </c>
      <c r="H514" s="211" t="str">
        <f>IFERROR(VLOOKUP(D514,Consolidado!$E$3:$K$311,7,0),"")</f>
        <v>TCO</v>
      </c>
      <c r="I514" s="257"/>
    </row>
    <row r="515" spans="4:9">
      <c r="D515" s="267">
        <v>12599</v>
      </c>
      <c r="E515" s="211" t="s">
        <v>26</v>
      </c>
      <c r="F515" s="263" t="str">
        <f>IFERROR(IF(COUNTIF(Consolidado!$E$3:$E$358,'Range de Logins'!$D515)&gt;0,"Em uso","Livre"),"-")</f>
        <v>Livre</v>
      </c>
      <c r="G515" s="211" t="s">
        <v>1265</v>
      </c>
      <c r="H515" s="211" t="str">
        <f>IFERROR(VLOOKUP(D515,Consolidado!$E$3:$K$311,7,0),"")</f>
        <v/>
      </c>
      <c r="I515" s="257"/>
    </row>
    <row r="516" spans="4:9">
      <c r="D516" s="267">
        <v>12600</v>
      </c>
      <c r="E516" s="211" t="s">
        <v>26</v>
      </c>
      <c r="F516" s="263" t="str">
        <f>IFERROR(IF(COUNTIF(Consolidado!$E$3:$E$358,'Range de Logins'!$D516)&gt;0,"Em uso","Livre"),"-")</f>
        <v>Livre</v>
      </c>
      <c r="G516" s="211" t="s">
        <v>1265</v>
      </c>
      <c r="H516" s="211" t="str">
        <f>IFERROR(VLOOKUP(D516,Consolidado!$E$3:$K$311,7,0),"")</f>
        <v/>
      </c>
      <c r="I516" s="257"/>
    </row>
    <row r="517" spans="4:9">
      <c r="D517" s="267">
        <v>12601</v>
      </c>
      <c r="E517" s="211" t="s">
        <v>26</v>
      </c>
      <c r="F517" s="263" t="str">
        <f>IFERROR(IF(COUNTIF(Consolidado!$E$3:$E$358,'Range de Logins'!$D517)&gt;0,"Em uso","Livre"),"-")</f>
        <v>Livre</v>
      </c>
      <c r="G517" s="211" t="s">
        <v>1265</v>
      </c>
      <c r="H517" s="211" t="str">
        <f>IFERROR(VLOOKUP(D517,Consolidado!$E$3:$K$311,7,0),"")</f>
        <v/>
      </c>
      <c r="I517" s="257"/>
    </row>
    <row r="518" spans="4:9">
      <c r="D518" s="267">
        <v>12603</v>
      </c>
      <c r="E518" s="211">
        <v>714240</v>
      </c>
      <c r="F518" s="263" t="str">
        <f>IFERROR(IF(COUNTIF(Consolidado!$E$3:$E$358,'Range de Logins'!$D518)&gt;0,"Em uso","Livre"),"-")</f>
        <v>Livre</v>
      </c>
      <c r="G518" s="211" t="s">
        <v>1065</v>
      </c>
      <c r="H518" s="211" t="str">
        <f>IFERROR(VLOOKUP(D518,Consolidado!$E$3:$K$311,7,0),"")</f>
        <v/>
      </c>
      <c r="I518" s="257"/>
    </row>
    <row r="519" spans="4:9">
      <c r="D519" s="267">
        <v>12604</v>
      </c>
      <c r="E519" s="211" t="s">
        <v>26</v>
      </c>
      <c r="F519" s="263" t="str">
        <f>IFERROR(IF(COUNTIF(Consolidado!$E$3:$E$358,'Range de Logins'!$D519)&gt;0,"Em uso","Livre"),"-")</f>
        <v>Livre</v>
      </c>
      <c r="G519" s="211" t="s">
        <v>1265</v>
      </c>
      <c r="H519" s="211" t="str">
        <f>IFERROR(VLOOKUP(D519,Consolidado!$E$3:$K$311,7,0),"")</f>
        <v/>
      </c>
      <c r="I519" s="257"/>
    </row>
    <row r="520" spans="4:9">
      <c r="D520" s="267">
        <v>12605</v>
      </c>
      <c r="E520" s="211" t="s">
        <v>26</v>
      </c>
      <c r="F520" s="263" t="str">
        <f>IFERROR(IF(COUNTIF(Consolidado!$E$3:$E$358,'Range de Logins'!$D520)&gt;0,"Em uso","Livre"),"-")</f>
        <v>Livre</v>
      </c>
      <c r="G520" s="211" t="s">
        <v>1265</v>
      </c>
      <c r="H520" s="211" t="str">
        <f>IFERROR(VLOOKUP(D520,Consolidado!$E$3:$K$311,7,0),"")</f>
        <v/>
      </c>
      <c r="I520" s="257"/>
    </row>
    <row r="521" spans="4:9">
      <c r="D521" s="267">
        <v>12606</v>
      </c>
      <c r="E521" s="211" t="s">
        <v>26</v>
      </c>
      <c r="F521" s="263" t="str">
        <f>IFERROR(IF(COUNTIF(Consolidado!$E$3:$E$358,'Range de Logins'!$D521)&gt;0,"Em uso","Livre"),"-")</f>
        <v>Livre</v>
      </c>
      <c r="G521" s="211" t="s">
        <v>1065</v>
      </c>
      <c r="H521" s="211" t="str">
        <f>IFERROR(VLOOKUP(D521,Consolidado!$E$3:$K$311,7,0),"")</f>
        <v/>
      </c>
      <c r="I521" s="257"/>
    </row>
    <row r="522" spans="4:9">
      <c r="D522" s="267">
        <v>12607</v>
      </c>
      <c r="E522" s="211" t="s">
        <v>26</v>
      </c>
      <c r="F522" s="263" t="str">
        <f>IFERROR(IF(COUNTIF(Consolidado!$E$3:$E$358,'Range de Logins'!$D522)&gt;0,"Em uso","Livre"),"-")</f>
        <v>Livre</v>
      </c>
      <c r="G522" s="211" t="s">
        <v>1265</v>
      </c>
      <c r="H522" s="211" t="str">
        <f>IFERROR(VLOOKUP(D522,Consolidado!$E$3:$K$311,7,0),"")</f>
        <v/>
      </c>
      <c r="I522" s="257"/>
    </row>
    <row r="523" spans="4:9">
      <c r="D523" s="267">
        <v>12609</v>
      </c>
      <c r="E523" s="211" t="s">
        <v>26</v>
      </c>
      <c r="F523" s="263" t="str">
        <f>IFERROR(IF(COUNTIF(Consolidado!$E$3:$E$358,'Range de Logins'!$D523)&gt;0,"Em uso","Livre"),"-")</f>
        <v>Livre</v>
      </c>
      <c r="G523" s="211" t="s">
        <v>1265</v>
      </c>
      <c r="H523" s="211" t="str">
        <f>IFERROR(VLOOKUP(D523,Consolidado!$E$3:$K$311,7,0),"")</f>
        <v/>
      </c>
      <c r="I523" s="257"/>
    </row>
    <row r="524" spans="4:9">
      <c r="D524" s="267">
        <v>12611</v>
      </c>
      <c r="E524" s="211" t="s">
        <v>26</v>
      </c>
      <c r="F524" s="263" t="str">
        <f>IFERROR(IF(COUNTIF(Consolidado!$E$3:$E$358,'Range de Logins'!$D524)&gt;0,"Em uso","Livre"),"-")</f>
        <v>Livre</v>
      </c>
      <c r="G524" s="211" t="s">
        <v>1265</v>
      </c>
      <c r="H524" s="211" t="str">
        <f>IFERROR(VLOOKUP(D524,Consolidado!$E$3:$K$311,7,0),"")</f>
        <v/>
      </c>
      <c r="I524" s="257"/>
    </row>
    <row r="525" spans="4:9">
      <c r="D525" s="267">
        <v>12612</v>
      </c>
      <c r="E525" s="211" t="s">
        <v>26</v>
      </c>
      <c r="F525" s="263" t="str">
        <f>IFERROR(IF(COUNTIF(Consolidado!$E$3:$E$358,'Range de Logins'!$D525)&gt;0,"Em uso","Livre"),"-")</f>
        <v>Livre</v>
      </c>
      <c r="G525" s="211" t="s">
        <v>1265</v>
      </c>
      <c r="H525" s="211" t="str">
        <f>IFERROR(VLOOKUP(D525,Consolidado!$E$3:$K$311,7,0),"")</f>
        <v/>
      </c>
      <c r="I525" s="257"/>
    </row>
    <row r="526" spans="4:9">
      <c r="D526" s="267">
        <v>12613</v>
      </c>
      <c r="E526" s="211" t="s">
        <v>26</v>
      </c>
      <c r="F526" s="263" t="str">
        <f>IFERROR(IF(COUNTIF(Consolidado!$E$3:$E$358,'Range de Logins'!$D526)&gt;0,"Em uso","Livre"),"-")</f>
        <v>Livre</v>
      </c>
      <c r="G526" s="211" t="s">
        <v>1265</v>
      </c>
      <c r="H526" s="211" t="str">
        <f>IFERROR(VLOOKUP(D526,Consolidado!$E$3:$K$311,7,0),"")</f>
        <v/>
      </c>
      <c r="I526" s="257"/>
    </row>
    <row r="527" spans="4:9">
      <c r="D527" s="267">
        <v>12614</v>
      </c>
      <c r="E527" s="211" t="s">
        <v>26</v>
      </c>
      <c r="F527" s="263" t="str">
        <f>IFERROR(IF(COUNTIF(Consolidado!$E$3:$E$358,'Range de Logins'!$D527)&gt;0,"Em uso","Livre"),"-")</f>
        <v>Livre</v>
      </c>
      <c r="G527" s="211" t="s">
        <v>1265</v>
      </c>
      <c r="H527" s="211" t="str">
        <f>IFERROR(VLOOKUP(D527,Consolidado!$E$3:$K$311,7,0),"")</f>
        <v/>
      </c>
      <c r="I527" s="257"/>
    </row>
    <row r="528" spans="4:9">
      <c r="D528" s="267">
        <v>12615</v>
      </c>
      <c r="E528" s="211" t="s">
        <v>26</v>
      </c>
      <c r="F528" s="263" t="str">
        <f>IFERROR(IF(COUNTIF(Consolidado!$E$3:$E$358,'Range de Logins'!$D528)&gt;0,"Em uso","Livre"),"-")</f>
        <v>Livre</v>
      </c>
      <c r="G528" s="211" t="s">
        <v>1265</v>
      </c>
      <c r="H528" s="211" t="str">
        <f>IFERROR(VLOOKUP(D528,Consolidado!$E$3:$K$311,7,0),"")</f>
        <v/>
      </c>
      <c r="I528" s="257"/>
    </row>
    <row r="529" spans="4:9">
      <c r="D529" s="267">
        <v>12616</v>
      </c>
      <c r="E529" s="211" t="s">
        <v>26</v>
      </c>
      <c r="F529" s="263" t="str">
        <f>IFERROR(IF(COUNTIF(Consolidado!$E$3:$E$358,'Range de Logins'!$D529)&gt;0,"Em uso","Livre"),"-")</f>
        <v>Livre</v>
      </c>
      <c r="G529" s="211" t="s">
        <v>1265</v>
      </c>
      <c r="H529" s="211" t="str">
        <f>IFERROR(VLOOKUP(D529,Consolidado!$E$3:$K$311,7,0),"")</f>
        <v/>
      </c>
      <c r="I529" s="257"/>
    </row>
    <row r="530" spans="4:9">
      <c r="D530" s="267">
        <v>12617</v>
      </c>
      <c r="E530" s="211" t="s">
        <v>26</v>
      </c>
      <c r="F530" s="263" t="str">
        <f>IFERROR(IF(COUNTIF(Consolidado!$E$3:$E$358,'Range de Logins'!$D530)&gt;0,"Em uso","Livre"),"-")</f>
        <v>Livre</v>
      </c>
      <c r="G530" s="211" t="s">
        <v>1265</v>
      </c>
      <c r="H530" s="211" t="str">
        <f>IFERROR(VLOOKUP(D530,Consolidado!$E$3:$K$311,7,0),"")</f>
        <v/>
      </c>
      <c r="I530" s="257"/>
    </row>
    <row r="531" spans="4:9">
      <c r="D531" s="267">
        <v>12618</v>
      </c>
      <c r="E531" s="211" t="s">
        <v>26</v>
      </c>
      <c r="F531" s="263" t="str">
        <f>IFERROR(IF(COUNTIF(Consolidado!$E$3:$E$358,'Range de Logins'!$D531)&gt;0,"Em uso","Livre"),"-")</f>
        <v>Livre</v>
      </c>
      <c r="G531" s="211" t="s">
        <v>1265</v>
      </c>
      <c r="H531" s="211" t="str">
        <f>IFERROR(VLOOKUP(D531,Consolidado!$E$3:$K$311,7,0),"")</f>
        <v/>
      </c>
      <c r="I531" s="257"/>
    </row>
    <row r="532" spans="4:9">
      <c r="D532" s="267">
        <v>12619</v>
      </c>
      <c r="E532" s="211">
        <v>804545</v>
      </c>
      <c r="F532" s="263" t="str">
        <f>IFERROR(IF(COUNTIF(Consolidado!$E$3:$E$358,'Range de Logins'!$D532)&gt;0,"Em uso","Livre"),"-")</f>
        <v>Livre</v>
      </c>
      <c r="G532" s="211" t="s">
        <v>1065</v>
      </c>
      <c r="H532" s="211" t="str">
        <f>IFERROR(VLOOKUP(D532,Consolidado!$E$3:$K$311,7,0),"")</f>
        <v/>
      </c>
      <c r="I532" s="257"/>
    </row>
    <row r="533" spans="4:9">
      <c r="D533" s="267">
        <v>12620</v>
      </c>
      <c r="E533" s="211" t="s">
        <v>26</v>
      </c>
      <c r="F533" s="263" t="str">
        <f>IFERROR(IF(COUNTIF(Consolidado!$E$3:$E$358,'Range de Logins'!$D533)&gt;0,"Em uso","Livre"),"-")</f>
        <v>Livre</v>
      </c>
      <c r="G533" s="211" t="s">
        <v>1265</v>
      </c>
      <c r="H533" s="211" t="str">
        <f>IFERROR(VLOOKUP(D533,Consolidado!$E$3:$K$311,7,0),"")</f>
        <v/>
      </c>
      <c r="I533" s="257"/>
    </row>
    <row r="534" spans="4:9">
      <c r="D534" s="267">
        <v>12621</v>
      </c>
      <c r="E534" s="211" t="s">
        <v>26</v>
      </c>
      <c r="F534" s="263" t="str">
        <f>IFERROR(IF(COUNTIF(Consolidado!$E$3:$E$358,'Range de Logins'!$D534)&gt;0,"Em uso","Livre"),"-")</f>
        <v>Livre</v>
      </c>
      <c r="G534" s="211" t="s">
        <v>1265</v>
      </c>
      <c r="H534" s="211" t="str">
        <f>IFERROR(VLOOKUP(D534,Consolidado!$E$3:$K$311,7,0),"")</f>
        <v/>
      </c>
      <c r="I534" s="257"/>
    </row>
    <row r="535" spans="4:9">
      <c r="D535" s="267">
        <v>12622</v>
      </c>
      <c r="E535" s="211" t="s">
        <v>26</v>
      </c>
      <c r="F535" s="263" t="str">
        <f>IFERROR(IF(COUNTIF(Consolidado!$E$3:$E$358,'Range de Logins'!$D535)&gt;0,"Em uso","Livre"),"-")</f>
        <v>Livre</v>
      </c>
      <c r="G535" s="211" t="s">
        <v>1265</v>
      </c>
      <c r="H535" s="211" t="str">
        <f>IFERROR(VLOOKUP(D535,Consolidado!$E$3:$K$311,7,0),"")</f>
        <v/>
      </c>
      <c r="I535" s="257"/>
    </row>
    <row r="536" spans="4:9">
      <c r="D536" s="267">
        <v>12623</v>
      </c>
      <c r="E536" s="211" t="s">
        <v>26</v>
      </c>
      <c r="F536" s="263" t="str">
        <f>IFERROR(IF(COUNTIF(Consolidado!$E$3:$E$358,'Range de Logins'!$D536)&gt;0,"Em uso","Livre"),"-")</f>
        <v>Livre</v>
      </c>
      <c r="G536" s="211" t="s">
        <v>1265</v>
      </c>
      <c r="H536" s="211" t="str">
        <f>IFERROR(VLOOKUP(D536,Consolidado!$E$3:$K$311,7,0),"")</f>
        <v/>
      </c>
      <c r="I536" s="257"/>
    </row>
    <row r="537" spans="4:9">
      <c r="D537" s="267">
        <v>12624</v>
      </c>
      <c r="E537" s="211" t="s">
        <v>26</v>
      </c>
      <c r="F537" s="263" t="str">
        <f>IFERROR(IF(COUNTIF(Consolidado!$E$3:$E$358,'Range de Logins'!$D537)&gt;0,"Em uso","Livre"),"-")</f>
        <v>Livre</v>
      </c>
      <c r="G537" s="211" t="s">
        <v>1265</v>
      </c>
      <c r="H537" s="211" t="str">
        <f>IFERROR(VLOOKUP(D537,Consolidado!$E$3:$K$311,7,0),"")</f>
        <v/>
      </c>
      <c r="I537" s="257"/>
    </row>
    <row r="538" spans="4:9">
      <c r="D538" s="267">
        <v>12625</v>
      </c>
      <c r="E538" s="211" t="s">
        <v>26</v>
      </c>
      <c r="F538" s="263" t="str">
        <f>IFERROR(IF(COUNTIF(Consolidado!$E$3:$E$358,'Range de Logins'!$D538)&gt;0,"Em uso","Livre"),"-")</f>
        <v>Livre</v>
      </c>
      <c r="G538" s="211" t="s">
        <v>1265</v>
      </c>
      <c r="H538" s="211" t="str">
        <f>IFERROR(VLOOKUP(D538,Consolidado!$E$3:$K$311,7,0),"")</f>
        <v/>
      </c>
      <c r="I538" s="257"/>
    </row>
    <row r="539" spans="4:9">
      <c r="D539" s="267">
        <v>12626</v>
      </c>
      <c r="E539" s="211">
        <v>732385</v>
      </c>
      <c r="F539" s="263" t="str">
        <f>IFERROR(IF(COUNTIF(Consolidado!$E$3:$E$358,'Range de Logins'!$D539)&gt;0,"Em uso","Livre"),"-")</f>
        <v>Livre</v>
      </c>
      <c r="G539" s="211" t="s">
        <v>1065</v>
      </c>
      <c r="H539" s="211" t="str">
        <f>IFERROR(VLOOKUP(D539,Consolidado!$E$3:$K$311,7,0),"")</f>
        <v/>
      </c>
      <c r="I539" s="257"/>
    </row>
    <row r="540" spans="4:9">
      <c r="D540" s="267">
        <v>12627</v>
      </c>
      <c r="E540" s="211" t="s">
        <v>26</v>
      </c>
      <c r="F540" s="263" t="str">
        <f>IFERROR(IF(COUNTIF(Consolidado!$E$3:$E$358,'Range de Logins'!$D540)&gt;0,"Em uso","Livre"),"-")</f>
        <v>Livre</v>
      </c>
      <c r="G540" s="211" t="s">
        <v>1265</v>
      </c>
      <c r="H540" s="211" t="str">
        <f>IFERROR(VLOOKUP(D540,Consolidado!$E$3:$K$311,7,0),"")</f>
        <v/>
      </c>
      <c r="I540" s="257"/>
    </row>
    <row r="541" spans="4:9">
      <c r="D541" s="267">
        <v>12628</v>
      </c>
      <c r="E541" s="211" t="s">
        <v>26</v>
      </c>
      <c r="F541" s="263" t="str">
        <f>IFERROR(IF(COUNTIF(Consolidado!$E$3:$E$358,'Range de Logins'!$D541)&gt;0,"Em uso","Livre"),"-")</f>
        <v>Livre</v>
      </c>
      <c r="G541" s="211" t="s">
        <v>1265</v>
      </c>
      <c r="H541" s="211" t="str">
        <f>IFERROR(VLOOKUP(D541,Consolidado!$E$3:$K$311,7,0),"")</f>
        <v/>
      </c>
      <c r="I541" s="257"/>
    </row>
    <row r="542" spans="4:9">
      <c r="D542" s="267">
        <v>12629</v>
      </c>
      <c r="E542" s="211" t="s">
        <v>26</v>
      </c>
      <c r="F542" s="263" t="str">
        <f>IFERROR(IF(COUNTIF(Consolidado!$E$3:$E$358,'Range de Logins'!$D542)&gt;0,"Em uso","Livre"),"-")</f>
        <v>Livre</v>
      </c>
      <c r="G542" s="211" t="s">
        <v>1265</v>
      </c>
      <c r="H542" s="211" t="str">
        <f>IFERROR(VLOOKUP(D542,Consolidado!$E$3:$K$311,7,0),"")</f>
        <v/>
      </c>
      <c r="I542" s="257"/>
    </row>
    <row r="543" spans="4:9">
      <c r="D543" s="267">
        <v>12630</v>
      </c>
      <c r="E543" s="211" t="s">
        <v>26</v>
      </c>
      <c r="F543" s="263" t="str">
        <f>IFERROR(IF(COUNTIF(Consolidado!$E$3:$E$358,'Range de Logins'!$D543)&gt;0,"Em uso","Livre"),"-")</f>
        <v>Livre</v>
      </c>
      <c r="G543" s="211" t="s">
        <v>1265</v>
      </c>
      <c r="H543" s="211" t="str">
        <f>IFERROR(VLOOKUP(D543,Consolidado!$E$3:$K$311,7,0),"")</f>
        <v/>
      </c>
      <c r="I543" s="257"/>
    </row>
    <row r="544" spans="4:9">
      <c r="D544" s="267">
        <v>12631</v>
      </c>
      <c r="E544" s="211" t="s">
        <v>26</v>
      </c>
      <c r="F544" s="263" t="str">
        <f>IFERROR(IF(COUNTIF(Consolidado!$E$3:$E$358,'Range de Logins'!$D544)&gt;0,"Em uso","Livre"),"-")</f>
        <v>Livre</v>
      </c>
      <c r="G544" s="211" t="s">
        <v>1265</v>
      </c>
      <c r="H544" s="211" t="str">
        <f>IFERROR(VLOOKUP(D544,Consolidado!$E$3:$K$311,7,0),"")</f>
        <v/>
      </c>
      <c r="I544" s="257"/>
    </row>
    <row r="545" spans="4:9">
      <c r="D545" s="267">
        <v>12632</v>
      </c>
      <c r="E545" s="211" t="s">
        <v>26</v>
      </c>
      <c r="F545" s="263" t="str">
        <f>IFERROR(IF(COUNTIF(Consolidado!$E$3:$E$358,'Range de Logins'!$D545)&gt;0,"Em uso","Livre"),"-")</f>
        <v>Livre</v>
      </c>
      <c r="G545" s="211" t="s">
        <v>1265</v>
      </c>
      <c r="H545" s="211" t="str">
        <f>IFERROR(VLOOKUP(D545,Consolidado!$E$3:$K$311,7,0),"")</f>
        <v/>
      </c>
      <c r="I545" s="257"/>
    </row>
    <row r="546" spans="4:9">
      <c r="D546" s="267">
        <v>12633</v>
      </c>
      <c r="E546" s="211" t="s">
        <v>26</v>
      </c>
      <c r="F546" s="263" t="str">
        <f>IFERROR(IF(COUNTIF(Consolidado!$E$3:$E$358,'Range de Logins'!$D546)&gt;0,"Em uso","Livre"),"-")</f>
        <v>Livre</v>
      </c>
      <c r="G546" s="211" t="s">
        <v>1265</v>
      </c>
      <c r="H546" s="211" t="str">
        <f>IFERROR(VLOOKUP(D546,Consolidado!$E$3:$K$311,7,0),"")</f>
        <v/>
      </c>
      <c r="I546" s="257"/>
    </row>
    <row r="547" spans="4:9">
      <c r="D547" s="267">
        <v>12634</v>
      </c>
      <c r="E547" s="211">
        <v>195587</v>
      </c>
      <c r="F547" s="263" t="str">
        <f>IFERROR(IF(COUNTIF(Consolidado!$E$3:$E$358,'Range de Logins'!$D547)&gt;0,"Em uso","Livre"),"-")</f>
        <v>Livre</v>
      </c>
      <c r="G547" s="211" t="s">
        <v>1065</v>
      </c>
      <c r="H547" s="211" t="str">
        <f>IFERROR(VLOOKUP(D547,Consolidado!$E$3:$K$311,7,0),"")</f>
        <v/>
      </c>
      <c r="I547" s="257"/>
    </row>
    <row r="548" spans="4:9">
      <c r="D548" s="267">
        <v>12635</v>
      </c>
      <c r="E548" s="211" t="s">
        <v>26</v>
      </c>
      <c r="F548" s="263" t="str">
        <f>IFERROR(IF(COUNTIF(Consolidado!$E$3:$E$358,'Range de Logins'!$D548)&gt;0,"Em uso","Livre"),"-")</f>
        <v>Livre</v>
      </c>
      <c r="G548" s="211" t="s">
        <v>1265</v>
      </c>
      <c r="H548" s="211" t="str">
        <f>IFERROR(VLOOKUP(D548,Consolidado!$E$3:$K$311,7,0),"")</f>
        <v/>
      </c>
      <c r="I548" s="257"/>
    </row>
    <row r="549" spans="4:9">
      <c r="D549" s="267">
        <v>12636</v>
      </c>
      <c r="E549" s="211" t="s">
        <v>26</v>
      </c>
      <c r="F549" s="263" t="str">
        <f>IFERROR(IF(COUNTIF(Consolidado!$E$3:$E$358,'Range de Logins'!$D549)&gt;0,"Em uso","Livre"),"-")</f>
        <v>Livre</v>
      </c>
      <c r="G549" s="211" t="s">
        <v>1265</v>
      </c>
      <c r="H549" s="211" t="str">
        <f>IFERROR(VLOOKUP(D549,Consolidado!$E$3:$K$311,7,0),"")</f>
        <v/>
      </c>
      <c r="I549" s="257"/>
    </row>
    <row r="550" spans="4:9">
      <c r="D550" s="267">
        <v>12637</v>
      </c>
      <c r="E550" s="211" t="s">
        <v>26</v>
      </c>
      <c r="F550" s="263" t="str">
        <f>IFERROR(IF(COUNTIF(Consolidado!$E$3:$E$358,'Range de Logins'!$D550)&gt;0,"Em uso","Livre"),"-")</f>
        <v>Livre</v>
      </c>
      <c r="G550" s="211" t="s">
        <v>1265</v>
      </c>
      <c r="H550" s="211" t="str">
        <f>IFERROR(VLOOKUP(D550,Consolidado!$E$3:$K$311,7,0),"")</f>
        <v/>
      </c>
      <c r="I550" s="257"/>
    </row>
    <row r="551" spans="4:9">
      <c r="D551" s="267">
        <v>12638</v>
      </c>
      <c r="E551" s="211" t="s">
        <v>26</v>
      </c>
      <c r="F551" s="263" t="str">
        <f>IFERROR(IF(COUNTIF(Consolidado!$E$3:$E$358,'Range de Logins'!$D551)&gt;0,"Em uso","Livre"),"-")</f>
        <v>Livre</v>
      </c>
      <c r="G551" s="211" t="s">
        <v>1265</v>
      </c>
      <c r="H551" s="211" t="str">
        <f>IFERROR(VLOOKUP(D551,Consolidado!$E$3:$K$311,7,0),"")</f>
        <v/>
      </c>
      <c r="I551" s="257"/>
    </row>
    <row r="552" spans="4:9">
      <c r="D552" s="267">
        <v>12639</v>
      </c>
      <c r="E552" s="211" t="s">
        <v>26</v>
      </c>
      <c r="F552" s="263" t="str">
        <f>IFERROR(IF(COUNTIF(Consolidado!$E$3:$E$358,'Range de Logins'!$D552)&gt;0,"Em uso","Livre"),"-")</f>
        <v>Livre</v>
      </c>
      <c r="G552" s="211" t="s">
        <v>1265</v>
      </c>
      <c r="H552" s="211" t="str">
        <f>IFERROR(VLOOKUP(D552,Consolidado!$E$3:$K$311,7,0),"")</f>
        <v/>
      </c>
      <c r="I552" s="257"/>
    </row>
    <row r="553" spans="4:9">
      <c r="D553" s="267">
        <v>12640</v>
      </c>
      <c r="E553" s="211" t="s">
        <v>26</v>
      </c>
      <c r="F553" s="263" t="str">
        <f>IFERROR(IF(COUNTIF(Consolidado!$E$3:$E$358,'Range de Logins'!$D553)&gt;0,"Em uso","Livre"),"-")</f>
        <v>Livre</v>
      </c>
      <c r="G553" s="211" t="s">
        <v>1265</v>
      </c>
      <c r="H553" s="211" t="str">
        <f>IFERROR(VLOOKUP(D553,Consolidado!$E$3:$K$311,7,0),"")</f>
        <v/>
      </c>
      <c r="I553" s="257"/>
    </row>
    <row r="554" spans="4:9">
      <c r="D554" s="267">
        <v>12641</v>
      </c>
      <c r="E554" s="211" t="s">
        <v>26</v>
      </c>
      <c r="F554" s="263" t="str">
        <f>IFERROR(IF(COUNTIF(Consolidado!$E$3:$E$358,'Range de Logins'!$D554)&gt;0,"Em uso","Livre"),"-")</f>
        <v>Livre</v>
      </c>
      <c r="G554" s="211" t="s">
        <v>1265</v>
      </c>
      <c r="H554" s="211" t="str">
        <f>IFERROR(VLOOKUP(D554,Consolidado!$E$3:$K$311,7,0),"")</f>
        <v/>
      </c>
      <c r="I554" s="257"/>
    </row>
    <row r="555" spans="4:9">
      <c r="D555" s="267">
        <v>12642</v>
      </c>
      <c r="E555" s="211" t="s">
        <v>26</v>
      </c>
      <c r="F555" s="263" t="str">
        <f>IFERROR(IF(COUNTIF(Consolidado!$E$3:$E$358,'Range de Logins'!$D555)&gt;0,"Em uso","Livre"),"-")</f>
        <v>Livre</v>
      </c>
      <c r="G555" s="211" t="s">
        <v>1265</v>
      </c>
      <c r="H555" s="211" t="str">
        <f>IFERROR(VLOOKUP(D555,Consolidado!$E$3:$K$311,7,0),"")</f>
        <v/>
      </c>
      <c r="I555" s="257"/>
    </row>
    <row r="556" spans="4:9">
      <c r="D556" s="267">
        <v>12643</v>
      </c>
      <c r="E556" s="211" t="s">
        <v>26</v>
      </c>
      <c r="F556" s="263" t="str">
        <f>IFERROR(IF(COUNTIF(Consolidado!$E$3:$E$358,'Range de Logins'!$D556)&gt;0,"Em uso","Livre"),"-")</f>
        <v>Livre</v>
      </c>
      <c r="G556" s="211" t="s">
        <v>1265</v>
      </c>
      <c r="H556" s="211" t="str">
        <f>IFERROR(VLOOKUP(D556,Consolidado!$E$3:$K$311,7,0),"")</f>
        <v/>
      </c>
      <c r="I556" s="257"/>
    </row>
    <row r="557" spans="4:9">
      <c r="D557" s="267">
        <v>12646</v>
      </c>
      <c r="E557" s="211" t="s">
        <v>26</v>
      </c>
      <c r="F557" s="263" t="str">
        <f>IFERROR(IF(COUNTIF(Consolidado!$E$3:$E$358,'Range de Logins'!$D557)&gt;0,"Em uso","Livre"),"-")</f>
        <v>Livre</v>
      </c>
      <c r="G557" s="211" t="s">
        <v>1265</v>
      </c>
      <c r="H557" s="211" t="str">
        <f>IFERROR(VLOOKUP(D557,Consolidado!$E$3:$K$311,7,0),"")</f>
        <v/>
      </c>
      <c r="I557" s="257"/>
    </row>
    <row r="558" spans="4:9">
      <c r="D558" s="267">
        <v>12647</v>
      </c>
      <c r="E558" s="211" t="s">
        <v>26</v>
      </c>
      <c r="F558" s="263" t="str">
        <f>IFERROR(IF(COUNTIF(Consolidado!$E$3:$E$358,'Range de Logins'!$D558)&gt;0,"Em uso","Livre"),"-")</f>
        <v>Livre</v>
      </c>
      <c r="G558" s="211" t="s">
        <v>1265</v>
      </c>
      <c r="H558" s="211" t="str">
        <f>IFERROR(VLOOKUP(D558,Consolidado!$E$3:$K$311,7,0),"")</f>
        <v/>
      </c>
      <c r="I558" s="257"/>
    </row>
    <row r="559" spans="4:9">
      <c r="D559" s="267">
        <v>12648</v>
      </c>
      <c r="E559" s="211" t="s">
        <v>26</v>
      </c>
      <c r="F559" s="263" t="str">
        <f>IFERROR(IF(COUNTIF(Consolidado!$E$3:$E$358,'Range de Logins'!$D559)&gt;0,"Em uso","Livre"),"-")</f>
        <v>Livre</v>
      </c>
      <c r="G559" s="211" t="s">
        <v>1265</v>
      </c>
      <c r="H559" s="211" t="str">
        <f>IFERROR(VLOOKUP(D559,Consolidado!$E$3:$K$311,7,0),"")</f>
        <v/>
      </c>
      <c r="I559" s="257"/>
    </row>
    <row r="560" spans="4:9">
      <c r="D560" s="267">
        <v>12649</v>
      </c>
      <c r="E560" s="211" t="s">
        <v>26</v>
      </c>
      <c r="F560" s="263" t="str">
        <f>IFERROR(IF(COUNTIF(Consolidado!$E$3:$E$358,'Range de Logins'!$D560)&gt;0,"Em uso","Livre"),"-")</f>
        <v>Livre</v>
      </c>
      <c r="G560" s="211" t="s">
        <v>1265</v>
      </c>
      <c r="H560" s="211" t="str">
        <f>IFERROR(VLOOKUP(D560,Consolidado!$E$3:$K$311,7,0),"")</f>
        <v/>
      </c>
      <c r="I560" s="257"/>
    </row>
    <row r="561" spans="4:9">
      <c r="D561" s="267">
        <v>12651</v>
      </c>
      <c r="E561" s="211" t="s">
        <v>26</v>
      </c>
      <c r="F561" s="263" t="str">
        <f>IFERROR(IF(COUNTIF(Consolidado!$E$3:$E$358,'Range de Logins'!$D561)&gt;0,"Em uso","Livre"),"-")</f>
        <v>Livre</v>
      </c>
      <c r="G561" s="211" t="s">
        <v>1265</v>
      </c>
      <c r="H561" s="211" t="str">
        <f>IFERROR(VLOOKUP(D561,Consolidado!$E$3:$K$311,7,0),"")</f>
        <v/>
      </c>
      <c r="I561" s="257"/>
    </row>
    <row r="562" spans="4:9">
      <c r="D562" s="267">
        <v>12652</v>
      </c>
      <c r="E562" s="211" t="s">
        <v>26</v>
      </c>
      <c r="F562" s="263" t="str">
        <f>IFERROR(IF(COUNTIF(Consolidado!$E$3:$E$358,'Range de Logins'!$D562)&gt;0,"Em uso","Livre"),"-")</f>
        <v>Livre</v>
      </c>
      <c r="G562" s="211" t="s">
        <v>1265</v>
      </c>
      <c r="H562" s="211" t="str">
        <f>IFERROR(VLOOKUP(D562,Consolidado!$E$3:$K$311,7,0),"")</f>
        <v/>
      </c>
      <c r="I562" s="257"/>
    </row>
    <row r="563" spans="4:9">
      <c r="D563" s="267">
        <v>12655</v>
      </c>
      <c r="E563" s="211" t="s">
        <v>26</v>
      </c>
      <c r="F563" s="263" t="str">
        <f>IFERROR(IF(COUNTIF(Consolidado!$E$3:$E$358,'Range de Logins'!$D563)&gt;0,"Em uso","Livre"),"-")</f>
        <v>Livre</v>
      </c>
      <c r="G563" s="211" t="s">
        <v>1265</v>
      </c>
      <c r="H563" s="211" t="str">
        <f>IFERROR(VLOOKUP(D563,Consolidado!$E$3:$K$311,7,0),"")</f>
        <v/>
      </c>
      <c r="I563" s="257"/>
    </row>
    <row r="564" spans="4:9">
      <c r="D564" s="267">
        <v>12656</v>
      </c>
      <c r="E564" s="211" t="s">
        <v>26</v>
      </c>
      <c r="F564" s="263" t="str">
        <f>IFERROR(IF(COUNTIF(Consolidado!$E$3:$E$358,'Range de Logins'!$D564)&gt;0,"Em uso","Livre"),"-")</f>
        <v>Livre</v>
      </c>
      <c r="G564" s="211" t="s">
        <v>1265</v>
      </c>
      <c r="H564" s="211" t="str">
        <f>IFERROR(VLOOKUP(D564,Consolidado!$E$3:$K$311,7,0),"")</f>
        <v/>
      </c>
      <c r="I564" s="257"/>
    </row>
    <row r="565" spans="4:9">
      <c r="D565" s="267">
        <v>12657</v>
      </c>
      <c r="E565" s="211">
        <v>759653</v>
      </c>
      <c r="F565" s="263" t="str">
        <f>IFERROR(IF(COUNTIF(Consolidado!$E$3:$E$358,'Range de Logins'!$D565)&gt;0,"Em uso","Livre"),"-")</f>
        <v>Livre</v>
      </c>
      <c r="G565" s="211" t="s">
        <v>1065</v>
      </c>
      <c r="H565" s="211" t="str">
        <f>IFERROR(VLOOKUP(D565,Consolidado!$E$3:$K$311,7,0),"")</f>
        <v/>
      </c>
      <c r="I565" s="257"/>
    </row>
    <row r="566" spans="4:9">
      <c r="D566" s="267">
        <v>12658</v>
      </c>
      <c r="E566" s="211">
        <v>834378</v>
      </c>
      <c r="F566" s="263" t="str">
        <f>IFERROR(IF(COUNTIF(Consolidado!$E$3:$E$358,'Range de Logins'!$D566)&gt;0,"Em uso","Livre"),"-")</f>
        <v>Livre</v>
      </c>
      <c r="G566" s="211" t="s">
        <v>1065</v>
      </c>
      <c r="H566" s="211" t="str">
        <f>IFERROR(VLOOKUP(D566,Consolidado!$E$3:$K$311,7,0),"")</f>
        <v/>
      </c>
      <c r="I566" s="257"/>
    </row>
    <row r="567" spans="4:9">
      <c r="D567" s="267">
        <v>12659</v>
      </c>
      <c r="E567" s="211" t="s">
        <v>26</v>
      </c>
      <c r="F567" s="263" t="str">
        <f>IFERROR(IF(COUNTIF(Consolidado!$E$3:$E$358,'Range de Logins'!$D567)&gt;0,"Em uso","Livre"),"-")</f>
        <v>Livre</v>
      </c>
      <c r="G567" s="211" t="s">
        <v>1265</v>
      </c>
      <c r="H567" s="211" t="str">
        <f>IFERROR(VLOOKUP(D567,Consolidado!$E$3:$K$311,7,0),"")</f>
        <v/>
      </c>
      <c r="I567" s="257"/>
    </row>
    <row r="568" spans="4:9">
      <c r="D568" s="267">
        <v>12661</v>
      </c>
      <c r="E568" s="211" t="s">
        <v>26</v>
      </c>
      <c r="F568" s="263" t="str">
        <f>IFERROR(IF(COUNTIF(Consolidado!$E$3:$E$358,'Range de Logins'!$D568)&gt;0,"Em uso","Livre"),"-")</f>
        <v>Livre</v>
      </c>
      <c r="G568" s="211" t="s">
        <v>1265</v>
      </c>
      <c r="H568" s="211" t="str">
        <f>IFERROR(VLOOKUP(D568,Consolidado!$E$3:$K$311,7,0),"")</f>
        <v/>
      </c>
      <c r="I568" s="257"/>
    </row>
    <row r="569" spans="4:9">
      <c r="D569" s="267">
        <v>12662</v>
      </c>
      <c r="E569" s="211" t="s">
        <v>26</v>
      </c>
      <c r="F569" s="263" t="str">
        <f>IFERROR(IF(COUNTIF(Consolidado!$E$3:$E$358,'Range de Logins'!$D569)&gt;0,"Em uso","Livre"),"-")</f>
        <v>Livre</v>
      </c>
      <c r="G569" s="211" t="s">
        <v>1265</v>
      </c>
      <c r="H569" s="211" t="str">
        <f>IFERROR(VLOOKUP(D569,Consolidado!$E$3:$K$311,7,0),"")</f>
        <v/>
      </c>
      <c r="I569" s="257"/>
    </row>
    <row r="570" spans="4:9">
      <c r="D570" s="267">
        <v>12663</v>
      </c>
      <c r="E570" s="211" t="s">
        <v>26</v>
      </c>
      <c r="F570" s="263" t="str">
        <f>IFERROR(IF(COUNTIF(Consolidado!$E$3:$E$358,'Range de Logins'!$D570)&gt;0,"Em uso","Livre"),"-")</f>
        <v>Livre</v>
      </c>
      <c r="G570" s="211" t="s">
        <v>1265</v>
      </c>
      <c r="H570" s="211" t="str">
        <f>IFERROR(VLOOKUP(D570,Consolidado!$E$3:$K$311,7,0),"")</f>
        <v/>
      </c>
      <c r="I570" s="257"/>
    </row>
    <row r="571" spans="4:9">
      <c r="D571" s="267">
        <v>12667</v>
      </c>
      <c r="E571" s="211">
        <v>705087</v>
      </c>
      <c r="F571" s="263" t="str">
        <f>IFERROR(IF(COUNTIF(Consolidado!$E$3:$E$358,'Range de Logins'!$D571)&gt;0,"Em uso","Livre"),"-")</f>
        <v>Livre</v>
      </c>
      <c r="G571" s="211" t="s">
        <v>1065</v>
      </c>
      <c r="H571" s="211" t="str">
        <f>IFERROR(VLOOKUP(D571,Consolidado!$E$3:$K$311,7,0),"")</f>
        <v/>
      </c>
      <c r="I571" s="257"/>
    </row>
    <row r="572" spans="4:9">
      <c r="D572" s="267">
        <v>12668</v>
      </c>
      <c r="E572" s="211" t="s">
        <v>26</v>
      </c>
      <c r="F572" s="263" t="str">
        <f>IFERROR(IF(COUNTIF(Consolidado!$E$3:$E$358,'Range de Logins'!$D572)&gt;0,"Em uso","Livre"),"-")</f>
        <v>Livre</v>
      </c>
      <c r="G572" s="211" t="s">
        <v>1265</v>
      </c>
      <c r="H572" s="211" t="str">
        <f>IFERROR(VLOOKUP(D572,Consolidado!$E$3:$K$311,7,0),"")</f>
        <v/>
      </c>
      <c r="I572" s="257"/>
    </row>
    <row r="573" spans="4:9">
      <c r="D573" s="267">
        <v>12670</v>
      </c>
      <c r="E573" s="211" t="s">
        <v>26</v>
      </c>
      <c r="F573" s="263" t="str">
        <f>IFERROR(IF(COUNTIF(Consolidado!$E$3:$E$358,'Range de Logins'!$D573)&gt;0,"Em uso","Livre"),"-")</f>
        <v>Livre</v>
      </c>
      <c r="G573" s="211" t="s">
        <v>1265</v>
      </c>
      <c r="H573" s="211" t="str">
        <f>IFERROR(VLOOKUP(D573,Consolidado!$E$3:$K$311,7,0),"")</f>
        <v/>
      </c>
      <c r="I573" s="257"/>
    </row>
    <row r="574" spans="4:9">
      <c r="D574" s="267">
        <v>12671</v>
      </c>
      <c r="E574" s="211" t="s">
        <v>26</v>
      </c>
      <c r="F574" s="263" t="str">
        <f>IFERROR(IF(COUNTIF(Consolidado!$E$3:$E$358,'Range de Logins'!$D574)&gt;0,"Em uso","Livre"),"-")</f>
        <v>Livre</v>
      </c>
      <c r="G574" s="211" t="s">
        <v>1065</v>
      </c>
      <c r="H574" s="211" t="str">
        <f>IFERROR(VLOOKUP(D574,Consolidado!$E$3:$K$311,7,0),"")</f>
        <v/>
      </c>
      <c r="I574" s="257"/>
    </row>
    <row r="575" spans="4:9">
      <c r="D575" s="267">
        <v>12673</v>
      </c>
      <c r="E575" s="211" t="s">
        <v>26</v>
      </c>
      <c r="F575" s="263" t="str">
        <f>IFERROR(IF(COUNTIF(Consolidado!$E$3:$E$358,'Range de Logins'!$D575)&gt;0,"Em uso","Livre"),"-")</f>
        <v>Livre</v>
      </c>
      <c r="G575" s="211" t="s">
        <v>1265</v>
      </c>
      <c r="H575" s="211" t="str">
        <f>IFERROR(VLOOKUP(D575,Consolidado!$E$3:$K$311,7,0),"")</f>
        <v/>
      </c>
      <c r="I575" s="257"/>
    </row>
    <row r="576" spans="4:9">
      <c r="D576" s="267">
        <v>12674</v>
      </c>
      <c r="E576" s="211" t="s">
        <v>26</v>
      </c>
      <c r="F576" s="263" t="str">
        <f>IFERROR(IF(COUNTIF(Consolidado!$E$3:$E$358,'Range de Logins'!$D576)&gt;0,"Em uso","Livre"),"-")</f>
        <v>Livre</v>
      </c>
      <c r="G576" s="211" t="s">
        <v>1265</v>
      </c>
      <c r="H576" s="211" t="str">
        <f>IFERROR(VLOOKUP(D576,Consolidado!$E$3:$K$311,7,0),"")</f>
        <v/>
      </c>
      <c r="I576" s="257"/>
    </row>
    <row r="577" spans="4:9">
      <c r="D577" s="267">
        <v>12675</v>
      </c>
      <c r="E577" s="211" t="s">
        <v>26</v>
      </c>
      <c r="F577" s="263" t="str">
        <f>IFERROR(IF(COUNTIF(Consolidado!$E$3:$E$358,'Range de Logins'!$D577)&gt;0,"Em uso","Livre"),"-")</f>
        <v>Livre</v>
      </c>
      <c r="G577" s="211" t="s">
        <v>1265</v>
      </c>
      <c r="H577" s="211" t="str">
        <f>IFERROR(VLOOKUP(D577,Consolidado!$E$3:$K$311,7,0),"")</f>
        <v/>
      </c>
      <c r="I577" s="257"/>
    </row>
    <row r="578" spans="4:9">
      <c r="D578" s="267">
        <v>12676</v>
      </c>
      <c r="E578" s="211" t="s">
        <v>26</v>
      </c>
      <c r="F578" s="263" t="str">
        <f>IFERROR(IF(COUNTIF(Consolidado!$E$3:$E$358,'Range de Logins'!$D578)&gt;0,"Em uso","Livre"),"-")</f>
        <v>Livre</v>
      </c>
      <c r="G578" s="211" t="s">
        <v>1065</v>
      </c>
      <c r="H578" s="211" t="str">
        <f>IFERROR(VLOOKUP(D578,Consolidado!$E$3:$K$311,7,0),"")</f>
        <v/>
      </c>
      <c r="I578" s="257"/>
    </row>
    <row r="579" spans="4:9">
      <c r="D579" s="267">
        <v>12677</v>
      </c>
      <c r="E579" s="211" t="s">
        <v>26</v>
      </c>
      <c r="F579" s="263" t="str">
        <f>IFERROR(IF(COUNTIF(Consolidado!$E$3:$E$358,'Range de Logins'!$D579)&gt;0,"Em uso","Livre"),"-")</f>
        <v>Livre</v>
      </c>
      <c r="G579" s="211" t="s">
        <v>1265</v>
      </c>
      <c r="H579" s="211" t="str">
        <f>IFERROR(VLOOKUP(D579,Consolidado!$E$3:$K$311,7,0),"")</f>
        <v/>
      </c>
      <c r="I579" s="257"/>
    </row>
    <row r="580" spans="4:9">
      <c r="D580" s="267">
        <v>12678</v>
      </c>
      <c r="E580" s="211" t="s">
        <v>26</v>
      </c>
      <c r="F580" s="263" t="str">
        <f>IFERROR(IF(COUNTIF(Consolidado!$E$3:$E$358,'Range de Logins'!$D580)&gt;0,"Em uso","Livre"),"-")</f>
        <v>Livre</v>
      </c>
      <c r="G580" s="211" t="s">
        <v>1265</v>
      </c>
      <c r="H580" s="211" t="str">
        <f>IFERROR(VLOOKUP(D580,Consolidado!$E$3:$K$311,7,0),"")</f>
        <v/>
      </c>
      <c r="I580" s="257"/>
    </row>
    <row r="581" spans="4:9">
      <c r="D581" s="267">
        <v>12679</v>
      </c>
      <c r="E581" s="211" t="s">
        <v>26</v>
      </c>
      <c r="F581" s="263" t="str">
        <f>IFERROR(IF(COUNTIF(Consolidado!$E$3:$E$358,'Range de Logins'!$D581)&gt;0,"Em uso","Livre"),"-")</f>
        <v>Livre</v>
      </c>
      <c r="G581" s="211" t="s">
        <v>1065</v>
      </c>
      <c r="H581" s="211" t="str">
        <f>IFERROR(VLOOKUP(D581,Consolidado!$E$3:$K$311,7,0),"")</f>
        <v/>
      </c>
      <c r="I581" s="257"/>
    </row>
    <row r="582" spans="4:9">
      <c r="D582" s="267">
        <v>12683</v>
      </c>
      <c r="E582" s="211" t="s">
        <v>26</v>
      </c>
      <c r="F582" s="263" t="str">
        <f>IFERROR(IF(COUNTIF(Consolidado!$E$3:$E$358,'Range de Logins'!$D582)&gt;0,"Em uso","Livre"),"-")</f>
        <v>Livre</v>
      </c>
      <c r="G582" s="211" t="s">
        <v>1065</v>
      </c>
      <c r="H582" s="211" t="str">
        <f>IFERROR(VLOOKUP(D582,Consolidado!$E$3:$K$311,7,0),"")</f>
        <v/>
      </c>
      <c r="I582" s="257"/>
    </row>
    <row r="583" spans="4:9">
      <c r="D583" s="267">
        <v>12684</v>
      </c>
      <c r="E583" s="211" t="s">
        <v>26</v>
      </c>
      <c r="F583" s="263" t="str">
        <f>IFERROR(IF(COUNTIF(Consolidado!$E$3:$E$358,'Range de Logins'!$D583)&gt;0,"Em uso","Livre"),"-")</f>
        <v>Livre</v>
      </c>
      <c r="G583" s="211" t="s">
        <v>1265</v>
      </c>
      <c r="H583" s="211" t="str">
        <f>IFERROR(VLOOKUP(D583,Consolidado!$E$3:$K$311,7,0),"")</f>
        <v/>
      </c>
      <c r="I583" s="257"/>
    </row>
    <row r="584" spans="4:9">
      <c r="D584" s="267">
        <v>12686</v>
      </c>
      <c r="E584" s="211" t="s">
        <v>26</v>
      </c>
      <c r="F584" s="263" t="str">
        <f>IFERROR(IF(COUNTIF(Consolidado!$E$3:$E$358,'Range de Logins'!$D584)&gt;0,"Em uso","Livre"),"-")</f>
        <v>Livre</v>
      </c>
      <c r="G584" s="211" t="s">
        <v>1265</v>
      </c>
      <c r="H584" s="211" t="str">
        <f>IFERROR(VLOOKUP(D584,Consolidado!$E$3:$K$311,7,0),"")</f>
        <v/>
      </c>
      <c r="I584" s="257"/>
    </row>
    <row r="585" spans="4:9">
      <c r="D585" s="267">
        <v>12687</v>
      </c>
      <c r="E585" s="211" t="s">
        <v>26</v>
      </c>
      <c r="F585" s="263" t="str">
        <f>IFERROR(IF(COUNTIF(Consolidado!$E$3:$E$358,'Range de Logins'!$D585)&gt;0,"Em uso","Livre"),"-")</f>
        <v>Livre</v>
      </c>
      <c r="G585" s="211" t="s">
        <v>1265</v>
      </c>
      <c r="H585" s="211" t="str">
        <f>IFERROR(VLOOKUP(D585,Consolidado!$E$3:$K$311,7,0),"")</f>
        <v/>
      </c>
      <c r="I585" s="257"/>
    </row>
    <row r="586" spans="4:9">
      <c r="D586" s="267">
        <v>12688</v>
      </c>
      <c r="E586" s="211">
        <v>266499</v>
      </c>
      <c r="F586" s="263" t="str">
        <f>IFERROR(IF(COUNTIF(Consolidado!$E$3:$E$358,'Range de Logins'!$D586)&gt;0,"Em uso","Livre"),"-")</f>
        <v>Livre</v>
      </c>
      <c r="G586" s="211" t="s">
        <v>1065</v>
      </c>
      <c r="H586" s="211" t="str">
        <f>IFERROR(VLOOKUP(D586,Consolidado!$E$3:$K$311,7,0),"")</f>
        <v/>
      </c>
      <c r="I586" s="257"/>
    </row>
    <row r="587" spans="4:9">
      <c r="D587" s="267">
        <v>12689</v>
      </c>
      <c r="E587" s="211" t="s">
        <v>26</v>
      </c>
      <c r="F587" s="263" t="str">
        <f>IFERROR(IF(COUNTIF(Consolidado!$E$3:$E$358,'Range de Logins'!$D587)&gt;0,"Em uso","Livre"),"-")</f>
        <v>Livre</v>
      </c>
      <c r="G587" s="211" t="s">
        <v>1265</v>
      </c>
      <c r="H587" s="211" t="str">
        <f>IFERROR(VLOOKUP(D587,Consolidado!$E$3:$K$311,7,0),"")</f>
        <v/>
      </c>
      <c r="I587" s="257"/>
    </row>
    <row r="588" spans="4:9">
      <c r="D588" s="267">
        <v>12690</v>
      </c>
      <c r="E588" s="211" t="s">
        <v>26</v>
      </c>
      <c r="F588" s="263" t="str">
        <f>IFERROR(IF(COUNTIF(Consolidado!$E$3:$E$358,'Range de Logins'!$D588)&gt;0,"Em uso","Livre"),"-")</f>
        <v>Livre</v>
      </c>
      <c r="G588" s="211" t="s">
        <v>1265</v>
      </c>
      <c r="H588" s="211" t="str">
        <f>IFERROR(VLOOKUP(D588,Consolidado!$E$3:$K$311,7,0),"")</f>
        <v/>
      </c>
      <c r="I588" s="257"/>
    </row>
    <row r="589" spans="4:9">
      <c r="D589" s="267">
        <v>12691</v>
      </c>
      <c r="E589" s="211" t="s">
        <v>26</v>
      </c>
      <c r="F589" s="263" t="str">
        <f>IFERROR(IF(COUNTIF(Consolidado!$E$3:$E$358,'Range de Logins'!$D589)&gt;0,"Em uso","Livre"),"-")</f>
        <v>Livre</v>
      </c>
      <c r="G589" s="211" t="s">
        <v>1265</v>
      </c>
      <c r="H589" s="211" t="str">
        <f>IFERROR(VLOOKUP(D589,Consolidado!$E$3:$K$311,7,0),"")</f>
        <v/>
      </c>
      <c r="I589" s="257"/>
    </row>
    <row r="590" spans="4:9">
      <c r="D590" s="267">
        <v>12692</v>
      </c>
      <c r="E590" s="211" t="s">
        <v>26</v>
      </c>
      <c r="F590" s="263" t="str">
        <f>IFERROR(IF(COUNTIF(Consolidado!$E$3:$E$358,'Range de Logins'!$D590)&gt;0,"Em uso","Livre"),"-")</f>
        <v>Livre</v>
      </c>
      <c r="G590" s="211" t="s">
        <v>1265</v>
      </c>
      <c r="H590" s="211" t="str">
        <f>IFERROR(VLOOKUP(D590,Consolidado!$E$3:$K$311,7,0),"")</f>
        <v/>
      </c>
      <c r="I590" s="257"/>
    </row>
    <row r="591" spans="4:9">
      <c r="D591" s="267">
        <v>12693</v>
      </c>
      <c r="E591" s="211" t="s">
        <v>26</v>
      </c>
      <c r="F591" s="263" t="str">
        <f>IFERROR(IF(COUNTIF(Consolidado!$E$3:$E$358,'Range de Logins'!$D591)&gt;0,"Em uso","Livre"),"-")</f>
        <v>Livre</v>
      </c>
      <c r="G591" s="211" t="s">
        <v>1265</v>
      </c>
      <c r="H591" s="211" t="str">
        <f>IFERROR(VLOOKUP(D591,Consolidado!$E$3:$K$311,7,0),"")</f>
        <v/>
      </c>
      <c r="I591" s="257"/>
    </row>
    <row r="592" spans="4:9">
      <c r="D592" s="267">
        <v>12695</v>
      </c>
      <c r="E592" s="211" t="s">
        <v>26</v>
      </c>
      <c r="F592" s="263" t="str">
        <f>IFERROR(IF(COUNTIF(Consolidado!$E$3:$E$358,'Range de Logins'!$D592)&gt;0,"Em uso","Livre"),"-")</f>
        <v>Livre</v>
      </c>
      <c r="G592" s="211" t="s">
        <v>1265</v>
      </c>
      <c r="H592" s="211" t="str">
        <f>IFERROR(VLOOKUP(D592,Consolidado!$E$3:$K$311,7,0),"")</f>
        <v/>
      </c>
      <c r="I592" s="257"/>
    </row>
    <row r="593" spans="4:9">
      <c r="D593" s="267">
        <v>12696</v>
      </c>
      <c r="E593" s="211" t="s">
        <v>26</v>
      </c>
      <c r="F593" s="263" t="str">
        <f>IFERROR(IF(COUNTIF(Consolidado!$E$3:$E$358,'Range de Logins'!$D593)&gt;0,"Em uso","Livre"),"-")</f>
        <v>Livre</v>
      </c>
      <c r="G593" s="211" t="s">
        <v>1265</v>
      </c>
      <c r="H593" s="211" t="str">
        <f>IFERROR(VLOOKUP(D593,Consolidado!$E$3:$K$311,7,0),"")</f>
        <v/>
      </c>
      <c r="I593" s="257"/>
    </row>
    <row r="594" spans="4:9">
      <c r="D594" s="267">
        <v>12698</v>
      </c>
      <c r="E594" s="211" t="s">
        <v>26</v>
      </c>
      <c r="F594" s="263" t="str">
        <f>IFERROR(IF(COUNTIF(Consolidado!$E$3:$E$358,'Range de Logins'!$D594)&gt;0,"Em uso","Livre"),"-")</f>
        <v>Livre</v>
      </c>
      <c r="G594" s="211" t="s">
        <v>1265</v>
      </c>
      <c r="H594" s="211" t="str">
        <f>IFERROR(VLOOKUP(D594,Consolidado!$E$3:$K$311,7,0),"")</f>
        <v/>
      </c>
      <c r="I594" s="257"/>
    </row>
    <row r="595" spans="4:9">
      <c r="D595" s="267">
        <v>12699</v>
      </c>
      <c r="E595" s="211" t="s">
        <v>26</v>
      </c>
      <c r="F595" s="263" t="str">
        <f>IFERROR(IF(COUNTIF(Consolidado!$E$3:$E$358,'Range de Logins'!$D595)&gt;0,"Em uso","Livre"),"-")</f>
        <v>Livre</v>
      </c>
      <c r="G595" s="211" t="s">
        <v>1265</v>
      </c>
      <c r="H595" s="211" t="str">
        <f>IFERROR(VLOOKUP(D595,Consolidado!$E$3:$K$311,7,0),"")</f>
        <v/>
      </c>
      <c r="I595" s="257"/>
    </row>
    <row r="596" spans="4:9">
      <c r="D596" s="267">
        <v>12700</v>
      </c>
      <c r="E596" s="211" t="s">
        <v>26</v>
      </c>
      <c r="F596" s="263" t="str">
        <f>IFERROR(IF(COUNTIF(Consolidado!$E$3:$E$358,'Range de Logins'!$D596)&gt;0,"Em uso","Livre"),"-")</f>
        <v>Livre</v>
      </c>
      <c r="G596" s="211" t="s">
        <v>1065</v>
      </c>
      <c r="H596" s="211" t="str">
        <f>IFERROR(VLOOKUP(D596,Consolidado!$E$3:$K$311,7,0),"")</f>
        <v/>
      </c>
      <c r="I596" s="257"/>
    </row>
    <row r="597" spans="4:9">
      <c r="D597" s="267">
        <v>12704</v>
      </c>
      <c r="E597" s="211" t="s">
        <v>26</v>
      </c>
      <c r="F597" s="263" t="str">
        <f>IFERROR(IF(COUNTIF(Consolidado!$E$3:$E$358,'Range de Logins'!$D597)&gt;0,"Em uso","Livre"),"-")</f>
        <v>Livre</v>
      </c>
      <c r="G597" s="211" t="s">
        <v>1265</v>
      </c>
      <c r="H597" s="211" t="str">
        <f>IFERROR(VLOOKUP(D597,Consolidado!$E$3:$K$311,7,0),"")</f>
        <v/>
      </c>
      <c r="I597" s="257"/>
    </row>
    <row r="598" spans="4:9">
      <c r="D598" s="267">
        <v>12705</v>
      </c>
      <c r="E598" s="211" t="s">
        <v>26</v>
      </c>
      <c r="F598" s="263" t="str">
        <f>IFERROR(IF(COUNTIF(Consolidado!$E$3:$E$358,'Range de Logins'!$D598)&gt;0,"Em uso","Livre"),"-")</f>
        <v>Livre</v>
      </c>
      <c r="G598" s="211" t="s">
        <v>1265</v>
      </c>
      <c r="H598" s="211" t="str">
        <f>IFERROR(VLOOKUP(D598,Consolidado!$E$3:$K$311,7,0),"")</f>
        <v/>
      </c>
      <c r="I598" s="257"/>
    </row>
    <row r="599" spans="4:9">
      <c r="D599" s="267">
        <v>12706</v>
      </c>
      <c r="E599" s="211" t="s">
        <v>26</v>
      </c>
      <c r="F599" s="263" t="str">
        <f>IFERROR(IF(COUNTIF(Consolidado!$E$3:$E$358,'Range de Logins'!$D599)&gt;0,"Em uso","Livre"),"-")</f>
        <v>Livre</v>
      </c>
      <c r="G599" s="211" t="s">
        <v>1265</v>
      </c>
      <c r="H599" s="211" t="str">
        <f>IFERROR(VLOOKUP(D599,Consolidado!$E$3:$K$311,7,0),"")</f>
        <v/>
      </c>
      <c r="I599" s="257"/>
    </row>
    <row r="600" spans="4:9">
      <c r="D600" s="267">
        <v>12707</v>
      </c>
      <c r="E600" s="211">
        <v>778931</v>
      </c>
      <c r="F600" s="263" t="str">
        <f>IFERROR(IF(COUNTIF(Consolidado!$E$3:$E$358,'Range de Logins'!$D600)&gt;0,"Em uso","Livre"),"-")</f>
        <v>Livre</v>
      </c>
      <c r="G600" s="211" t="s">
        <v>1065</v>
      </c>
      <c r="H600" s="211" t="str">
        <f>IFERROR(VLOOKUP(D600,Consolidado!$E$3:$K$311,7,0),"")</f>
        <v/>
      </c>
      <c r="I600" s="257"/>
    </row>
    <row r="601" spans="4:9">
      <c r="D601" s="267">
        <v>12708</v>
      </c>
      <c r="E601" s="211" t="s">
        <v>26</v>
      </c>
      <c r="F601" s="263" t="str">
        <f>IFERROR(IF(COUNTIF(Consolidado!$E$3:$E$358,'Range de Logins'!$D601)&gt;0,"Em uso","Livre"),"-")</f>
        <v>Livre</v>
      </c>
      <c r="G601" s="211" t="s">
        <v>1265</v>
      </c>
      <c r="H601" s="211" t="str">
        <f>IFERROR(VLOOKUP(D601,Consolidado!$E$3:$K$311,7,0),"")</f>
        <v/>
      </c>
      <c r="I601" s="257"/>
    </row>
    <row r="602" spans="4:9">
      <c r="D602" s="267">
        <v>12709</v>
      </c>
      <c r="E602" s="211" t="s">
        <v>26</v>
      </c>
      <c r="F602" s="263" t="str">
        <f>IFERROR(IF(COUNTIF(Consolidado!$E$3:$E$358,'Range de Logins'!$D602)&gt;0,"Em uso","Livre"),"-")</f>
        <v>Livre</v>
      </c>
      <c r="G602" s="211" t="s">
        <v>1265</v>
      </c>
      <c r="H602" s="211" t="str">
        <f>IFERROR(VLOOKUP(D602,Consolidado!$E$3:$K$311,7,0),"")</f>
        <v/>
      </c>
      <c r="I602" s="257"/>
    </row>
    <row r="603" spans="4:9">
      <c r="D603" s="267">
        <v>12710</v>
      </c>
      <c r="E603" s="211" t="s">
        <v>26</v>
      </c>
      <c r="F603" s="263" t="str">
        <f>IFERROR(IF(COUNTIF(Consolidado!$E$3:$E$358,'Range de Logins'!$D603)&gt;0,"Em uso","Livre"),"-")</f>
        <v>Livre</v>
      </c>
      <c r="G603" s="211" t="s">
        <v>1265</v>
      </c>
      <c r="H603" s="211" t="str">
        <f>IFERROR(VLOOKUP(D603,Consolidado!$E$3:$K$311,7,0),"")</f>
        <v/>
      </c>
      <c r="I603" s="257"/>
    </row>
    <row r="604" spans="4:9">
      <c r="D604" s="267">
        <v>12712</v>
      </c>
      <c r="E604" s="211" t="s">
        <v>26</v>
      </c>
      <c r="F604" s="263" t="str">
        <f>IFERROR(IF(COUNTIF(Consolidado!$E$3:$E$358,'Range de Logins'!$D604)&gt;0,"Em uso","Livre"),"-")</f>
        <v>Livre</v>
      </c>
      <c r="G604" s="211" t="s">
        <v>1265</v>
      </c>
      <c r="H604" s="211" t="str">
        <f>IFERROR(VLOOKUP(D604,Consolidado!$E$3:$K$311,7,0),"")</f>
        <v/>
      </c>
      <c r="I604" s="257"/>
    </row>
    <row r="605" spans="4:9">
      <c r="D605" s="267">
        <v>12713</v>
      </c>
      <c r="E605" s="211" t="s">
        <v>26</v>
      </c>
      <c r="F605" s="263" t="str">
        <f>IFERROR(IF(COUNTIF(Consolidado!$E$3:$E$358,'Range de Logins'!$D605)&gt;0,"Em uso","Livre"),"-")</f>
        <v>Livre</v>
      </c>
      <c r="G605" s="211" t="s">
        <v>1265</v>
      </c>
      <c r="H605" s="211" t="str">
        <f>IFERROR(VLOOKUP(D605,Consolidado!$E$3:$K$311,7,0),"")</f>
        <v/>
      </c>
      <c r="I605" s="257"/>
    </row>
    <row r="606" spans="4:9">
      <c r="D606" s="267">
        <v>12714</v>
      </c>
      <c r="E606" s="211" t="s">
        <v>26</v>
      </c>
      <c r="F606" s="263" t="str">
        <f>IFERROR(IF(COUNTIF(Consolidado!$E$3:$E$358,'Range de Logins'!$D606)&gt;0,"Em uso","Livre"),"-")</f>
        <v>Livre</v>
      </c>
      <c r="G606" s="211" t="s">
        <v>1265</v>
      </c>
      <c r="H606" s="211" t="str">
        <f>IFERROR(VLOOKUP(D606,Consolidado!$E$3:$K$311,7,0),"")</f>
        <v/>
      </c>
      <c r="I606" s="257"/>
    </row>
    <row r="607" spans="4:9">
      <c r="D607" s="267">
        <v>12716</v>
      </c>
      <c r="E607" s="211" t="s">
        <v>26</v>
      </c>
      <c r="F607" s="263" t="str">
        <f>IFERROR(IF(COUNTIF(Consolidado!$E$3:$E$358,'Range de Logins'!$D607)&gt;0,"Em uso","Livre"),"-")</f>
        <v>Livre</v>
      </c>
      <c r="G607" s="211" t="s">
        <v>1265</v>
      </c>
      <c r="H607" s="211" t="str">
        <f>IFERROR(VLOOKUP(D607,Consolidado!$E$3:$K$311,7,0),"")</f>
        <v/>
      </c>
      <c r="I607" s="257"/>
    </row>
    <row r="608" spans="4:9">
      <c r="D608" s="267">
        <v>12717</v>
      </c>
      <c r="E608" s="211" t="s">
        <v>26</v>
      </c>
      <c r="F608" s="263" t="str">
        <f>IFERROR(IF(COUNTIF(Consolidado!$E$3:$E$358,'Range de Logins'!$D608)&gt;0,"Em uso","Livre"),"-")</f>
        <v>Livre</v>
      </c>
      <c r="G608" s="211" t="s">
        <v>1265</v>
      </c>
      <c r="H608" s="211" t="str">
        <f>IFERROR(VLOOKUP(D608,Consolidado!$E$3:$K$311,7,0),"")</f>
        <v/>
      </c>
      <c r="I608" s="257"/>
    </row>
    <row r="609" spans="4:9">
      <c r="D609" s="267">
        <v>12719</v>
      </c>
      <c r="E609" s="211" t="s">
        <v>26</v>
      </c>
      <c r="F609" s="263" t="str">
        <f>IFERROR(IF(COUNTIF(Consolidado!$E$3:$E$358,'Range de Logins'!$D609)&gt;0,"Em uso","Livre"),"-")</f>
        <v>Livre</v>
      </c>
      <c r="G609" s="211" t="s">
        <v>1265</v>
      </c>
      <c r="H609" s="211" t="str">
        <f>IFERROR(VLOOKUP(D609,Consolidado!$E$3:$K$311,7,0),"")</f>
        <v/>
      </c>
      <c r="I609" s="257"/>
    </row>
    <row r="610" spans="4:9">
      <c r="D610" s="267">
        <v>12720</v>
      </c>
      <c r="E610" s="211" t="s">
        <v>26</v>
      </c>
      <c r="F610" s="263" t="str">
        <f>IFERROR(IF(COUNTIF(Consolidado!$E$3:$E$358,'Range de Logins'!$D610)&gt;0,"Em uso","Livre"),"-")</f>
        <v>Livre</v>
      </c>
      <c r="G610" s="211" t="s">
        <v>1265</v>
      </c>
      <c r="H610" s="211" t="str">
        <f>IFERROR(VLOOKUP(D610,Consolidado!$E$3:$K$311,7,0),"")</f>
        <v/>
      </c>
      <c r="I610" s="257"/>
    </row>
    <row r="611" spans="4:9">
      <c r="D611" s="267">
        <v>12721</v>
      </c>
      <c r="E611" s="211" t="s">
        <v>26</v>
      </c>
      <c r="F611" s="263" t="str">
        <f>IFERROR(IF(COUNTIF(Consolidado!$E$3:$E$358,'Range de Logins'!$D611)&gt;0,"Em uso","Livre"),"-")</f>
        <v>Livre</v>
      </c>
      <c r="G611" s="211" t="s">
        <v>1265</v>
      </c>
      <c r="H611" s="211" t="str">
        <f>IFERROR(VLOOKUP(D611,Consolidado!$E$3:$K$311,7,0),"")</f>
        <v/>
      </c>
      <c r="I611" s="257"/>
    </row>
    <row r="612" spans="4:9">
      <c r="D612" s="267">
        <v>12722</v>
      </c>
      <c r="E612" s="211" t="s">
        <v>26</v>
      </c>
      <c r="F612" s="263" t="str">
        <f>IFERROR(IF(COUNTIF(Consolidado!$E$3:$E$358,'Range de Logins'!$D612)&gt;0,"Em uso","Livre"),"-")</f>
        <v>Livre</v>
      </c>
      <c r="G612" s="211" t="s">
        <v>1265</v>
      </c>
      <c r="H612" s="211" t="str">
        <f>IFERROR(VLOOKUP(D612,Consolidado!$E$3:$K$311,7,0),"")</f>
        <v/>
      </c>
      <c r="I612" s="257"/>
    </row>
    <row r="613" spans="4:9">
      <c r="D613" s="267">
        <v>12723</v>
      </c>
      <c r="E613" s="211" t="s">
        <v>26</v>
      </c>
      <c r="F613" s="263" t="str">
        <f>IFERROR(IF(COUNTIF(Consolidado!$E$3:$E$358,'Range de Logins'!$D613)&gt;0,"Em uso","Livre"),"-")</f>
        <v>Livre</v>
      </c>
      <c r="G613" s="211" t="s">
        <v>1265</v>
      </c>
      <c r="H613" s="211" t="str">
        <f>IFERROR(VLOOKUP(D613,Consolidado!$E$3:$K$311,7,0),"")</f>
        <v/>
      </c>
      <c r="I613" s="257"/>
    </row>
    <row r="614" spans="4:9">
      <c r="D614" s="267">
        <v>12447</v>
      </c>
      <c r="E614" s="211">
        <v>468009</v>
      </c>
      <c r="F614" s="263" t="str">
        <f>IFERROR(IF(COUNTIF(Consolidado!$E$3:$E$358,'Range de Logins'!$D614)&gt;0,"Em uso","Livre"),"-")</f>
        <v>Livre</v>
      </c>
      <c r="G614" s="211" t="s">
        <v>1065</v>
      </c>
      <c r="H614" s="211" t="str">
        <f>IFERROR(VLOOKUP(D614,Consolidado!$E$3:$K$311,7,0),"")</f>
        <v/>
      </c>
      <c r="I614" s="257"/>
    </row>
    <row r="615" spans="4:9">
      <c r="D615" s="267">
        <v>12457</v>
      </c>
      <c r="E615" s="211">
        <v>858692</v>
      </c>
      <c r="F615" s="263" t="str">
        <f>IFERROR(IF(COUNTIF(Consolidado!$E$3:$E$358,'Range de Logins'!$D615)&gt;0,"Em uso","Livre"),"-")</f>
        <v>Livre</v>
      </c>
      <c r="G615" s="211" t="s">
        <v>1065</v>
      </c>
      <c r="H615" s="211" t="str">
        <f>IFERROR(VLOOKUP(D615,Consolidado!$E$3:$K$311,7,0),"")</f>
        <v/>
      </c>
      <c r="I615" s="257"/>
    </row>
    <row r="616" spans="4:9">
      <c r="D616" s="267">
        <v>12724</v>
      </c>
      <c r="E616" s="211" t="s">
        <v>26</v>
      </c>
      <c r="F616" s="263" t="str">
        <f>IFERROR(IF(COUNTIF(Consolidado!$E$3:$E$358,'Range de Logins'!$D616)&gt;0,"Em uso","Livre"),"-")</f>
        <v>Livre</v>
      </c>
      <c r="G616" s="211" t="s">
        <v>1265</v>
      </c>
      <c r="H616" s="211" t="str">
        <f>IFERROR(VLOOKUP(D616,Consolidado!$E$3:$K$311,7,0),"")</f>
        <v/>
      </c>
      <c r="I616" s="257"/>
    </row>
    <row r="617" spans="4:9">
      <c r="D617" s="267">
        <v>12459</v>
      </c>
      <c r="E617" s="211">
        <v>790317</v>
      </c>
      <c r="F617" s="263" t="str">
        <f>IFERROR(IF(COUNTIF(Consolidado!$E$3:$E$358,'Range de Logins'!$D617)&gt;0,"Em uso","Livre"),"-")</f>
        <v>Livre</v>
      </c>
      <c r="G617" s="211" t="s">
        <v>1065</v>
      </c>
      <c r="H617" s="211" t="str">
        <f>IFERROR(VLOOKUP(D617,Consolidado!$E$3:$K$311,7,0),"")</f>
        <v/>
      </c>
      <c r="I617" s="257"/>
    </row>
    <row r="618" spans="4:9">
      <c r="D618" s="267">
        <v>12725</v>
      </c>
      <c r="E618" s="211" t="s">
        <v>26</v>
      </c>
      <c r="F618" s="263" t="str">
        <f>IFERROR(IF(COUNTIF(Consolidado!$E$3:$E$358,'Range de Logins'!$D618)&gt;0,"Em uso","Livre"),"-")</f>
        <v>Livre</v>
      </c>
      <c r="G618" s="211" t="s">
        <v>1265</v>
      </c>
      <c r="H618" s="211" t="str">
        <f>IFERROR(VLOOKUP(D618,Consolidado!$E$3:$K$311,7,0),"")</f>
        <v/>
      </c>
      <c r="I618" s="257"/>
    </row>
    <row r="619" spans="4:9">
      <c r="D619" s="267">
        <v>12726</v>
      </c>
      <c r="E619" s="211" t="s">
        <v>26</v>
      </c>
      <c r="F619" s="263" t="str">
        <f>IFERROR(IF(COUNTIF(Consolidado!$E$3:$E$358,'Range de Logins'!$D619)&gt;0,"Em uso","Livre"),"-")</f>
        <v>Livre</v>
      </c>
      <c r="G619" s="211" t="s">
        <v>1265</v>
      </c>
      <c r="H619" s="211" t="str">
        <f>IFERROR(VLOOKUP(D619,Consolidado!$E$3:$K$311,7,0),"")</f>
        <v/>
      </c>
      <c r="I619" s="257"/>
    </row>
    <row r="620" spans="4:9">
      <c r="D620" s="267">
        <v>12727</v>
      </c>
      <c r="E620" s="211" t="s">
        <v>26</v>
      </c>
      <c r="F620" s="263" t="str">
        <f>IFERROR(IF(COUNTIF(Consolidado!$E$3:$E$358,'Range de Logins'!$D620)&gt;0,"Em uso","Livre"),"-")</f>
        <v>Livre</v>
      </c>
      <c r="G620" s="211" t="s">
        <v>1265</v>
      </c>
      <c r="H620" s="211" t="str">
        <f>IFERROR(VLOOKUP(D620,Consolidado!$E$3:$K$311,7,0),"")</f>
        <v/>
      </c>
      <c r="I620" s="257"/>
    </row>
    <row r="621" spans="4:9">
      <c r="D621" s="267">
        <v>12728</v>
      </c>
      <c r="E621" s="211" t="s">
        <v>26</v>
      </c>
      <c r="F621" s="263" t="str">
        <f>IFERROR(IF(COUNTIF(Consolidado!$E$3:$E$358,'Range de Logins'!$D621)&gt;0,"Em uso","Livre"),"-")</f>
        <v>Livre</v>
      </c>
      <c r="G621" s="211" t="s">
        <v>1265</v>
      </c>
      <c r="H621" s="211" t="str">
        <f>IFERROR(VLOOKUP(D621,Consolidado!$E$3:$K$311,7,0),"")</f>
        <v/>
      </c>
      <c r="I621" s="257"/>
    </row>
    <row r="622" spans="4:9">
      <c r="D622" s="267">
        <v>12729</v>
      </c>
      <c r="E622" s="211" t="s">
        <v>26</v>
      </c>
      <c r="F622" s="263" t="str">
        <f>IFERROR(IF(COUNTIF(Consolidado!$E$3:$E$358,'Range de Logins'!$D622)&gt;0,"Em uso","Livre"),"-")</f>
        <v>Livre</v>
      </c>
      <c r="G622" s="211" t="s">
        <v>1265</v>
      </c>
      <c r="H622" s="211" t="str">
        <f>IFERROR(VLOOKUP(D622,Consolidado!$E$3:$K$311,7,0),"")</f>
        <v/>
      </c>
      <c r="I622" s="257"/>
    </row>
    <row r="623" spans="4:9">
      <c r="D623" s="267">
        <v>12731</v>
      </c>
      <c r="E623" s="211" t="s">
        <v>26</v>
      </c>
      <c r="F623" s="263" t="str">
        <f>IFERROR(IF(COUNTIF(Consolidado!$E$3:$E$358,'Range de Logins'!$D623)&gt;0,"Em uso","Livre"),"-")</f>
        <v>Livre</v>
      </c>
      <c r="G623" s="211" t="s">
        <v>1265</v>
      </c>
      <c r="H623" s="211" t="str">
        <f>IFERROR(VLOOKUP(D623,Consolidado!$E$3:$K$311,7,0),"")</f>
        <v/>
      </c>
      <c r="I623" s="257"/>
    </row>
    <row r="624" spans="4:9">
      <c r="D624" s="267">
        <v>12732</v>
      </c>
      <c r="E624" s="211" t="s">
        <v>26</v>
      </c>
      <c r="F624" s="263" t="str">
        <f>IFERROR(IF(COUNTIF(Consolidado!$E$3:$E$358,'Range de Logins'!$D624)&gt;0,"Em uso","Livre"),"-")</f>
        <v>Livre</v>
      </c>
      <c r="G624" s="211" t="s">
        <v>1265</v>
      </c>
      <c r="H624" s="211" t="str">
        <f>IFERROR(VLOOKUP(D624,Consolidado!$E$3:$K$311,7,0),"")</f>
        <v/>
      </c>
      <c r="I624" s="257"/>
    </row>
    <row r="625" spans="4:9">
      <c r="D625" s="267">
        <v>12733</v>
      </c>
      <c r="E625" s="211" t="s">
        <v>26</v>
      </c>
      <c r="F625" s="263" t="str">
        <f>IFERROR(IF(COUNTIF(Consolidado!$E$3:$E$358,'Range de Logins'!$D625)&gt;0,"Em uso","Livre"),"-")</f>
        <v>Livre</v>
      </c>
      <c r="G625" s="211" t="s">
        <v>1265</v>
      </c>
      <c r="H625" s="211" t="str">
        <f>IFERROR(VLOOKUP(D625,Consolidado!$E$3:$K$311,7,0),"")</f>
        <v/>
      </c>
      <c r="I625" s="257"/>
    </row>
    <row r="626" spans="4:9">
      <c r="D626" s="267">
        <v>12734</v>
      </c>
      <c r="E626" s="211" t="s">
        <v>26</v>
      </c>
      <c r="F626" s="263" t="str">
        <f>IFERROR(IF(COUNTIF(Consolidado!$E$3:$E$358,'Range de Logins'!$D626)&gt;0,"Em uso","Livre"),"-")</f>
        <v>Livre</v>
      </c>
      <c r="G626" s="211" t="s">
        <v>1265</v>
      </c>
      <c r="H626" s="211" t="str">
        <f>IFERROR(VLOOKUP(D626,Consolidado!$E$3:$K$311,7,0),"")</f>
        <v/>
      </c>
      <c r="I626" s="257"/>
    </row>
    <row r="627" spans="4:9">
      <c r="D627" s="267">
        <v>12735</v>
      </c>
      <c r="E627" s="211" t="s">
        <v>26</v>
      </c>
      <c r="F627" s="263" t="str">
        <f>IFERROR(IF(COUNTIF(Consolidado!$E$3:$E$358,'Range de Logins'!$D627)&gt;0,"Em uso","Livre"),"-")</f>
        <v>Livre</v>
      </c>
      <c r="G627" s="211" t="s">
        <v>1265</v>
      </c>
      <c r="H627" s="211" t="str">
        <f>IFERROR(VLOOKUP(D627,Consolidado!$E$3:$K$311,7,0),"")</f>
        <v/>
      </c>
      <c r="I627" s="257"/>
    </row>
    <row r="628" spans="4:9">
      <c r="D628" s="267">
        <v>12736</v>
      </c>
      <c r="E628" s="211" t="s">
        <v>26</v>
      </c>
      <c r="F628" s="263" t="str">
        <f>IFERROR(IF(COUNTIF(Consolidado!$E$3:$E$358,'Range de Logins'!$D628)&gt;0,"Em uso","Livre"),"-")</f>
        <v>Livre</v>
      </c>
      <c r="G628" s="211" t="s">
        <v>1265</v>
      </c>
      <c r="H628" s="211" t="str">
        <f>IFERROR(VLOOKUP(D628,Consolidado!$E$3:$K$311,7,0),"")</f>
        <v/>
      </c>
      <c r="I628" s="257"/>
    </row>
    <row r="629" spans="4:9">
      <c r="D629" s="267">
        <v>12738</v>
      </c>
      <c r="E629" s="211" t="s">
        <v>26</v>
      </c>
      <c r="F629" s="263" t="str">
        <f>IFERROR(IF(COUNTIF(Consolidado!$E$3:$E$358,'Range de Logins'!$D629)&gt;0,"Em uso","Livre"),"-")</f>
        <v>Livre</v>
      </c>
      <c r="G629" s="211" t="s">
        <v>1265</v>
      </c>
      <c r="H629" s="211" t="str">
        <f>IFERROR(VLOOKUP(D629,Consolidado!$E$3:$K$311,7,0),"")</f>
        <v/>
      </c>
      <c r="I629" s="257"/>
    </row>
    <row r="630" spans="4:9">
      <c r="D630" s="267">
        <v>12739</v>
      </c>
      <c r="E630" s="211" t="s">
        <v>26</v>
      </c>
      <c r="F630" s="263" t="str">
        <f>IFERROR(IF(COUNTIF(Consolidado!$E$3:$E$358,'Range de Logins'!$D630)&gt;0,"Em uso","Livre"),"-")</f>
        <v>Livre</v>
      </c>
      <c r="G630" s="211" t="s">
        <v>1265</v>
      </c>
      <c r="H630" s="211" t="str">
        <f>IFERROR(VLOOKUP(D630,Consolidado!$E$3:$K$311,7,0),"")</f>
        <v/>
      </c>
      <c r="I630" s="257"/>
    </row>
    <row r="631" spans="4:9">
      <c r="D631" s="267">
        <v>12741</v>
      </c>
      <c r="E631" s="211" t="s">
        <v>26</v>
      </c>
      <c r="F631" s="263" t="str">
        <f>IFERROR(IF(COUNTIF(Consolidado!$E$3:$E$358,'Range de Logins'!$D631)&gt;0,"Em uso","Livre"),"-")</f>
        <v>Livre</v>
      </c>
      <c r="G631" s="211" t="s">
        <v>1265</v>
      </c>
      <c r="H631" s="211" t="str">
        <f>IFERROR(VLOOKUP(D631,Consolidado!$E$3:$K$311,7,0),"")</f>
        <v/>
      </c>
      <c r="I631" s="257"/>
    </row>
    <row r="632" spans="4:9">
      <c r="D632" s="267">
        <v>12742</v>
      </c>
      <c r="E632" s="211" t="s">
        <v>26</v>
      </c>
      <c r="F632" s="263" t="str">
        <f>IFERROR(IF(COUNTIF(Consolidado!$E$3:$E$358,'Range de Logins'!$D632)&gt;0,"Em uso","Livre"),"-")</f>
        <v>Livre</v>
      </c>
      <c r="G632" s="211" t="s">
        <v>1265</v>
      </c>
      <c r="H632" s="211" t="str">
        <f>IFERROR(VLOOKUP(D632,Consolidado!$E$3:$K$311,7,0),"")</f>
        <v/>
      </c>
      <c r="I632" s="257"/>
    </row>
    <row r="633" spans="4:9">
      <c r="D633" s="267">
        <v>12743</v>
      </c>
      <c r="E633" s="211" t="s">
        <v>26</v>
      </c>
      <c r="F633" s="263" t="str">
        <f>IFERROR(IF(COUNTIF(Consolidado!$E$3:$E$358,'Range de Logins'!$D633)&gt;0,"Em uso","Livre"),"-")</f>
        <v>Livre</v>
      </c>
      <c r="G633" s="211" t="s">
        <v>1265</v>
      </c>
      <c r="H633" s="211" t="str">
        <f>IFERROR(VLOOKUP(D633,Consolidado!$E$3:$K$311,7,0),"")</f>
        <v/>
      </c>
      <c r="I633" s="257"/>
    </row>
    <row r="634" spans="4:9">
      <c r="D634" s="267">
        <v>12744</v>
      </c>
      <c r="E634" s="211" t="s">
        <v>26</v>
      </c>
      <c r="F634" s="263" t="str">
        <f>IFERROR(IF(COUNTIF(Consolidado!$E$3:$E$358,'Range de Logins'!$D634)&gt;0,"Em uso","Livre"),"-")</f>
        <v>Livre</v>
      </c>
      <c r="G634" s="211" t="s">
        <v>1265</v>
      </c>
      <c r="H634" s="211" t="str">
        <f>IFERROR(VLOOKUP(D634,Consolidado!$E$3:$K$311,7,0),"")</f>
        <v/>
      </c>
      <c r="I634" s="257"/>
    </row>
    <row r="635" spans="4:9">
      <c r="D635" s="267">
        <v>12745</v>
      </c>
      <c r="E635" s="211" t="s">
        <v>26</v>
      </c>
      <c r="F635" s="263" t="str">
        <f>IFERROR(IF(COUNTIF(Consolidado!$E$3:$E$358,'Range de Logins'!$D635)&gt;0,"Em uso","Livre"),"-")</f>
        <v>Livre</v>
      </c>
      <c r="G635" s="211" t="s">
        <v>1265</v>
      </c>
      <c r="H635" s="211" t="str">
        <f>IFERROR(VLOOKUP(D635,Consolidado!$E$3:$K$311,7,0),"")</f>
        <v/>
      </c>
      <c r="I635" s="257"/>
    </row>
    <row r="636" spans="4:9">
      <c r="D636" s="267">
        <v>12748</v>
      </c>
      <c r="E636" s="211" t="s">
        <v>26</v>
      </c>
      <c r="F636" s="263" t="str">
        <f>IFERROR(IF(COUNTIF(Consolidado!$E$3:$E$358,'Range de Logins'!$D636)&gt;0,"Em uso","Livre"),"-")</f>
        <v>Livre</v>
      </c>
      <c r="G636" s="211" t="s">
        <v>1265</v>
      </c>
      <c r="H636" s="211" t="str">
        <f>IFERROR(VLOOKUP(D636,Consolidado!$E$3:$K$311,7,0),"")</f>
        <v/>
      </c>
      <c r="I636" s="257"/>
    </row>
    <row r="637" spans="4:9">
      <c r="D637" s="267">
        <v>12749</v>
      </c>
      <c r="E637" s="211" t="s">
        <v>26</v>
      </c>
      <c r="F637" s="263" t="str">
        <f>IFERROR(IF(COUNTIF(Consolidado!$E$3:$E$358,'Range de Logins'!$D637)&gt;0,"Em uso","Livre"),"-")</f>
        <v>Livre</v>
      </c>
      <c r="G637" s="211" t="s">
        <v>1265</v>
      </c>
      <c r="H637" s="211" t="str">
        <f>IFERROR(VLOOKUP(D637,Consolidado!$E$3:$K$311,7,0),"")</f>
        <v/>
      </c>
      <c r="I637" s="257"/>
    </row>
    <row r="638" spans="4:9">
      <c r="D638" s="267">
        <v>12750</v>
      </c>
      <c r="E638" s="211" t="s">
        <v>26</v>
      </c>
      <c r="F638" s="263" t="str">
        <f>IFERROR(IF(COUNTIF(Consolidado!$E$3:$E$358,'Range de Logins'!$D638)&gt;0,"Em uso","Livre"),"-")</f>
        <v>Livre</v>
      </c>
      <c r="G638" s="211" t="s">
        <v>1265</v>
      </c>
      <c r="H638" s="211" t="str">
        <f>IFERROR(VLOOKUP(D638,Consolidado!$E$3:$K$311,7,0),"")</f>
        <v/>
      </c>
      <c r="I638" s="257"/>
    </row>
    <row r="639" spans="4:9">
      <c r="D639" s="267">
        <v>12751</v>
      </c>
      <c r="E639" s="211" t="s">
        <v>26</v>
      </c>
      <c r="F639" s="263" t="str">
        <f>IFERROR(IF(COUNTIF(Consolidado!$E$3:$E$358,'Range de Logins'!$D639)&gt;0,"Em uso","Livre"),"-")</f>
        <v>Livre</v>
      </c>
      <c r="G639" s="211" t="s">
        <v>1265</v>
      </c>
      <c r="H639" s="211" t="str">
        <f>IFERROR(VLOOKUP(D639,Consolidado!$E$3:$K$311,7,0),"")</f>
        <v/>
      </c>
      <c r="I639" s="257"/>
    </row>
    <row r="640" spans="4:9">
      <c r="D640" s="267">
        <v>12752</v>
      </c>
      <c r="E640" s="211">
        <v>578219</v>
      </c>
      <c r="F640" s="263" t="str">
        <f>IFERROR(IF(COUNTIF(Consolidado!$E$3:$E$358,'Range de Logins'!$D640)&gt;0,"Em uso","Livre"),"-")</f>
        <v>Livre</v>
      </c>
      <c r="G640" s="211" t="s">
        <v>1265</v>
      </c>
      <c r="H640" s="211" t="str">
        <f>IFERROR(VLOOKUP(D640,Consolidado!$E$3:$K$311,7,0),"")</f>
        <v/>
      </c>
      <c r="I640" s="257"/>
    </row>
    <row r="641" spans="4:11">
      <c r="D641" s="267">
        <v>12755</v>
      </c>
      <c r="E641" s="211" t="s">
        <v>26</v>
      </c>
      <c r="F641" s="263" t="str">
        <f>IFERROR(IF(COUNTIF(Consolidado!$E$3:$E$358,'Range de Logins'!$D641)&gt;0,"Em uso","Livre"),"-")</f>
        <v>Livre</v>
      </c>
      <c r="G641" s="211" t="s">
        <v>1265</v>
      </c>
      <c r="H641" s="211" t="str">
        <f>IFERROR(VLOOKUP(D641,Consolidado!$E$3:$K$311,7,0),"")</f>
        <v/>
      </c>
      <c r="I641" s="257"/>
    </row>
    <row r="642" spans="4:11">
      <c r="D642" s="267">
        <v>12756</v>
      </c>
      <c r="E642" s="211" t="s">
        <v>26</v>
      </c>
      <c r="F642" s="263" t="str">
        <f>IFERROR(IF(COUNTIF(Consolidado!$E$3:$E$358,'Range de Logins'!$D642)&gt;0,"Em uso","Livre"),"-")</f>
        <v>Livre</v>
      </c>
      <c r="G642" s="211" t="s">
        <v>1265</v>
      </c>
      <c r="H642" s="211" t="str">
        <f>IFERROR(VLOOKUP(D642,Consolidado!$E$3:$K$311,7,0),"")</f>
        <v/>
      </c>
      <c r="I642" s="257"/>
    </row>
    <row r="643" spans="4:11">
      <c r="D643" s="267">
        <v>12757</v>
      </c>
      <c r="E643" s="211" t="s">
        <v>26</v>
      </c>
      <c r="F643" s="263" t="str">
        <f>IFERROR(IF(COUNTIF(Consolidado!$E$3:$E$358,'Range de Logins'!$D643)&gt;0,"Em uso","Livre"),"-")</f>
        <v>Livre</v>
      </c>
      <c r="G643" s="211" t="s">
        <v>1265</v>
      </c>
      <c r="H643" s="211" t="str">
        <f>IFERROR(VLOOKUP(D643,Consolidado!$E$3:$K$311,7,0),"")</f>
        <v/>
      </c>
      <c r="I643" s="257"/>
    </row>
    <row r="644" spans="4:11">
      <c r="D644" s="267">
        <v>12758</v>
      </c>
      <c r="E644" s="211" t="s">
        <v>26</v>
      </c>
      <c r="F644" s="263" t="str">
        <f>IFERROR(IF(COUNTIF(Consolidado!$E$3:$E$358,'Range de Logins'!$D644)&gt;0,"Em uso","Livre"),"-")</f>
        <v>Livre</v>
      </c>
      <c r="G644" s="211" t="s">
        <v>1265</v>
      </c>
      <c r="H644" s="211" t="str">
        <f>IFERROR(VLOOKUP(D644,Consolidado!$E$3:$K$311,7,0),"")</f>
        <v/>
      </c>
      <c r="I644" s="257"/>
    </row>
    <row r="645" spans="4:11">
      <c r="D645" s="267">
        <v>12759</v>
      </c>
      <c r="E645" s="211" t="s">
        <v>26</v>
      </c>
      <c r="F645" s="263" t="str">
        <f>IFERROR(IF(COUNTIF(Consolidado!$E$3:$E$358,'Range de Logins'!$D645)&gt;0,"Em uso","Livre"),"-")</f>
        <v>Livre</v>
      </c>
      <c r="G645" s="211" t="s">
        <v>1265</v>
      </c>
      <c r="H645" s="211" t="str">
        <f>IFERROR(VLOOKUP(D645,Consolidado!$E$3:$K$311,7,0),"")</f>
        <v/>
      </c>
      <c r="I645" s="257"/>
    </row>
    <row r="646" spans="4:11">
      <c r="D646" s="267">
        <v>12760</v>
      </c>
      <c r="E646" s="211" t="s">
        <v>26</v>
      </c>
      <c r="F646" s="263" t="str">
        <f>IFERROR(IF(COUNTIF(Consolidado!$E$3:$E$358,'Range de Logins'!$D646)&gt;0,"Em uso","Livre"),"-")</f>
        <v>Livre</v>
      </c>
      <c r="G646" s="211" t="s">
        <v>1265</v>
      </c>
      <c r="H646" s="211" t="str">
        <f>IFERROR(VLOOKUP(D646,Consolidado!$E$3:$K$311,7,0),"")</f>
        <v/>
      </c>
      <c r="I646" s="257"/>
    </row>
    <row r="647" spans="4:11">
      <c r="D647" s="267">
        <v>12761</v>
      </c>
      <c r="E647" s="211" t="s">
        <v>26</v>
      </c>
      <c r="F647" s="263" t="str">
        <f>IFERROR(IF(COUNTIF(Consolidado!$E$3:$E$358,'Range de Logins'!$D647)&gt;0,"Em uso","Livre"),"-")</f>
        <v>Livre</v>
      </c>
      <c r="G647" s="211" t="s">
        <v>1265</v>
      </c>
      <c r="H647" s="211" t="str">
        <f>IFERROR(VLOOKUP(D647,Consolidado!$E$3:$K$311,7,0),"")</f>
        <v/>
      </c>
      <c r="I647" s="257"/>
    </row>
    <row r="648" spans="4:11">
      <c r="D648" s="267">
        <v>12764</v>
      </c>
      <c r="E648" s="211" t="s">
        <v>26</v>
      </c>
      <c r="F648" s="263" t="str">
        <f>IFERROR(IF(COUNTIF(Consolidado!$E$3:$E$358,'Range de Logins'!$D648)&gt;0,"Em uso","Livre"),"-")</f>
        <v>Livre</v>
      </c>
      <c r="G648" s="211" t="s">
        <v>1265</v>
      </c>
      <c r="H648" s="211" t="str">
        <f>IFERROR(VLOOKUP(D648,Consolidado!$E$3:$K$311,7,0),"")</f>
        <v/>
      </c>
      <c r="I648" s="257"/>
    </row>
    <row r="649" spans="4:11">
      <c r="D649" s="267">
        <v>12765</v>
      </c>
      <c r="E649" s="211" t="s">
        <v>26</v>
      </c>
      <c r="F649" s="263" t="str">
        <f>IFERROR(IF(COUNTIF(Consolidado!$E$3:$E$358,'Range de Logins'!$D649)&gt;0,"Em uso","Livre"),"-")</f>
        <v>Livre</v>
      </c>
      <c r="G649" s="211" t="s">
        <v>1265</v>
      </c>
      <c r="H649" s="211" t="str">
        <f>IFERROR(VLOOKUP(D649,Consolidado!$E$3:$K$311,7,0),"")</f>
        <v/>
      </c>
      <c r="I649" s="257"/>
    </row>
    <row r="650" spans="4:11">
      <c r="D650" s="267">
        <v>12767</v>
      </c>
      <c r="E650" s="211" t="s">
        <v>26</v>
      </c>
      <c r="F650" s="263" t="str">
        <f>IFERROR(IF(COUNTIF(Consolidado!$E$3:$E$358,'Range de Logins'!$D650)&gt;0,"Em uso","Livre"),"-")</f>
        <v>Livre</v>
      </c>
      <c r="G650" s="211" t="s">
        <v>1265</v>
      </c>
      <c r="H650" s="211" t="str">
        <f>IFERROR(VLOOKUP(D650,Consolidado!$E$3:$K$311,7,0),"")</f>
        <v/>
      </c>
      <c r="I650" s="257"/>
    </row>
    <row r="651" spans="4:11">
      <c r="D651" s="267">
        <v>12769</v>
      </c>
      <c r="E651" s="211" t="s">
        <v>26</v>
      </c>
      <c r="F651" s="263" t="str">
        <f>IFERROR(IF(COUNTIF(Consolidado!$E$3:$E$358,'Range de Logins'!$D651)&gt;0,"Em uso","Livre"),"-")</f>
        <v>Livre</v>
      </c>
      <c r="G651" s="211" t="s">
        <v>1265</v>
      </c>
      <c r="H651" s="211" t="str">
        <f>IFERROR(VLOOKUP(D651,Consolidado!$E$3:$K$311,7,0),"")</f>
        <v/>
      </c>
      <c r="I651" s="257"/>
    </row>
    <row r="652" spans="4:11">
      <c r="D652" s="267">
        <v>12770</v>
      </c>
      <c r="E652" s="211" t="s">
        <v>26</v>
      </c>
      <c r="F652" s="263" t="str">
        <f>IFERROR(IF(COUNTIF(Consolidado!$E$3:$E$358,'Range de Logins'!$D652)&gt;0,"Em uso","Livre"),"-")</f>
        <v>Livre</v>
      </c>
      <c r="G652" s="211" t="s">
        <v>1265</v>
      </c>
      <c r="H652" s="211" t="str">
        <f>IFERROR(VLOOKUP(D652,Consolidado!$E$3:$K$311,7,0),"")</f>
        <v/>
      </c>
      <c r="I652" s="257"/>
    </row>
    <row r="653" spans="4:11">
      <c r="D653" s="267">
        <v>12771</v>
      </c>
      <c r="E653" s="211" t="s">
        <v>26</v>
      </c>
      <c r="F653" s="263" t="str">
        <f>IFERROR(IF(COUNTIF(Consolidado!$E$3:$E$358,'Range de Logins'!$D653)&gt;0,"Em uso","Livre"),"-")</f>
        <v>Livre</v>
      </c>
      <c r="G653" s="211" t="s">
        <v>1265</v>
      </c>
      <c r="H653" s="211" t="str">
        <f>IFERROR(VLOOKUP(D653,Consolidado!$E$3:$K$311,7,0),"")</f>
        <v/>
      </c>
      <c r="I653" s="257"/>
    </row>
    <row r="654" spans="4:11">
      <c r="D654" s="267">
        <v>12773</v>
      </c>
      <c r="E654" s="211" t="s">
        <v>26</v>
      </c>
      <c r="F654" s="263" t="str">
        <f>IFERROR(IF(COUNTIF(Consolidado!$E$3:$E$358,'Range de Logins'!$D654)&gt;0,"Em uso","Livre"),"-")</f>
        <v>Livre</v>
      </c>
      <c r="G654" s="211" t="s">
        <v>1265</v>
      </c>
      <c r="H654" s="211" t="str">
        <f>IFERROR(VLOOKUP(D654,Consolidado!$E$3:$K$311,7,0),"")</f>
        <v/>
      </c>
      <c r="I654" s="257"/>
    </row>
    <row r="655" spans="4:11">
      <c r="D655" s="267">
        <v>12774</v>
      </c>
      <c r="E655" s="211" t="s">
        <v>26</v>
      </c>
      <c r="F655" s="263" t="str">
        <f>IFERROR(IF(COUNTIF(Consolidado!$E$3:$E$358,'Range de Logins'!$D655)&gt;0,"Em uso","Livre"),"-")</f>
        <v>Livre</v>
      </c>
      <c r="G655" s="211" t="s">
        <v>1265</v>
      </c>
      <c r="H655" s="211" t="str">
        <f>IFERROR(VLOOKUP(D655,Consolidado!$E$3:$K$311,7,0),"")</f>
        <v/>
      </c>
      <c r="I655" s="257"/>
    </row>
    <row r="656" spans="4:11" ht="15.75">
      <c r="D656" s="267">
        <v>12775</v>
      </c>
      <c r="E656" s="211" t="s">
        <v>26</v>
      </c>
      <c r="F656" s="263" t="str">
        <f>IFERROR(IF(COUNTIF(Consolidado!$E$3:$E$358,'Range de Logins'!$D656)&gt;0,"Em uso","Livre"),"-")</f>
        <v>Livre</v>
      </c>
      <c r="G656" s="211" t="s">
        <v>1265</v>
      </c>
      <c r="H656" s="211" t="str">
        <f>IFERROR(VLOOKUP(D656,Consolidado!$E$3:$K$311,7,0),"")</f>
        <v/>
      </c>
      <c r="I656" s="259">
        <v>30169</v>
      </c>
      <c r="J656" s="202"/>
      <c r="K656" s="157" t="s">
        <v>1266</v>
      </c>
    </row>
    <row r="657" spans="4:9">
      <c r="D657" s="267">
        <v>12776</v>
      </c>
      <c r="E657" s="211" t="s">
        <v>26</v>
      </c>
      <c r="F657" s="263" t="str">
        <f>IFERROR(IF(COUNTIF(Consolidado!$E$3:$E$358,'Range de Logins'!$D657)&gt;0,"Em uso","Livre"),"-")</f>
        <v>Livre</v>
      </c>
      <c r="G657" s="211" t="s">
        <v>1265</v>
      </c>
      <c r="H657" s="211" t="str">
        <f>IFERROR(VLOOKUP(D657,Consolidado!$E$3:$K$311,7,0),"")</f>
        <v/>
      </c>
      <c r="I657" s="257"/>
    </row>
    <row r="658" spans="4:9">
      <c r="D658" s="267">
        <v>12777</v>
      </c>
      <c r="E658" s="211" t="s">
        <v>26</v>
      </c>
      <c r="F658" s="263" t="str">
        <f>IFERROR(IF(COUNTIF(Consolidado!$E$3:$E$358,'Range de Logins'!$D658)&gt;0,"Em uso","Livre"),"-")</f>
        <v>Livre</v>
      </c>
      <c r="G658" s="211" t="s">
        <v>1265</v>
      </c>
      <c r="H658" s="211" t="str">
        <f>IFERROR(VLOOKUP(D658,Consolidado!$E$3:$K$311,7,0),"")</f>
        <v/>
      </c>
      <c r="I658" s="257"/>
    </row>
    <row r="659" spans="4:9">
      <c r="D659" s="267">
        <v>12778</v>
      </c>
      <c r="E659" s="211" t="s">
        <v>26</v>
      </c>
      <c r="F659" s="263" t="str">
        <f>IFERROR(IF(COUNTIF(Consolidado!$E$3:$E$358,'Range de Logins'!$D659)&gt;0,"Em uso","Livre"),"-")</f>
        <v>Livre</v>
      </c>
      <c r="G659" s="211" t="s">
        <v>1265</v>
      </c>
      <c r="H659" s="211" t="str">
        <f>IFERROR(VLOOKUP(D659,Consolidado!$E$3:$K$311,7,0),"")</f>
        <v/>
      </c>
      <c r="I659" s="257"/>
    </row>
    <row r="660" spans="4:9">
      <c r="D660" s="267">
        <v>12779</v>
      </c>
      <c r="E660" s="211" t="s">
        <v>26</v>
      </c>
      <c r="F660" s="263" t="str">
        <f>IFERROR(IF(COUNTIF(Consolidado!$E$3:$E$358,'Range de Logins'!$D660)&gt;0,"Em uso","Livre"),"-")</f>
        <v>Livre</v>
      </c>
      <c r="G660" s="211" t="s">
        <v>1265</v>
      </c>
      <c r="H660" s="211" t="str">
        <f>IFERROR(VLOOKUP(D660,Consolidado!$E$3:$K$311,7,0),"")</f>
        <v/>
      </c>
      <c r="I660" s="257"/>
    </row>
    <row r="661" spans="4:9">
      <c r="D661" s="267">
        <v>12780</v>
      </c>
      <c r="E661" s="211" t="s">
        <v>26</v>
      </c>
      <c r="F661" s="263" t="str">
        <f>IFERROR(IF(COUNTIF(Consolidado!$E$3:$E$358,'Range de Logins'!$D661)&gt;0,"Em uso","Livre"),"-")</f>
        <v>Livre</v>
      </c>
      <c r="G661" s="211" t="s">
        <v>1265</v>
      </c>
      <c r="H661" s="211" t="str">
        <f>IFERROR(VLOOKUP(D661,Consolidado!$E$3:$K$311,7,0),"")</f>
        <v/>
      </c>
      <c r="I661" s="257"/>
    </row>
    <row r="662" spans="4:9">
      <c r="D662" s="267">
        <v>12781</v>
      </c>
      <c r="E662" s="211" t="s">
        <v>26</v>
      </c>
      <c r="F662" s="263" t="str">
        <f>IFERROR(IF(COUNTIF(Consolidado!$E$3:$E$358,'Range de Logins'!$D662)&gt;0,"Em uso","Livre"),"-")</f>
        <v>Livre</v>
      </c>
      <c r="G662" s="211" t="s">
        <v>1265</v>
      </c>
      <c r="H662" s="211" t="str">
        <f>IFERROR(VLOOKUP(D662,Consolidado!$E$3:$K$311,7,0),"")</f>
        <v/>
      </c>
      <c r="I662" s="257"/>
    </row>
    <row r="663" spans="4:9">
      <c r="D663" s="267">
        <v>12782</v>
      </c>
      <c r="E663" s="211" t="s">
        <v>26</v>
      </c>
      <c r="F663" s="263" t="str">
        <f>IFERROR(IF(COUNTIF(Consolidado!$E$3:$E$358,'Range de Logins'!$D663)&gt;0,"Em uso","Livre"),"-")</f>
        <v>Livre</v>
      </c>
      <c r="G663" s="211" t="s">
        <v>1265</v>
      </c>
      <c r="H663" s="211" t="str">
        <f>IFERROR(VLOOKUP(D663,Consolidado!$E$3:$K$311,7,0),"")</f>
        <v/>
      </c>
      <c r="I663" s="257"/>
    </row>
    <row r="664" spans="4:9">
      <c r="D664" s="267">
        <v>12784</v>
      </c>
      <c r="E664" s="211">
        <v>735275</v>
      </c>
      <c r="F664" s="263" t="str">
        <f>IFERROR(IF(COUNTIF(Consolidado!$E$3:$E$358,'Range de Logins'!$D664)&gt;0,"Em uso","Livre"),"-")</f>
        <v>Livre</v>
      </c>
      <c r="G664" s="211" t="s">
        <v>1065</v>
      </c>
      <c r="H664" s="211" t="str">
        <f>IFERROR(VLOOKUP(D664,Consolidado!$E$3:$K$311,7,0),"")</f>
        <v/>
      </c>
      <c r="I664" s="257"/>
    </row>
    <row r="665" spans="4:9">
      <c r="D665" s="267">
        <v>12785</v>
      </c>
      <c r="E665" s="211" t="s">
        <v>26</v>
      </c>
      <c r="F665" s="263" t="str">
        <f>IFERROR(IF(COUNTIF(Consolidado!$E$3:$E$358,'Range de Logins'!$D665)&gt;0,"Em uso","Livre"),"-")</f>
        <v>Livre</v>
      </c>
      <c r="G665" s="211" t="s">
        <v>1265</v>
      </c>
      <c r="H665" s="211" t="str">
        <f>IFERROR(VLOOKUP(D665,Consolidado!$E$3:$K$311,7,0),"")</f>
        <v/>
      </c>
      <c r="I665" s="257"/>
    </row>
    <row r="666" spans="4:9">
      <c r="D666" s="267">
        <v>12786</v>
      </c>
      <c r="E666" s="211" t="s">
        <v>26</v>
      </c>
      <c r="F666" s="263" t="str">
        <f>IFERROR(IF(COUNTIF(Consolidado!$E$3:$E$358,'Range de Logins'!$D666)&gt;0,"Em uso","Livre"),"-")</f>
        <v>Livre</v>
      </c>
      <c r="G666" s="211" t="s">
        <v>1265</v>
      </c>
      <c r="H666" s="211" t="str">
        <f>IFERROR(VLOOKUP(D666,Consolidado!$E$3:$K$311,7,0),"")</f>
        <v/>
      </c>
      <c r="I666" s="257"/>
    </row>
    <row r="667" spans="4:9">
      <c r="D667" s="267">
        <v>12787</v>
      </c>
      <c r="E667" s="211" t="s">
        <v>26</v>
      </c>
      <c r="F667" s="263" t="str">
        <f>IFERROR(IF(COUNTIF(Consolidado!$E$3:$E$358,'Range de Logins'!$D667)&gt;0,"Em uso","Livre"),"-")</f>
        <v>Livre</v>
      </c>
      <c r="G667" s="211" t="s">
        <v>1265</v>
      </c>
      <c r="H667" s="211" t="str">
        <f>IFERROR(VLOOKUP(D667,Consolidado!$E$3:$K$311,7,0),"")</f>
        <v/>
      </c>
      <c r="I667" s="257"/>
    </row>
    <row r="668" spans="4:9">
      <c r="D668" s="267">
        <v>12788</v>
      </c>
      <c r="E668" s="211" t="s">
        <v>26</v>
      </c>
      <c r="F668" s="263" t="str">
        <f>IFERROR(IF(COUNTIF(Consolidado!$E$3:$E$358,'Range de Logins'!$D668)&gt;0,"Em uso","Livre"),"-")</f>
        <v>Livre</v>
      </c>
      <c r="G668" s="211" t="s">
        <v>1265</v>
      </c>
      <c r="H668" s="211" t="str">
        <f>IFERROR(VLOOKUP(D668,Consolidado!$E$3:$K$311,7,0),"")</f>
        <v/>
      </c>
      <c r="I668" s="257"/>
    </row>
    <row r="669" spans="4:9">
      <c r="D669" s="267">
        <v>12789</v>
      </c>
      <c r="E669" s="211" t="s">
        <v>26</v>
      </c>
      <c r="F669" s="263" t="str">
        <f>IFERROR(IF(COUNTIF(Consolidado!$E$3:$E$358,'Range de Logins'!$D669)&gt;0,"Em uso","Livre"),"-")</f>
        <v>Livre</v>
      </c>
      <c r="G669" s="211" t="s">
        <v>1265</v>
      </c>
      <c r="H669" s="211" t="str">
        <f>IFERROR(VLOOKUP(D669,Consolidado!$E$3:$K$311,7,0),"")</f>
        <v/>
      </c>
      <c r="I669" s="257"/>
    </row>
    <row r="670" spans="4:9">
      <c r="D670" s="267">
        <v>12790</v>
      </c>
      <c r="E670" s="211" t="s">
        <v>26</v>
      </c>
      <c r="F670" s="263" t="str">
        <f>IFERROR(IF(COUNTIF(Consolidado!$E$3:$E$358,'Range de Logins'!$D670)&gt;0,"Em uso","Livre"),"-")</f>
        <v>Livre</v>
      </c>
      <c r="G670" s="211" t="s">
        <v>1265</v>
      </c>
      <c r="H670" s="211" t="str">
        <f>IFERROR(VLOOKUP(D670,Consolidado!$E$3:$K$311,7,0),"")</f>
        <v/>
      </c>
      <c r="I670" s="257"/>
    </row>
    <row r="671" spans="4:9">
      <c r="D671" s="267">
        <v>12791</v>
      </c>
      <c r="E671" s="211" t="s">
        <v>26</v>
      </c>
      <c r="F671" s="263" t="str">
        <f>IFERROR(IF(COUNTIF(Consolidado!$E$3:$E$358,'Range de Logins'!$D671)&gt;0,"Em uso","Livre"),"-")</f>
        <v>Livre</v>
      </c>
      <c r="G671" s="211" t="s">
        <v>1265</v>
      </c>
      <c r="H671" s="211" t="str">
        <f>IFERROR(VLOOKUP(D671,Consolidado!$E$3:$K$311,7,0),"")</f>
        <v/>
      </c>
      <c r="I671" s="257"/>
    </row>
    <row r="672" spans="4:9">
      <c r="D672" s="267">
        <v>12792</v>
      </c>
      <c r="E672" s="211">
        <v>766748</v>
      </c>
      <c r="F672" s="263" t="str">
        <f>IFERROR(IF(COUNTIF(Consolidado!$E$3:$E$358,'Range de Logins'!$D672)&gt;0,"Em uso","Livre"),"-")</f>
        <v>Em uso</v>
      </c>
      <c r="G672" s="211" t="s">
        <v>1065</v>
      </c>
      <c r="H672" s="211" t="str">
        <f>IFERROR(VLOOKUP(D672,Consolidado!$E$3:$K$311,7,0),"")</f>
        <v>IPG</v>
      </c>
      <c r="I672" s="257"/>
    </row>
    <row r="673" spans="4:9">
      <c r="D673" s="267">
        <v>12794</v>
      </c>
      <c r="E673" s="211" t="s">
        <v>26</v>
      </c>
      <c r="F673" s="263" t="str">
        <f>IFERROR(IF(COUNTIF(Consolidado!$E$3:$E$358,'Range de Logins'!$D673)&gt;0,"Em uso","Livre"),"-")</f>
        <v>Livre</v>
      </c>
      <c r="G673" s="211" t="s">
        <v>1265</v>
      </c>
      <c r="H673" s="211" t="str">
        <f>IFERROR(VLOOKUP(D673,Consolidado!$E$3:$K$311,7,0),"")</f>
        <v/>
      </c>
      <c r="I673" s="257"/>
    </row>
    <row r="674" spans="4:9">
      <c r="D674" s="267">
        <v>12795</v>
      </c>
      <c r="E674" s="211" t="s">
        <v>26</v>
      </c>
      <c r="F674" s="263" t="str">
        <f>IFERROR(IF(COUNTIF(Consolidado!$E$3:$E$358,'Range de Logins'!$D674)&gt;0,"Em uso","Livre"),"-")</f>
        <v>Livre</v>
      </c>
      <c r="G674" s="211" t="s">
        <v>1265</v>
      </c>
      <c r="H674" s="211" t="str">
        <f>IFERROR(VLOOKUP(D674,Consolidado!$E$3:$K$311,7,0),"")</f>
        <v/>
      </c>
      <c r="I674" s="257"/>
    </row>
    <row r="675" spans="4:9">
      <c r="D675" s="267">
        <v>12796</v>
      </c>
      <c r="E675" s="211">
        <v>721306</v>
      </c>
      <c r="F675" s="263" t="str">
        <f>IFERROR(IF(COUNTIF(Consolidado!$E$3:$E$358,'Range de Logins'!$D675)&gt;0,"Em uso","Livre"),"-")</f>
        <v>Livre</v>
      </c>
      <c r="G675" s="211" t="s">
        <v>1065</v>
      </c>
      <c r="H675" s="211" t="str">
        <f>IFERROR(VLOOKUP(D675,Consolidado!$E$3:$K$311,7,0),"")</f>
        <v/>
      </c>
      <c r="I675" s="257"/>
    </row>
    <row r="676" spans="4:9">
      <c r="D676" s="267">
        <v>12797</v>
      </c>
      <c r="E676" s="211">
        <v>195659</v>
      </c>
      <c r="F676" s="263" t="str">
        <f>IFERROR(IF(COUNTIF(Consolidado!$E$3:$E$358,'Range de Logins'!$D676)&gt;0,"Em uso","Livre"),"-")</f>
        <v>Livre</v>
      </c>
      <c r="G676" s="211" t="s">
        <v>1065</v>
      </c>
      <c r="H676" s="211" t="str">
        <f>IFERROR(VLOOKUP(D676,Consolidado!$E$3:$K$311,7,0),"")</f>
        <v/>
      </c>
      <c r="I676" s="257"/>
    </row>
    <row r="677" spans="4:9">
      <c r="D677" s="267">
        <v>12802</v>
      </c>
      <c r="E677" s="211">
        <v>732096</v>
      </c>
      <c r="F677" s="263" t="str">
        <f>IFERROR(IF(COUNTIF(Consolidado!$E$3:$E$358,'Range de Logins'!$D677)&gt;0,"Em uso","Livre"),"-")</f>
        <v>Livre</v>
      </c>
      <c r="G677" s="211" t="s">
        <v>1065</v>
      </c>
      <c r="H677" s="211" t="str">
        <f>IFERROR(VLOOKUP(D677,Consolidado!$E$3:$K$311,7,0),"")</f>
        <v/>
      </c>
      <c r="I677" s="257"/>
    </row>
    <row r="678" spans="4:9">
      <c r="D678" s="267">
        <v>12804</v>
      </c>
      <c r="E678" s="211">
        <v>831263</v>
      </c>
      <c r="F678" s="263" t="str">
        <f>IFERROR(IF(COUNTIF(Consolidado!$E$3:$E$358,'Range de Logins'!$D678)&gt;0,"Em uso","Livre"),"-")</f>
        <v>Livre</v>
      </c>
      <c r="G678" s="211" t="s">
        <v>1065</v>
      </c>
      <c r="H678" s="211" t="str">
        <f>IFERROR(VLOOKUP(D678,Consolidado!$E$3:$K$311,7,0),"")</f>
        <v/>
      </c>
      <c r="I678" s="257"/>
    </row>
    <row r="679" spans="4:9">
      <c r="D679" s="267">
        <v>12805</v>
      </c>
      <c r="E679" s="211">
        <v>712907</v>
      </c>
      <c r="F679" s="263" t="str">
        <f>IFERROR(IF(COUNTIF(Consolidado!$E$3:$E$358,'Range de Logins'!$D679)&gt;0,"Em uso","Livre"),"-")</f>
        <v>Livre</v>
      </c>
      <c r="G679" s="211" t="s">
        <v>1065</v>
      </c>
      <c r="H679" s="211" t="str">
        <f>IFERROR(VLOOKUP(D679,Consolidado!$E$3:$K$311,7,0),"")</f>
        <v/>
      </c>
      <c r="I679" s="257"/>
    </row>
    <row r="680" spans="4:9">
      <c r="D680" s="267">
        <v>12806</v>
      </c>
      <c r="E680" s="211" t="s">
        <v>26</v>
      </c>
      <c r="F680" s="263" t="str">
        <f>IFERROR(IF(COUNTIF(Consolidado!$E$3:$E$358,'Range de Logins'!$D680)&gt;0,"Em uso","Livre"),"-")</f>
        <v>Livre</v>
      </c>
      <c r="G680" s="211" t="s">
        <v>1265</v>
      </c>
      <c r="H680" s="211" t="str">
        <f>IFERROR(VLOOKUP(D680,Consolidado!$E$3:$K$311,7,0),"")</f>
        <v/>
      </c>
      <c r="I680" s="257"/>
    </row>
    <row r="681" spans="4:9">
      <c r="D681" s="267">
        <v>12808</v>
      </c>
      <c r="E681" s="211" t="s">
        <v>26</v>
      </c>
      <c r="F681" s="263" t="str">
        <f>IFERROR(IF(COUNTIF(Consolidado!$E$3:$E$358,'Range de Logins'!$D681)&gt;0,"Em uso","Livre"),"-")</f>
        <v>Livre</v>
      </c>
      <c r="G681" s="211" t="s">
        <v>1265</v>
      </c>
      <c r="H681" s="211" t="str">
        <f>IFERROR(VLOOKUP(D681,Consolidado!$E$3:$K$311,7,0),"")</f>
        <v/>
      </c>
      <c r="I681" s="257"/>
    </row>
    <row r="682" spans="4:9">
      <c r="D682" s="267">
        <v>12810</v>
      </c>
      <c r="E682" s="211">
        <v>565785</v>
      </c>
      <c r="F682" s="263" t="str">
        <f>IFERROR(IF(COUNTIF(Consolidado!$E$3:$E$358,'Range de Logins'!$D682)&gt;0,"Em uso","Livre"),"-")</f>
        <v>Livre</v>
      </c>
      <c r="G682" s="211" t="s">
        <v>1065</v>
      </c>
      <c r="H682" s="211" t="str">
        <f>IFERROR(VLOOKUP(D682,Consolidado!$E$3:$K$311,7,0),"")</f>
        <v/>
      </c>
      <c r="I682" s="257"/>
    </row>
    <row r="683" spans="4:9">
      <c r="D683" s="267">
        <v>12878</v>
      </c>
      <c r="E683" s="211" t="s">
        <v>26</v>
      </c>
      <c r="F683" s="263" t="str">
        <f>IFERROR(IF(COUNTIF(Consolidado!$E$3:$E$358,'Range de Logins'!$D683)&gt;0,"Em uso","Livre"),"-")</f>
        <v>Em uso</v>
      </c>
      <c r="G683" s="211" t="s">
        <v>1265</v>
      </c>
      <c r="H683" s="211" t="str">
        <f>IFERROR(VLOOKUP(D683,Consolidado!$E$3:$K$311,7,0),"")</f>
        <v>PSG</v>
      </c>
      <c r="I683" s="257"/>
    </row>
    <row r="684" spans="4:9">
      <c r="D684" s="267">
        <v>12811</v>
      </c>
      <c r="E684" s="211" t="s">
        <v>26</v>
      </c>
      <c r="F684" s="263" t="str">
        <f>IFERROR(IF(COUNTIF(Consolidado!$E$3:$E$358,'Range de Logins'!$D684)&gt;0,"Em uso","Livre"),"-")</f>
        <v>Livre</v>
      </c>
      <c r="G684" s="211" t="s">
        <v>1265</v>
      </c>
      <c r="H684" s="211" t="str">
        <f>IFERROR(VLOOKUP(D684,Consolidado!$E$3:$K$311,7,0),"")</f>
        <v/>
      </c>
      <c r="I684" s="257"/>
    </row>
    <row r="685" spans="4:9">
      <c r="D685" s="267">
        <v>12812</v>
      </c>
      <c r="E685" s="211">
        <v>956846</v>
      </c>
      <c r="F685" s="263" t="str">
        <f>IFERROR(IF(COUNTIF(Consolidado!$E$3:$E$358,'Range de Logins'!$D685)&gt;0,"Em uso","Livre"),"-")</f>
        <v>Em uso</v>
      </c>
      <c r="G685" s="211" t="s">
        <v>1065</v>
      </c>
      <c r="H685" s="211" t="str">
        <f>IFERROR(VLOOKUP(D685,Consolidado!$E$3:$K$311,7,0),"")</f>
        <v>ECR</v>
      </c>
      <c r="I685" s="257"/>
    </row>
    <row r="686" spans="4:9">
      <c r="D686" s="267">
        <v>12813</v>
      </c>
      <c r="E686" s="211" t="s">
        <v>26</v>
      </c>
      <c r="F686" s="263" t="str">
        <f>IFERROR(IF(COUNTIF(Consolidado!$E$3:$E$358,'Range de Logins'!$D686)&gt;0,"Em uso","Livre"),"-")</f>
        <v>Livre</v>
      </c>
      <c r="G686" s="211" t="s">
        <v>1265</v>
      </c>
      <c r="H686" s="211" t="str">
        <f>IFERROR(VLOOKUP(D686,Consolidado!$E$3:$K$311,7,0),"")</f>
        <v/>
      </c>
      <c r="I686" s="257"/>
    </row>
    <row r="687" spans="4:9">
      <c r="D687" s="267">
        <v>12814</v>
      </c>
      <c r="E687" s="211" t="s">
        <v>26</v>
      </c>
      <c r="F687" s="263" t="str">
        <f>IFERROR(IF(COUNTIF(Consolidado!$E$3:$E$358,'Range de Logins'!$D687)&gt;0,"Em uso","Livre"),"-")</f>
        <v>Livre</v>
      </c>
      <c r="G687" s="211" t="s">
        <v>1265</v>
      </c>
      <c r="H687" s="211" t="str">
        <f>IFERROR(VLOOKUP(D687,Consolidado!$E$3:$K$311,7,0),"")</f>
        <v/>
      </c>
      <c r="I687" s="257"/>
    </row>
    <row r="688" spans="4:9">
      <c r="D688" s="267">
        <v>12815</v>
      </c>
      <c r="E688" s="211" t="s">
        <v>26</v>
      </c>
      <c r="F688" s="263" t="str">
        <f>IFERROR(IF(COUNTIF(Consolidado!$E$3:$E$358,'Range de Logins'!$D688)&gt;0,"Em uso","Livre"),"-")</f>
        <v>Livre</v>
      </c>
      <c r="G688" s="211" t="s">
        <v>1265</v>
      </c>
      <c r="H688" s="211" t="str">
        <f>IFERROR(VLOOKUP(D688,Consolidado!$E$3:$K$311,7,0),"")</f>
        <v/>
      </c>
      <c r="I688" s="257"/>
    </row>
    <row r="689" spans="4:9">
      <c r="D689" s="267">
        <v>12816</v>
      </c>
      <c r="E689" s="211" t="s">
        <v>26</v>
      </c>
      <c r="F689" s="263" t="str">
        <f>IFERROR(IF(COUNTIF(Consolidado!$E$3:$E$358,'Range de Logins'!$D689)&gt;0,"Em uso","Livre"),"-")</f>
        <v>Livre</v>
      </c>
      <c r="G689" s="211" t="s">
        <v>1265</v>
      </c>
      <c r="H689" s="211" t="str">
        <f>IFERROR(VLOOKUP(D689,Consolidado!$E$3:$K$311,7,0),"")</f>
        <v/>
      </c>
      <c r="I689" s="257"/>
    </row>
    <row r="690" spans="4:9">
      <c r="D690" s="267">
        <v>12817</v>
      </c>
      <c r="E690" s="211" t="s">
        <v>26</v>
      </c>
      <c r="F690" s="263" t="str">
        <f>IFERROR(IF(COUNTIF(Consolidado!$E$3:$E$358,'Range de Logins'!$D690)&gt;0,"Em uso","Livre"),"-")</f>
        <v>Livre</v>
      </c>
      <c r="G690" s="211" t="s">
        <v>1265</v>
      </c>
      <c r="H690" s="211" t="str">
        <f>IFERROR(VLOOKUP(D690,Consolidado!$E$3:$K$311,7,0),"")</f>
        <v/>
      </c>
      <c r="I690" s="257"/>
    </row>
    <row r="691" spans="4:9">
      <c r="D691" s="267">
        <v>12818</v>
      </c>
      <c r="E691" s="211" t="s">
        <v>26</v>
      </c>
      <c r="F691" s="263" t="str">
        <f>IFERROR(IF(COUNTIF(Consolidado!$E$3:$E$358,'Range de Logins'!$D691)&gt;0,"Em uso","Livre"),"-")</f>
        <v>Livre</v>
      </c>
      <c r="G691" s="211" t="s">
        <v>1265</v>
      </c>
      <c r="H691" s="211" t="str">
        <f>IFERROR(VLOOKUP(D691,Consolidado!$E$3:$K$311,7,0),"")</f>
        <v/>
      </c>
      <c r="I691" s="257"/>
    </row>
    <row r="692" spans="4:9">
      <c r="D692" s="267">
        <v>12820</v>
      </c>
      <c r="E692" s="211" t="s">
        <v>26</v>
      </c>
      <c r="F692" s="263" t="str">
        <f>IFERROR(IF(COUNTIF(Consolidado!$E$3:$E$358,'Range de Logins'!$D692)&gt;0,"Em uso","Livre"),"-")</f>
        <v>Livre</v>
      </c>
      <c r="G692" s="211" t="s">
        <v>1265</v>
      </c>
      <c r="H692" s="211" t="str">
        <f>IFERROR(VLOOKUP(D692,Consolidado!$E$3:$K$311,7,0),"")</f>
        <v/>
      </c>
      <c r="I692" s="257"/>
    </row>
    <row r="693" spans="4:9">
      <c r="D693" s="267">
        <v>12821</v>
      </c>
      <c r="E693" s="211" t="s">
        <v>26</v>
      </c>
      <c r="F693" s="263" t="str">
        <f>IFERROR(IF(COUNTIF(Consolidado!$E$3:$E$358,'Range de Logins'!$D693)&gt;0,"Em uso","Livre"),"-")</f>
        <v>Livre</v>
      </c>
      <c r="G693" s="211" t="s">
        <v>1265</v>
      </c>
      <c r="H693" s="211" t="str">
        <f>IFERROR(VLOOKUP(D693,Consolidado!$E$3:$K$311,7,0),"")</f>
        <v/>
      </c>
      <c r="I693" s="257"/>
    </row>
    <row r="694" spans="4:9">
      <c r="D694" s="267">
        <v>12822</v>
      </c>
      <c r="E694" s="211" t="s">
        <v>26</v>
      </c>
      <c r="F694" s="263" t="str">
        <f>IFERROR(IF(COUNTIF(Consolidado!$E$3:$E$358,'Range de Logins'!$D694)&gt;0,"Em uso","Livre"),"-")</f>
        <v>Livre</v>
      </c>
      <c r="G694" s="211" t="s">
        <v>1265</v>
      </c>
      <c r="H694" s="211" t="str">
        <f>IFERROR(VLOOKUP(D694,Consolidado!$E$3:$K$311,7,0),"")</f>
        <v/>
      </c>
      <c r="I694" s="257"/>
    </row>
    <row r="695" spans="4:9">
      <c r="D695" s="267">
        <v>12823</v>
      </c>
      <c r="E695" s="211" t="s">
        <v>26</v>
      </c>
      <c r="F695" s="263" t="str">
        <f>IFERROR(IF(COUNTIF(Consolidado!$E$3:$E$358,'Range de Logins'!$D695)&gt;0,"Em uso","Livre"),"-")</f>
        <v>Livre</v>
      </c>
      <c r="G695" s="211" t="s">
        <v>1265</v>
      </c>
      <c r="H695" s="211" t="str">
        <f>IFERROR(VLOOKUP(D695,Consolidado!$E$3:$K$311,7,0),"")</f>
        <v/>
      </c>
      <c r="I695" s="257"/>
    </row>
    <row r="696" spans="4:9">
      <c r="D696" s="267">
        <v>12824</v>
      </c>
      <c r="E696" s="211" t="s">
        <v>26</v>
      </c>
      <c r="F696" s="263" t="str">
        <f>IFERROR(IF(COUNTIF(Consolidado!$E$3:$E$358,'Range de Logins'!$D696)&gt;0,"Em uso","Livre"),"-")</f>
        <v>Livre</v>
      </c>
      <c r="G696" s="211" t="s">
        <v>1265</v>
      </c>
      <c r="H696" s="211" t="str">
        <f>IFERROR(VLOOKUP(D696,Consolidado!$E$3:$K$311,7,0),"")</f>
        <v/>
      </c>
      <c r="I696" s="257"/>
    </row>
    <row r="697" spans="4:9">
      <c r="D697" s="267">
        <v>12825</v>
      </c>
      <c r="E697" s="211" t="s">
        <v>26</v>
      </c>
      <c r="F697" s="263" t="str">
        <f>IFERROR(IF(COUNTIF(Consolidado!$E$3:$E$358,'Range de Logins'!$D697)&gt;0,"Em uso","Livre"),"-")</f>
        <v>Livre</v>
      </c>
      <c r="G697" s="211" t="s">
        <v>1265</v>
      </c>
      <c r="H697" s="211" t="str">
        <f>IFERROR(VLOOKUP(D697,Consolidado!$E$3:$K$311,7,0),"")</f>
        <v/>
      </c>
      <c r="I697" s="257"/>
    </row>
    <row r="698" spans="4:9">
      <c r="D698" s="267">
        <v>12826</v>
      </c>
      <c r="E698" s="211" t="s">
        <v>26</v>
      </c>
      <c r="F698" s="263" t="str">
        <f>IFERROR(IF(COUNTIF(Consolidado!$E$3:$E$358,'Range de Logins'!$D698)&gt;0,"Em uso","Livre"),"-")</f>
        <v>Livre</v>
      </c>
      <c r="G698" s="211" t="s">
        <v>1265</v>
      </c>
      <c r="H698" s="211" t="str">
        <f>IFERROR(VLOOKUP(D698,Consolidado!$E$3:$K$311,7,0),"")</f>
        <v/>
      </c>
      <c r="I698" s="257"/>
    </row>
    <row r="699" spans="4:9">
      <c r="D699" s="267">
        <v>12827</v>
      </c>
      <c r="E699" s="211" t="s">
        <v>26</v>
      </c>
      <c r="F699" s="263" t="str">
        <f>IFERROR(IF(COUNTIF(Consolidado!$E$3:$E$358,'Range de Logins'!$D699)&gt;0,"Em uso","Livre"),"-")</f>
        <v>Livre</v>
      </c>
      <c r="G699" s="211" t="s">
        <v>1265</v>
      </c>
      <c r="H699" s="211" t="str">
        <f>IFERROR(VLOOKUP(D699,Consolidado!$E$3:$K$311,7,0),"")</f>
        <v/>
      </c>
      <c r="I699" s="257"/>
    </row>
    <row r="700" spans="4:9">
      <c r="D700" s="267">
        <v>12828</v>
      </c>
      <c r="E700" s="211" t="s">
        <v>26</v>
      </c>
      <c r="F700" s="263" t="str">
        <f>IFERROR(IF(COUNTIF(Consolidado!$E$3:$E$358,'Range de Logins'!$D700)&gt;0,"Em uso","Livre"),"-")</f>
        <v>Livre</v>
      </c>
      <c r="G700" s="211" t="s">
        <v>1265</v>
      </c>
      <c r="H700" s="211" t="str">
        <f>IFERROR(VLOOKUP(D700,Consolidado!$E$3:$K$311,7,0),"")</f>
        <v/>
      </c>
      <c r="I700" s="257"/>
    </row>
    <row r="701" spans="4:9">
      <c r="D701" s="267">
        <v>12829</v>
      </c>
      <c r="E701" s="211" t="s">
        <v>26</v>
      </c>
      <c r="F701" s="263" t="str">
        <f>IFERROR(IF(COUNTIF(Consolidado!$E$3:$E$358,'Range de Logins'!$D701)&gt;0,"Em uso","Livre"),"-")</f>
        <v>Livre</v>
      </c>
      <c r="G701" s="211" t="s">
        <v>1265</v>
      </c>
      <c r="H701" s="211" t="str">
        <f>IFERROR(VLOOKUP(D701,Consolidado!$E$3:$K$311,7,0),"")</f>
        <v/>
      </c>
      <c r="I701" s="257"/>
    </row>
    <row r="702" spans="4:9">
      <c r="D702" s="267">
        <v>12830</v>
      </c>
      <c r="E702" s="211" t="s">
        <v>26</v>
      </c>
      <c r="F702" s="263" t="str">
        <f>IFERROR(IF(COUNTIF(Consolidado!$E$3:$E$358,'Range de Logins'!$D702)&gt;0,"Em uso","Livre"),"-")</f>
        <v>Livre</v>
      </c>
      <c r="G702" s="211" t="s">
        <v>1265</v>
      </c>
      <c r="H702" s="211" t="str">
        <f>IFERROR(VLOOKUP(D702,Consolidado!$E$3:$K$311,7,0),"")</f>
        <v/>
      </c>
      <c r="I702" s="257"/>
    </row>
    <row r="703" spans="4:9">
      <c r="D703" s="267">
        <v>12831</v>
      </c>
      <c r="E703" s="211" t="s">
        <v>26</v>
      </c>
      <c r="F703" s="263" t="str">
        <f>IFERROR(IF(COUNTIF(Consolidado!$E$3:$E$358,'Range de Logins'!$D703)&gt;0,"Em uso","Livre"),"-")</f>
        <v>Livre</v>
      </c>
      <c r="G703" s="211" t="s">
        <v>1265</v>
      </c>
      <c r="H703" s="211" t="str">
        <f>IFERROR(VLOOKUP(D703,Consolidado!$E$3:$K$311,7,0),"")</f>
        <v/>
      </c>
      <c r="I703" s="257"/>
    </row>
    <row r="704" spans="4:9">
      <c r="D704" s="267">
        <v>12832</v>
      </c>
      <c r="E704" s="211" t="s">
        <v>26</v>
      </c>
      <c r="F704" s="263" t="str">
        <f>IFERROR(IF(COUNTIF(Consolidado!$E$3:$E$358,'Range de Logins'!$D704)&gt;0,"Em uso","Livre"),"-")</f>
        <v>Livre</v>
      </c>
      <c r="G704" s="211" t="s">
        <v>1265</v>
      </c>
      <c r="H704" s="211" t="str">
        <f>IFERROR(VLOOKUP(D704,Consolidado!$E$3:$K$311,7,0),"")</f>
        <v/>
      </c>
      <c r="I704" s="257"/>
    </row>
    <row r="705" spans="4:9">
      <c r="D705" s="267">
        <v>12833</v>
      </c>
      <c r="E705" s="211" t="s">
        <v>26</v>
      </c>
      <c r="F705" s="263" t="str">
        <f>IFERROR(IF(COUNTIF(Consolidado!$E$3:$E$358,'Range de Logins'!$D705)&gt;0,"Em uso","Livre"),"-")</f>
        <v>Livre</v>
      </c>
      <c r="G705" s="211" t="s">
        <v>1265</v>
      </c>
      <c r="H705" s="211" t="str">
        <f>IFERROR(VLOOKUP(D705,Consolidado!$E$3:$K$311,7,0),"")</f>
        <v/>
      </c>
      <c r="I705" s="257"/>
    </row>
    <row r="706" spans="4:9">
      <c r="D706" s="267">
        <v>12834</v>
      </c>
      <c r="E706" s="211" t="s">
        <v>26</v>
      </c>
      <c r="F706" s="263" t="str">
        <f>IFERROR(IF(COUNTIF(Consolidado!$E$3:$E$358,'Range de Logins'!$D706)&gt;0,"Em uso","Livre"),"-")</f>
        <v>Livre</v>
      </c>
      <c r="G706" s="211" t="s">
        <v>1265</v>
      </c>
      <c r="H706" s="211" t="str">
        <f>IFERROR(VLOOKUP(D706,Consolidado!$E$3:$K$311,7,0),"")</f>
        <v/>
      </c>
      <c r="I706" s="257"/>
    </row>
    <row r="707" spans="4:9">
      <c r="D707" s="267">
        <v>12835</v>
      </c>
      <c r="E707" s="211" t="s">
        <v>26</v>
      </c>
      <c r="F707" s="263" t="str">
        <f>IFERROR(IF(COUNTIF(Consolidado!$E$3:$E$358,'Range de Logins'!$D707)&gt;0,"Em uso","Livre"),"-")</f>
        <v>Livre</v>
      </c>
      <c r="G707" s="211" t="s">
        <v>1265</v>
      </c>
      <c r="H707" s="211" t="str">
        <f>IFERROR(VLOOKUP(D707,Consolidado!$E$3:$K$311,7,0),"")</f>
        <v/>
      </c>
      <c r="I707" s="257"/>
    </row>
    <row r="708" spans="4:9">
      <c r="D708" s="267">
        <v>12836</v>
      </c>
      <c r="E708" s="211" t="s">
        <v>26</v>
      </c>
      <c r="F708" s="263" t="str">
        <f>IFERROR(IF(COUNTIF(Consolidado!$E$3:$E$358,'Range de Logins'!$D708)&gt;0,"Em uso","Livre"),"-")</f>
        <v>Livre</v>
      </c>
      <c r="G708" s="211" t="s">
        <v>1265</v>
      </c>
      <c r="H708" s="211" t="str">
        <f>IFERROR(VLOOKUP(D708,Consolidado!$E$3:$K$311,7,0),"")</f>
        <v/>
      </c>
      <c r="I708" s="257"/>
    </row>
    <row r="709" spans="4:9">
      <c r="D709" s="267">
        <v>12837</v>
      </c>
      <c r="E709" s="211" t="s">
        <v>26</v>
      </c>
      <c r="F709" s="263" t="str">
        <f>IFERROR(IF(COUNTIF(Consolidado!$E$3:$E$358,'Range de Logins'!$D709)&gt;0,"Em uso","Livre"),"-")</f>
        <v>Livre</v>
      </c>
      <c r="G709" s="211" t="s">
        <v>1265</v>
      </c>
      <c r="H709" s="211" t="str">
        <f>IFERROR(VLOOKUP(D709,Consolidado!$E$3:$K$311,7,0),"")</f>
        <v/>
      </c>
      <c r="I709" s="257"/>
    </row>
    <row r="710" spans="4:9">
      <c r="D710" s="267">
        <v>12838</v>
      </c>
      <c r="E710" s="211" t="s">
        <v>26</v>
      </c>
      <c r="F710" s="263" t="str">
        <f>IFERROR(IF(COUNTIF(Consolidado!$E$3:$E$358,'Range de Logins'!$D710)&gt;0,"Em uso","Livre"),"-")</f>
        <v>Livre</v>
      </c>
      <c r="G710" s="211" t="s">
        <v>1265</v>
      </c>
      <c r="H710" s="211" t="str">
        <f>IFERROR(VLOOKUP(D710,Consolidado!$E$3:$K$311,7,0),"")</f>
        <v/>
      </c>
      <c r="I710" s="257"/>
    </row>
    <row r="711" spans="4:9">
      <c r="D711" s="267">
        <v>12839</v>
      </c>
      <c r="E711" s="211" t="s">
        <v>26</v>
      </c>
      <c r="F711" s="263" t="str">
        <f>IFERROR(IF(COUNTIF(Consolidado!$E$3:$E$358,'Range de Logins'!$D711)&gt;0,"Em uso","Livre"),"-")</f>
        <v>Livre</v>
      </c>
      <c r="G711" s="211" t="s">
        <v>1265</v>
      </c>
      <c r="H711" s="211" t="str">
        <f>IFERROR(VLOOKUP(D711,Consolidado!$E$3:$K$311,7,0),"")</f>
        <v/>
      </c>
      <c r="I711" s="257"/>
    </row>
    <row r="712" spans="4:9">
      <c r="D712" s="267">
        <v>12840</v>
      </c>
      <c r="E712" s="211" t="s">
        <v>26</v>
      </c>
      <c r="F712" s="263" t="str">
        <f>IFERROR(IF(COUNTIF(Consolidado!$E$3:$E$358,'Range de Logins'!$D712)&gt;0,"Em uso","Livre"),"-")</f>
        <v>Livre</v>
      </c>
      <c r="G712" s="211" t="s">
        <v>1265</v>
      </c>
      <c r="H712" s="211" t="str">
        <f>IFERROR(VLOOKUP(D712,Consolidado!$E$3:$K$311,7,0),"")</f>
        <v/>
      </c>
      <c r="I712" s="257"/>
    </row>
    <row r="713" spans="4:9">
      <c r="D713" s="267">
        <v>12841</v>
      </c>
      <c r="E713" s="211" t="s">
        <v>26</v>
      </c>
      <c r="F713" s="263" t="str">
        <f>IFERROR(IF(COUNTIF(Consolidado!$E$3:$E$358,'Range de Logins'!$D713)&gt;0,"Em uso","Livre"),"-")</f>
        <v>Livre</v>
      </c>
      <c r="G713" s="211" t="s">
        <v>1265</v>
      </c>
      <c r="H713" s="211" t="str">
        <f>IFERROR(VLOOKUP(D713,Consolidado!$E$3:$K$311,7,0),"")</f>
        <v/>
      </c>
      <c r="I713" s="257"/>
    </row>
    <row r="714" spans="4:9">
      <c r="D714" s="267">
        <v>12842</v>
      </c>
      <c r="E714" s="211" t="s">
        <v>26</v>
      </c>
      <c r="F714" s="263" t="str">
        <f>IFERROR(IF(COUNTIF(Consolidado!$E$3:$E$358,'Range de Logins'!$D714)&gt;0,"Em uso","Livre"),"-")</f>
        <v>Livre</v>
      </c>
      <c r="G714" s="211" t="s">
        <v>1265</v>
      </c>
      <c r="H714" s="211" t="str">
        <f>IFERROR(VLOOKUP(D714,Consolidado!$E$3:$K$311,7,0),"")</f>
        <v/>
      </c>
      <c r="I714" s="257"/>
    </row>
    <row r="715" spans="4:9">
      <c r="D715" s="267">
        <v>12843</v>
      </c>
      <c r="E715" s="211" t="s">
        <v>26</v>
      </c>
      <c r="F715" s="263" t="str">
        <f>IFERROR(IF(COUNTIF(Consolidado!$E$3:$E$358,'Range de Logins'!$D715)&gt;0,"Em uso","Livre"),"-")</f>
        <v>Livre</v>
      </c>
      <c r="G715" s="211" t="s">
        <v>1265</v>
      </c>
      <c r="H715" s="211" t="str">
        <f>IFERROR(VLOOKUP(D715,Consolidado!$E$3:$K$311,7,0),"")</f>
        <v/>
      </c>
      <c r="I715" s="257"/>
    </row>
    <row r="716" spans="4:9">
      <c r="D716" s="267">
        <v>12844</v>
      </c>
      <c r="E716" s="211" t="s">
        <v>26</v>
      </c>
      <c r="F716" s="263" t="str">
        <f>IFERROR(IF(COUNTIF(Consolidado!$E$3:$E$358,'Range de Logins'!$D716)&gt;0,"Em uso","Livre"),"-")</f>
        <v>Livre</v>
      </c>
      <c r="G716" s="211" t="s">
        <v>1265</v>
      </c>
      <c r="H716" s="211" t="str">
        <f>IFERROR(VLOOKUP(D716,Consolidado!$E$3:$K$311,7,0),"")</f>
        <v/>
      </c>
      <c r="I716" s="257"/>
    </row>
    <row r="717" spans="4:9">
      <c r="D717" s="267">
        <v>12845</v>
      </c>
      <c r="E717" s="211" t="s">
        <v>26</v>
      </c>
      <c r="F717" s="263" t="str">
        <f>IFERROR(IF(COUNTIF(Consolidado!$E$3:$E$358,'Range de Logins'!$D717)&gt;0,"Em uso","Livre"),"-")</f>
        <v>Livre</v>
      </c>
      <c r="G717" s="211" t="s">
        <v>1265</v>
      </c>
      <c r="H717" s="211" t="str">
        <f>IFERROR(VLOOKUP(D717,Consolidado!$E$3:$K$311,7,0),"")</f>
        <v/>
      </c>
      <c r="I717" s="257"/>
    </row>
    <row r="718" spans="4:9">
      <c r="D718" s="267">
        <v>12847</v>
      </c>
      <c r="E718" s="211" t="s">
        <v>26</v>
      </c>
      <c r="F718" s="263" t="str">
        <f>IFERROR(IF(COUNTIF(Consolidado!$E$3:$E$358,'Range de Logins'!$D718)&gt;0,"Em uso","Livre"),"-")</f>
        <v>Livre</v>
      </c>
      <c r="G718" s="211" t="s">
        <v>1265</v>
      </c>
      <c r="H718" s="211" t="str">
        <f>IFERROR(VLOOKUP(D718,Consolidado!$E$3:$K$311,7,0),"")</f>
        <v/>
      </c>
      <c r="I718" s="257"/>
    </row>
    <row r="719" spans="4:9">
      <c r="D719" s="267">
        <v>12848</v>
      </c>
      <c r="E719" s="211" t="s">
        <v>26</v>
      </c>
      <c r="F719" s="263" t="str">
        <f>IFERROR(IF(COUNTIF(Consolidado!$E$3:$E$358,'Range de Logins'!$D719)&gt;0,"Em uso","Livre"),"-")</f>
        <v>Livre</v>
      </c>
      <c r="G719" s="211" t="s">
        <v>1265</v>
      </c>
      <c r="H719" s="211" t="str">
        <f>IFERROR(VLOOKUP(D719,Consolidado!$E$3:$K$311,7,0),"")</f>
        <v/>
      </c>
      <c r="I719" s="257"/>
    </row>
    <row r="720" spans="4:9">
      <c r="D720" s="267">
        <v>12850</v>
      </c>
      <c r="E720" s="211" t="s">
        <v>26</v>
      </c>
      <c r="F720" s="263" t="str">
        <f>IFERROR(IF(COUNTIF(Consolidado!$E$3:$E$358,'Range de Logins'!$D720)&gt;0,"Em uso","Livre"),"-")</f>
        <v>Livre</v>
      </c>
      <c r="G720" s="211" t="s">
        <v>1265</v>
      </c>
      <c r="H720" s="211" t="str">
        <f>IFERROR(VLOOKUP(D720,Consolidado!$E$3:$K$311,7,0),"")</f>
        <v/>
      </c>
      <c r="I720" s="257"/>
    </row>
    <row r="721" spans="4:10">
      <c r="D721" s="267">
        <v>12851</v>
      </c>
      <c r="E721" s="211" t="s">
        <v>26</v>
      </c>
      <c r="F721" s="263" t="str">
        <f>IFERROR(IF(COUNTIF(Consolidado!$E$3:$E$358,'Range de Logins'!$D721)&gt;0,"Em uso","Livre"),"-")</f>
        <v>Livre</v>
      </c>
      <c r="G721" s="211" t="s">
        <v>1265</v>
      </c>
      <c r="H721" s="211" t="str">
        <f>IFERROR(VLOOKUP(D721,Consolidado!$E$3:$K$311,7,0),"")</f>
        <v/>
      </c>
      <c r="I721" s="257"/>
    </row>
    <row r="722" spans="4:10">
      <c r="D722" s="267">
        <v>12852</v>
      </c>
      <c r="E722" s="211" t="s">
        <v>26</v>
      </c>
      <c r="F722" s="263" t="str">
        <f>IFERROR(IF(COUNTIF(Consolidado!$E$3:$E$358,'Range de Logins'!$D722)&gt;0,"Em uso","Livre"),"-")</f>
        <v>Livre</v>
      </c>
      <c r="G722" s="211" t="s">
        <v>1265</v>
      </c>
      <c r="H722" s="211" t="str">
        <f>IFERROR(VLOOKUP(D722,Consolidado!$E$3:$K$311,7,0),"")</f>
        <v/>
      </c>
      <c r="I722" s="257"/>
    </row>
    <row r="723" spans="4:10">
      <c r="D723" s="267">
        <v>12853</v>
      </c>
      <c r="E723" s="211" t="s">
        <v>26</v>
      </c>
      <c r="F723" s="263" t="str">
        <f>IFERROR(IF(COUNTIF(Consolidado!$E$3:$E$358,'Range de Logins'!$D723)&gt;0,"Em uso","Livre"),"-")</f>
        <v>Livre</v>
      </c>
      <c r="G723" s="211" t="s">
        <v>1265</v>
      </c>
      <c r="H723" s="211" t="str">
        <f>IFERROR(VLOOKUP(D723,Consolidado!$E$3:$K$311,7,0),"")</f>
        <v/>
      </c>
      <c r="I723" s="257"/>
    </row>
    <row r="724" spans="4:10">
      <c r="D724" s="267">
        <v>12854</v>
      </c>
      <c r="E724" s="211" t="s">
        <v>26</v>
      </c>
      <c r="F724" s="263" t="str">
        <f>IFERROR(IF(COUNTIF(Consolidado!$E$3:$E$358,'Range de Logins'!$D724)&gt;0,"Em uso","Livre"),"-")</f>
        <v>Livre</v>
      </c>
      <c r="G724" s="211" t="s">
        <v>1265</v>
      </c>
      <c r="H724" s="211" t="str">
        <f>IFERROR(VLOOKUP(D724,Consolidado!$E$3:$K$311,7,0),"")</f>
        <v/>
      </c>
      <c r="I724" s="260" t="s">
        <v>1267</v>
      </c>
      <c r="J724" s="203"/>
    </row>
    <row r="725" spans="4:10">
      <c r="D725" s="267">
        <v>12855</v>
      </c>
      <c r="E725" s="211" t="s">
        <v>26</v>
      </c>
      <c r="F725" s="263" t="str">
        <f>IFERROR(IF(COUNTIF(Consolidado!$E$3:$E$358,'Range de Logins'!$D725)&gt;0,"Em uso","Livre"),"-")</f>
        <v>Livre</v>
      </c>
      <c r="G725" s="211" t="s">
        <v>1265</v>
      </c>
      <c r="H725" s="211" t="str">
        <f>IFERROR(VLOOKUP(D725,Consolidado!$E$3:$K$311,7,0),"")</f>
        <v/>
      </c>
      <c r="I725" s="257"/>
    </row>
    <row r="726" spans="4:10">
      <c r="D726" s="267">
        <v>12856</v>
      </c>
      <c r="E726" s="211" t="s">
        <v>26</v>
      </c>
      <c r="F726" s="263" t="str">
        <f>IFERROR(IF(COUNTIF(Consolidado!$E$3:$E$358,'Range de Logins'!$D726)&gt;0,"Em uso","Livre"),"-")</f>
        <v>Livre</v>
      </c>
      <c r="G726" s="211" t="s">
        <v>1265</v>
      </c>
      <c r="H726" s="211" t="str">
        <f>IFERROR(VLOOKUP(D726,Consolidado!$E$3:$K$311,7,0),"")</f>
        <v/>
      </c>
      <c r="I726" s="257"/>
    </row>
    <row r="727" spans="4:10">
      <c r="D727" s="267">
        <v>12857</v>
      </c>
      <c r="E727" s="211" t="s">
        <v>26</v>
      </c>
      <c r="F727" s="263" t="str">
        <f>IFERROR(IF(COUNTIF(Consolidado!$E$3:$E$358,'Range de Logins'!$D727)&gt;0,"Em uso","Livre"),"-")</f>
        <v>Livre</v>
      </c>
      <c r="G727" s="211" t="s">
        <v>1265</v>
      </c>
      <c r="H727" s="211" t="str">
        <f>IFERROR(VLOOKUP(D727,Consolidado!$E$3:$K$311,7,0),"")</f>
        <v/>
      </c>
      <c r="I727" s="257"/>
    </row>
    <row r="728" spans="4:10">
      <c r="D728" s="267">
        <v>12858</v>
      </c>
      <c r="E728" s="211" t="s">
        <v>26</v>
      </c>
      <c r="F728" s="263" t="str">
        <f>IFERROR(IF(COUNTIF(Consolidado!$E$3:$E$358,'Range de Logins'!$D728)&gt;0,"Em uso","Livre"),"-")</f>
        <v>Livre</v>
      </c>
      <c r="G728" s="211" t="s">
        <v>1265</v>
      </c>
      <c r="H728" s="211" t="str">
        <f>IFERROR(VLOOKUP(D728,Consolidado!$E$3:$K$311,7,0),"")</f>
        <v/>
      </c>
      <c r="I728" s="257"/>
    </row>
    <row r="729" spans="4:10">
      <c r="D729" s="267">
        <v>12859</v>
      </c>
      <c r="E729" s="211" t="s">
        <v>26</v>
      </c>
      <c r="F729" s="263" t="str">
        <f>IFERROR(IF(COUNTIF(Consolidado!$E$3:$E$358,'Range de Logins'!$D729)&gt;0,"Em uso","Livre"),"-")</f>
        <v>Livre</v>
      </c>
      <c r="G729" s="211" t="s">
        <v>1265</v>
      </c>
      <c r="H729" s="211" t="str">
        <f>IFERROR(VLOOKUP(D729,Consolidado!$E$3:$K$311,7,0),"")</f>
        <v/>
      </c>
      <c r="I729" s="260" t="s">
        <v>1267</v>
      </c>
      <c r="J729" s="203"/>
    </row>
    <row r="730" spans="4:10">
      <c r="D730" s="267">
        <v>12860</v>
      </c>
      <c r="E730" s="211" t="s">
        <v>26</v>
      </c>
      <c r="F730" s="263" t="str">
        <f>IFERROR(IF(COUNTIF(Consolidado!$E$3:$E$358,'Range de Logins'!$D730)&gt;0,"Em uso","Livre"),"-")</f>
        <v>Livre</v>
      </c>
      <c r="G730" s="211" t="s">
        <v>1265</v>
      </c>
      <c r="H730" s="211" t="str">
        <f>IFERROR(VLOOKUP(D730,Consolidado!$E$3:$K$311,7,0),"")</f>
        <v/>
      </c>
      <c r="I730" s="257"/>
    </row>
    <row r="731" spans="4:10">
      <c r="D731" s="267">
        <v>12861</v>
      </c>
      <c r="E731" s="211" t="s">
        <v>26</v>
      </c>
      <c r="F731" s="263" t="str">
        <f>IFERROR(IF(COUNTIF(Consolidado!$E$3:$E$358,'Range de Logins'!$D731)&gt;0,"Em uso","Livre"),"-")</f>
        <v>Livre</v>
      </c>
      <c r="G731" s="211" t="s">
        <v>1265</v>
      </c>
      <c r="H731" s="211" t="str">
        <f>IFERROR(VLOOKUP(D731,Consolidado!$E$3:$K$311,7,0),"")</f>
        <v/>
      </c>
      <c r="I731" s="257"/>
    </row>
    <row r="732" spans="4:10">
      <c r="D732" s="267">
        <v>12862</v>
      </c>
      <c r="E732" s="211" t="s">
        <v>26</v>
      </c>
      <c r="F732" s="263" t="str">
        <f>IFERROR(IF(COUNTIF(Consolidado!$E$3:$E$358,'Range de Logins'!$D732)&gt;0,"Em uso","Livre"),"-")</f>
        <v>Livre</v>
      </c>
      <c r="G732" s="211" t="s">
        <v>1265</v>
      </c>
      <c r="H732" s="211" t="str">
        <f>IFERROR(VLOOKUP(D732,Consolidado!$E$3:$K$311,7,0),"")</f>
        <v/>
      </c>
      <c r="I732" s="260" t="s">
        <v>1267</v>
      </c>
      <c r="J732" s="203"/>
    </row>
    <row r="733" spans="4:10">
      <c r="D733" s="267">
        <v>12863</v>
      </c>
      <c r="E733" s="211" t="s">
        <v>26</v>
      </c>
      <c r="F733" s="263" t="str">
        <f>IFERROR(IF(COUNTIF(Consolidado!$E$3:$E$358,'Range de Logins'!$D733)&gt;0,"Em uso","Livre"),"-")</f>
        <v>Livre</v>
      </c>
      <c r="G733" s="211" t="s">
        <v>1265</v>
      </c>
      <c r="H733" s="211" t="str">
        <f>IFERROR(VLOOKUP(D733,Consolidado!$E$3:$K$311,7,0),"")</f>
        <v/>
      </c>
      <c r="I733" s="257"/>
    </row>
    <row r="734" spans="4:10">
      <c r="D734" s="267">
        <v>12864</v>
      </c>
      <c r="E734" s="211" t="s">
        <v>26</v>
      </c>
      <c r="F734" s="263" t="str">
        <f>IFERROR(IF(COUNTIF(Consolidado!$E$3:$E$358,'Range de Logins'!$D734)&gt;0,"Em uso","Livre"),"-")</f>
        <v>Livre</v>
      </c>
      <c r="G734" s="211" t="s">
        <v>1265</v>
      </c>
      <c r="H734" s="211" t="str">
        <f>IFERROR(VLOOKUP(D734,Consolidado!$E$3:$K$311,7,0),"")</f>
        <v/>
      </c>
      <c r="I734" s="257"/>
    </row>
    <row r="735" spans="4:10">
      <c r="D735" s="267">
        <v>12865</v>
      </c>
      <c r="E735" s="211" t="s">
        <v>26</v>
      </c>
      <c r="F735" s="263" t="str">
        <f>IFERROR(IF(COUNTIF(Consolidado!$E$3:$E$358,'Range de Logins'!$D735)&gt;0,"Em uso","Livre"),"-")</f>
        <v>Livre</v>
      </c>
      <c r="G735" s="211" t="s">
        <v>1265</v>
      </c>
      <c r="H735" s="211" t="str">
        <f>IFERROR(VLOOKUP(D735,Consolidado!$E$3:$K$311,7,0),"")</f>
        <v/>
      </c>
      <c r="I735" s="257"/>
    </row>
    <row r="736" spans="4:10">
      <c r="D736" s="267">
        <v>12867</v>
      </c>
      <c r="E736" s="211" t="s">
        <v>26</v>
      </c>
      <c r="F736" s="263" t="str">
        <f>IFERROR(IF(COUNTIF(Consolidado!$E$3:$E$358,'Range de Logins'!$D736)&gt;0,"Em uso","Livre"),"-")</f>
        <v>Livre</v>
      </c>
      <c r="G736" s="211" t="s">
        <v>1265</v>
      </c>
      <c r="H736" s="211" t="str">
        <f>IFERROR(VLOOKUP(D736,Consolidado!$E$3:$K$311,7,0),"")</f>
        <v/>
      </c>
      <c r="I736" s="260" t="s">
        <v>1267</v>
      </c>
      <c r="J736" s="203"/>
    </row>
    <row r="737" spans="4:9">
      <c r="D737" s="267">
        <v>12868</v>
      </c>
      <c r="E737" s="211" t="s">
        <v>26</v>
      </c>
      <c r="F737" s="263" t="str">
        <f>IFERROR(IF(COUNTIF(Consolidado!$E$3:$E$358,'Range de Logins'!$D737)&gt;0,"Em uso","Livre"),"-")</f>
        <v>Livre</v>
      </c>
      <c r="G737" s="211" t="s">
        <v>1265</v>
      </c>
      <c r="H737" s="211" t="str">
        <f>IFERROR(VLOOKUP(D737,Consolidado!$E$3:$K$311,7,0),"")</f>
        <v/>
      </c>
      <c r="I737" s="257"/>
    </row>
    <row r="738" spans="4:9">
      <c r="D738" s="267">
        <v>12869</v>
      </c>
      <c r="E738" s="211" t="s">
        <v>26</v>
      </c>
      <c r="F738" s="263" t="str">
        <f>IFERROR(IF(COUNTIF(Consolidado!$E$3:$E$358,'Range de Logins'!$D738)&gt;0,"Em uso","Livre"),"-")</f>
        <v>Livre</v>
      </c>
      <c r="G738" s="211" t="s">
        <v>1265</v>
      </c>
      <c r="H738" s="211" t="str">
        <f>IFERROR(VLOOKUP(D738,Consolidado!$E$3:$K$311,7,0),"")</f>
        <v/>
      </c>
      <c r="I738" s="257"/>
    </row>
    <row r="739" spans="4:9">
      <c r="D739" s="267">
        <v>12870</v>
      </c>
      <c r="E739" s="211" t="s">
        <v>26</v>
      </c>
      <c r="F739" s="263" t="str">
        <f>IFERROR(IF(COUNTIF(Consolidado!$E$3:$E$358,'Range de Logins'!$D739)&gt;0,"Em uso","Livre"),"-")</f>
        <v>Livre</v>
      </c>
      <c r="G739" s="211" t="s">
        <v>1265</v>
      </c>
      <c r="H739" s="211" t="str">
        <f>IFERROR(VLOOKUP(D739,Consolidado!$E$3:$K$311,7,0),"")</f>
        <v/>
      </c>
      <c r="I739" s="257"/>
    </row>
    <row r="740" spans="4:9">
      <c r="D740" s="267">
        <v>12871</v>
      </c>
      <c r="E740" s="211" t="s">
        <v>26</v>
      </c>
      <c r="F740" s="263" t="str">
        <f>IFERROR(IF(COUNTIF(Consolidado!$E$3:$E$358,'Range de Logins'!$D740)&gt;0,"Em uso","Livre"),"-")</f>
        <v>Livre</v>
      </c>
      <c r="G740" s="211" t="s">
        <v>1265</v>
      </c>
      <c r="H740" s="211" t="str">
        <f>IFERROR(VLOOKUP(D740,Consolidado!$E$3:$K$311,7,0),"")</f>
        <v/>
      </c>
      <c r="I740" s="257"/>
    </row>
    <row r="741" spans="4:9">
      <c r="D741" s="267">
        <v>12872</v>
      </c>
      <c r="E741" s="211" t="s">
        <v>26</v>
      </c>
      <c r="F741" s="263" t="str">
        <f>IFERROR(IF(COUNTIF(Consolidado!$E$3:$E$358,'Range de Logins'!$D741)&gt;0,"Em uso","Livre"),"-")</f>
        <v>Livre</v>
      </c>
      <c r="G741" s="211" t="s">
        <v>1265</v>
      </c>
      <c r="H741" s="211" t="str">
        <f>IFERROR(VLOOKUP(D741,Consolidado!$E$3:$K$311,7,0),"")</f>
        <v/>
      </c>
      <c r="I741" s="257"/>
    </row>
    <row r="742" spans="4:9">
      <c r="D742" s="267">
        <v>12873</v>
      </c>
      <c r="E742" s="211" t="s">
        <v>26</v>
      </c>
      <c r="F742" s="263" t="str">
        <f>IFERROR(IF(COUNTIF(Consolidado!$E$3:$E$358,'Range de Logins'!$D742)&gt;0,"Em uso","Livre"),"-")</f>
        <v>Livre</v>
      </c>
      <c r="G742" s="211" t="s">
        <v>1265</v>
      </c>
      <c r="H742" s="211" t="str">
        <f>IFERROR(VLOOKUP(D742,Consolidado!$E$3:$K$311,7,0),"")</f>
        <v/>
      </c>
      <c r="I742" s="257"/>
    </row>
    <row r="743" spans="4:9">
      <c r="D743" s="267">
        <v>12874</v>
      </c>
      <c r="E743" s="211" t="s">
        <v>26</v>
      </c>
      <c r="F743" s="263" t="str">
        <f>IFERROR(IF(COUNTIF(Consolidado!$E$3:$E$358,'Range de Logins'!$D743)&gt;0,"Em uso","Livre"),"-")</f>
        <v>Livre</v>
      </c>
      <c r="G743" s="211" t="s">
        <v>1265</v>
      </c>
      <c r="H743" s="211" t="str">
        <f>IFERROR(VLOOKUP(D743,Consolidado!$E$3:$K$311,7,0),"")</f>
        <v/>
      </c>
      <c r="I743" s="257"/>
    </row>
    <row r="744" spans="4:9">
      <c r="D744" s="267">
        <v>12875</v>
      </c>
      <c r="E744" s="211" t="s">
        <v>26</v>
      </c>
      <c r="F744" s="263" t="str">
        <f>IFERROR(IF(COUNTIF(Consolidado!$E$3:$E$358,'Range de Logins'!$D744)&gt;0,"Em uso","Livre"),"-")</f>
        <v>Livre</v>
      </c>
      <c r="G744" s="211" t="s">
        <v>1265</v>
      </c>
      <c r="H744" s="211" t="str">
        <f>IFERROR(VLOOKUP(D744,Consolidado!$E$3:$K$311,7,0),"")</f>
        <v/>
      </c>
      <c r="I744" s="257"/>
    </row>
    <row r="745" spans="4:9">
      <c r="D745" s="267">
        <v>12876</v>
      </c>
      <c r="E745" s="211" t="s">
        <v>26</v>
      </c>
      <c r="F745" s="263" t="str">
        <f>IFERROR(IF(COUNTIF(Consolidado!$E$3:$E$358,'Range de Logins'!$D745)&gt;0,"Em uso","Livre"),"-")</f>
        <v>Livre</v>
      </c>
      <c r="G745" s="211" t="s">
        <v>1265</v>
      </c>
      <c r="H745" s="211" t="str">
        <f>IFERROR(VLOOKUP(D745,Consolidado!$E$3:$K$311,7,0),"")</f>
        <v/>
      </c>
      <c r="I745" s="257"/>
    </row>
    <row r="746" spans="4:9">
      <c r="D746" s="267">
        <v>12877</v>
      </c>
      <c r="E746" s="211" t="s">
        <v>26</v>
      </c>
      <c r="F746" s="263" t="str">
        <f>IFERROR(IF(COUNTIF(Consolidado!$E$3:$E$358,'Range de Logins'!$D746)&gt;0,"Em uso","Livre"),"-")</f>
        <v>Livre</v>
      </c>
      <c r="G746" s="211" t="s">
        <v>1265</v>
      </c>
      <c r="H746" s="211" t="str">
        <f>IFERROR(VLOOKUP(D746,Consolidado!$E$3:$K$311,7,0),"")</f>
        <v/>
      </c>
      <c r="I746" s="257"/>
    </row>
    <row r="747" spans="4:9">
      <c r="D747" s="267">
        <v>12879</v>
      </c>
      <c r="E747" s="211" t="s">
        <v>26</v>
      </c>
      <c r="F747" s="263" t="str">
        <f>IFERROR(IF(COUNTIF(Consolidado!$E$3:$E$358,'Range de Logins'!$D747)&gt;0,"Em uso","Livre"),"-")</f>
        <v>Livre</v>
      </c>
      <c r="G747" s="211" t="s">
        <v>1265</v>
      </c>
      <c r="H747" s="211" t="str">
        <f>IFERROR(VLOOKUP(D747,Consolidado!$E$3:$K$311,7,0),"")</f>
        <v/>
      </c>
      <c r="I747" s="257"/>
    </row>
    <row r="748" spans="4:9">
      <c r="D748" s="267">
        <v>12880</v>
      </c>
      <c r="E748" s="211">
        <v>850497</v>
      </c>
      <c r="F748" s="263" t="str">
        <f>IFERROR(IF(COUNTIF(Consolidado!$E$3:$E$358,'Range de Logins'!$D748)&gt;0,"Em uso","Livre"),"-")</f>
        <v>Livre</v>
      </c>
      <c r="G748" s="211" t="s">
        <v>1065</v>
      </c>
      <c r="H748" s="211" t="str">
        <f>IFERROR(VLOOKUP(D748,Consolidado!$E$3:$K$311,7,0),"")</f>
        <v/>
      </c>
      <c r="I748" s="257"/>
    </row>
    <row r="749" spans="4:9">
      <c r="D749" s="267">
        <v>12881</v>
      </c>
      <c r="E749" s="211" t="s">
        <v>26</v>
      </c>
      <c r="F749" s="263" t="str">
        <f>IFERROR(IF(COUNTIF(Consolidado!$E$3:$E$358,'Range de Logins'!$D749)&gt;0,"Em uso","Livre"),"-")</f>
        <v>Livre</v>
      </c>
      <c r="G749" s="211" t="s">
        <v>1265</v>
      </c>
      <c r="H749" s="211" t="str">
        <f>IFERROR(VLOOKUP(D749,Consolidado!$E$3:$K$311,7,0),"")</f>
        <v/>
      </c>
      <c r="I749" s="257"/>
    </row>
    <row r="750" spans="4:9">
      <c r="D750" s="267">
        <v>12882</v>
      </c>
      <c r="E750" s="211">
        <v>706560</v>
      </c>
      <c r="F750" s="263" t="str">
        <f>IFERROR(IF(COUNTIF(Consolidado!$E$3:$E$358,'Range de Logins'!$D750)&gt;0,"Em uso","Livre"),"-")</f>
        <v>Livre</v>
      </c>
      <c r="G750" s="211" t="s">
        <v>1065</v>
      </c>
      <c r="H750" s="211" t="str">
        <f>IFERROR(VLOOKUP(D750,Consolidado!$E$3:$K$311,7,0),"")</f>
        <v/>
      </c>
      <c r="I750" s="257"/>
    </row>
    <row r="751" spans="4:9">
      <c r="D751" s="267">
        <v>12883</v>
      </c>
      <c r="E751" s="211" t="s">
        <v>26</v>
      </c>
      <c r="F751" s="263" t="str">
        <f>IFERROR(IF(COUNTIF(Consolidado!$E$3:$E$358,'Range de Logins'!$D751)&gt;0,"Em uso","Livre"),"-")</f>
        <v>Livre</v>
      </c>
      <c r="G751" s="211" t="s">
        <v>1265</v>
      </c>
      <c r="H751" s="211" t="str">
        <f>IFERROR(VLOOKUP(D751,Consolidado!$E$3:$K$311,7,0),"")</f>
        <v/>
      </c>
      <c r="I751" s="257"/>
    </row>
    <row r="752" spans="4:9">
      <c r="D752" s="267">
        <v>12884</v>
      </c>
      <c r="E752" s="211" t="s">
        <v>26</v>
      </c>
      <c r="F752" s="263" t="str">
        <f>IFERROR(IF(COUNTIF(Consolidado!$E$3:$E$358,'Range de Logins'!$D752)&gt;0,"Em uso","Livre"),"-")</f>
        <v>Livre</v>
      </c>
      <c r="G752" s="211" t="s">
        <v>1265</v>
      </c>
      <c r="H752" s="211" t="str">
        <f>IFERROR(VLOOKUP(D752,Consolidado!$E$3:$K$311,7,0),"")</f>
        <v/>
      </c>
      <c r="I752" s="257"/>
    </row>
    <row r="753" spans="4:9">
      <c r="D753" s="267">
        <v>12885</v>
      </c>
      <c r="E753" s="211" t="s">
        <v>26</v>
      </c>
      <c r="F753" s="263" t="str">
        <f>IFERROR(IF(COUNTIF(Consolidado!$E$3:$E$358,'Range de Logins'!$D753)&gt;0,"Em uso","Livre"),"-")</f>
        <v>Livre</v>
      </c>
      <c r="G753" s="211" t="s">
        <v>1265</v>
      </c>
      <c r="H753" s="211" t="str">
        <f>IFERROR(VLOOKUP(D753,Consolidado!$E$3:$K$311,7,0),"")</f>
        <v/>
      </c>
      <c r="I753" s="257"/>
    </row>
    <row r="754" spans="4:9">
      <c r="D754" s="267">
        <v>12886</v>
      </c>
      <c r="E754" s="211" t="s">
        <v>26</v>
      </c>
      <c r="F754" s="263" t="str">
        <f>IFERROR(IF(COUNTIF(Consolidado!$E$3:$E$358,'Range de Logins'!$D754)&gt;0,"Em uso","Livre"),"-")</f>
        <v>Livre</v>
      </c>
      <c r="G754" s="211" t="s">
        <v>1265</v>
      </c>
      <c r="H754" s="211" t="str">
        <f>IFERROR(VLOOKUP(D754,Consolidado!$E$3:$K$311,7,0),"")</f>
        <v/>
      </c>
      <c r="I754" s="257"/>
    </row>
    <row r="755" spans="4:9">
      <c r="D755" s="267">
        <v>12887</v>
      </c>
      <c r="E755" s="211" t="s">
        <v>26</v>
      </c>
      <c r="F755" s="263" t="str">
        <f>IFERROR(IF(COUNTIF(Consolidado!$E$3:$E$358,'Range de Logins'!$D755)&gt;0,"Em uso","Livre"),"-")</f>
        <v>Livre</v>
      </c>
      <c r="G755" s="211" t="s">
        <v>1265</v>
      </c>
      <c r="H755" s="211" t="str">
        <f>IFERROR(VLOOKUP(D755,Consolidado!$E$3:$K$311,7,0),"")</f>
        <v/>
      </c>
      <c r="I755" s="257"/>
    </row>
    <row r="756" spans="4:9">
      <c r="D756" s="267">
        <v>12888</v>
      </c>
      <c r="E756" s="211" t="s">
        <v>26</v>
      </c>
      <c r="F756" s="263" t="str">
        <f>IFERROR(IF(COUNTIF(Consolidado!$E$3:$E$358,'Range de Logins'!$D756)&gt;0,"Em uso","Livre"),"-")</f>
        <v>Livre</v>
      </c>
      <c r="G756" s="211" t="s">
        <v>1265</v>
      </c>
      <c r="H756" s="211" t="str">
        <f>IFERROR(VLOOKUP(D756,Consolidado!$E$3:$K$311,7,0),"")</f>
        <v/>
      </c>
      <c r="I756" s="257"/>
    </row>
    <row r="757" spans="4:9">
      <c r="D757" s="267">
        <v>12889</v>
      </c>
      <c r="E757" s="211" t="s">
        <v>26</v>
      </c>
      <c r="F757" s="263" t="str">
        <f>IFERROR(IF(COUNTIF(Consolidado!$E$3:$E$358,'Range de Logins'!$D757)&gt;0,"Em uso","Livre"),"-")</f>
        <v>Livre</v>
      </c>
      <c r="G757" s="211" t="s">
        <v>1265</v>
      </c>
      <c r="H757" s="211" t="str">
        <f>IFERROR(VLOOKUP(D757,Consolidado!$E$3:$K$311,7,0),"")</f>
        <v/>
      </c>
      <c r="I757" s="257"/>
    </row>
    <row r="758" spans="4:9">
      <c r="D758" s="267">
        <v>12890</v>
      </c>
      <c r="E758" s="211" t="s">
        <v>26</v>
      </c>
      <c r="F758" s="263" t="str">
        <f>IFERROR(IF(COUNTIF(Consolidado!$E$3:$E$358,'Range de Logins'!$D758)&gt;0,"Em uso","Livre"),"-")</f>
        <v>Livre</v>
      </c>
      <c r="G758" s="211" t="s">
        <v>1265</v>
      </c>
      <c r="H758" s="211" t="str">
        <f>IFERROR(VLOOKUP(D758,Consolidado!$E$3:$K$311,7,0),"")</f>
        <v/>
      </c>
      <c r="I758" s="257"/>
    </row>
    <row r="759" spans="4:9">
      <c r="D759" s="267">
        <v>12891</v>
      </c>
      <c r="E759" s="211" t="s">
        <v>26</v>
      </c>
      <c r="F759" s="263" t="str">
        <f>IFERROR(IF(COUNTIF(Consolidado!$E$3:$E$358,'Range de Logins'!$D759)&gt;0,"Em uso","Livre"),"-")</f>
        <v>Livre</v>
      </c>
      <c r="G759" s="211" t="s">
        <v>1265</v>
      </c>
      <c r="H759" s="211" t="str">
        <f>IFERROR(VLOOKUP(D759,Consolidado!$E$3:$K$311,7,0),"")</f>
        <v/>
      </c>
      <c r="I759" s="257"/>
    </row>
    <row r="760" spans="4:9">
      <c r="D760" s="267">
        <v>12892</v>
      </c>
      <c r="E760" s="211" t="s">
        <v>26</v>
      </c>
      <c r="F760" s="263" t="str">
        <f>IFERROR(IF(COUNTIF(Consolidado!$E$3:$E$358,'Range de Logins'!$D760)&gt;0,"Em uso","Livre"),"-")</f>
        <v>Livre</v>
      </c>
      <c r="G760" s="211" t="s">
        <v>1265</v>
      </c>
      <c r="H760" s="211" t="str">
        <f>IFERROR(VLOOKUP(D760,Consolidado!$E$3:$K$311,7,0),"")</f>
        <v/>
      </c>
      <c r="I760" s="257"/>
    </row>
    <row r="761" spans="4:9">
      <c r="D761" s="267">
        <v>12893</v>
      </c>
      <c r="E761" s="211" t="s">
        <v>26</v>
      </c>
      <c r="F761" s="263" t="str">
        <f>IFERROR(IF(COUNTIF(Consolidado!$E$3:$E$358,'Range de Logins'!$D761)&gt;0,"Em uso","Livre"),"-")</f>
        <v>Livre</v>
      </c>
      <c r="G761" s="211" t="s">
        <v>1265</v>
      </c>
      <c r="H761" s="211" t="str">
        <f>IFERROR(VLOOKUP(D761,Consolidado!$E$3:$K$311,7,0),"")</f>
        <v/>
      </c>
      <c r="I761" s="257"/>
    </row>
    <row r="762" spans="4:9">
      <c r="D762" s="267">
        <v>12894</v>
      </c>
      <c r="E762" s="211" t="s">
        <v>26</v>
      </c>
      <c r="F762" s="263" t="str">
        <f>IFERROR(IF(COUNTIF(Consolidado!$E$3:$E$358,'Range de Logins'!$D762)&gt;0,"Em uso","Livre"),"-")</f>
        <v>Livre</v>
      </c>
      <c r="G762" s="211" t="s">
        <v>1265</v>
      </c>
      <c r="H762" s="211" t="str">
        <f>IFERROR(VLOOKUP(D762,Consolidado!$E$3:$K$311,7,0),"")</f>
        <v/>
      </c>
      <c r="I762" s="257"/>
    </row>
    <row r="763" spans="4:9">
      <c r="D763" s="267">
        <v>12895</v>
      </c>
      <c r="E763" s="211" t="s">
        <v>26</v>
      </c>
      <c r="F763" s="263" t="str">
        <f>IFERROR(IF(COUNTIF(Consolidado!$E$3:$E$358,'Range de Logins'!$D763)&gt;0,"Em uso","Livre"),"-")</f>
        <v>Livre</v>
      </c>
      <c r="G763" s="211" t="s">
        <v>1265</v>
      </c>
      <c r="H763" s="211" t="str">
        <f>IFERROR(VLOOKUP(D763,Consolidado!$E$3:$K$311,7,0),"")</f>
        <v/>
      </c>
      <c r="I763" s="257"/>
    </row>
    <row r="764" spans="4:9">
      <c r="D764" s="267">
        <v>12896</v>
      </c>
      <c r="E764" s="211" t="s">
        <v>26</v>
      </c>
      <c r="F764" s="263" t="str">
        <f>IFERROR(IF(COUNTIF(Consolidado!$E$3:$E$358,'Range de Logins'!$D764)&gt;0,"Em uso","Livre"),"-")</f>
        <v>Livre</v>
      </c>
      <c r="G764" s="211" t="s">
        <v>1265</v>
      </c>
      <c r="H764" s="211" t="str">
        <f>IFERROR(VLOOKUP(D764,Consolidado!$E$3:$K$311,7,0),"")</f>
        <v/>
      </c>
      <c r="I764" s="257"/>
    </row>
    <row r="765" spans="4:9">
      <c r="D765" s="267">
        <v>12897</v>
      </c>
      <c r="E765" s="211" t="s">
        <v>26</v>
      </c>
      <c r="F765" s="263" t="str">
        <f>IFERROR(IF(COUNTIF(Consolidado!$E$3:$E$358,'Range de Logins'!$D765)&gt;0,"Em uso","Livre"),"-")</f>
        <v>Livre</v>
      </c>
      <c r="G765" s="211" t="s">
        <v>1265</v>
      </c>
      <c r="H765" s="211" t="str">
        <f>IFERROR(VLOOKUP(D765,Consolidado!$E$3:$K$311,7,0),"")</f>
        <v/>
      </c>
      <c r="I765" s="257"/>
    </row>
    <row r="766" spans="4:9">
      <c r="D766" s="267">
        <v>12898</v>
      </c>
      <c r="E766" s="211" t="s">
        <v>26</v>
      </c>
      <c r="F766" s="263" t="str">
        <f>IFERROR(IF(COUNTIF(Consolidado!$E$3:$E$358,'Range de Logins'!$D766)&gt;0,"Em uso","Livre"),"-")</f>
        <v>Livre</v>
      </c>
      <c r="G766" s="211" t="s">
        <v>1265</v>
      </c>
      <c r="H766" s="211" t="str">
        <f>IFERROR(VLOOKUP(D766,Consolidado!$E$3:$K$311,7,0),"")</f>
        <v/>
      </c>
      <c r="I766" s="257"/>
    </row>
    <row r="767" spans="4:9">
      <c r="D767" s="267">
        <v>12899</v>
      </c>
      <c r="E767" s="211" t="s">
        <v>26</v>
      </c>
      <c r="F767" s="263" t="str">
        <f>IFERROR(IF(COUNTIF(Consolidado!$E$3:$E$358,'Range de Logins'!$D767)&gt;0,"Em uso","Livre"),"-")</f>
        <v>Livre</v>
      </c>
      <c r="G767" s="211" t="s">
        <v>1265</v>
      </c>
      <c r="H767" s="211" t="str">
        <f>IFERROR(VLOOKUP(D767,Consolidado!$E$3:$K$311,7,0),"")</f>
        <v/>
      </c>
      <c r="I767" s="257"/>
    </row>
    <row r="768" spans="4:9">
      <c r="D768" s="267">
        <v>12900</v>
      </c>
      <c r="E768" s="211" t="s">
        <v>26</v>
      </c>
      <c r="F768" s="263" t="str">
        <f>IFERROR(IF(COUNTIF(Consolidado!$E$3:$E$358,'Range de Logins'!$D768)&gt;0,"Em uso","Livre"),"-")</f>
        <v>Livre</v>
      </c>
      <c r="G768" s="211" t="s">
        <v>1265</v>
      </c>
      <c r="H768" s="211" t="str">
        <f>IFERROR(VLOOKUP(D768,Consolidado!$E$3:$K$311,7,0),"")</f>
        <v/>
      </c>
      <c r="I768" s="257"/>
    </row>
    <row r="769" spans="4:9">
      <c r="D769" s="267">
        <v>12901</v>
      </c>
      <c r="E769" s="211" t="s">
        <v>26</v>
      </c>
      <c r="F769" s="263" t="str">
        <f>IFERROR(IF(COUNTIF(Consolidado!$E$3:$E$358,'Range de Logins'!$D769)&gt;0,"Em uso","Livre"),"-")</f>
        <v>Livre</v>
      </c>
      <c r="G769" s="211" t="s">
        <v>1265</v>
      </c>
      <c r="H769" s="211" t="str">
        <f>IFERROR(VLOOKUP(D769,Consolidado!$E$3:$K$311,7,0),"")</f>
        <v/>
      </c>
      <c r="I769" s="257"/>
    </row>
    <row r="770" spans="4:9">
      <c r="D770" s="267">
        <v>12902</v>
      </c>
      <c r="E770" s="211" t="s">
        <v>26</v>
      </c>
      <c r="F770" s="263" t="str">
        <f>IFERROR(IF(COUNTIF(Consolidado!$E$3:$E$358,'Range de Logins'!$D770)&gt;0,"Em uso","Livre"),"-")</f>
        <v>Livre</v>
      </c>
      <c r="G770" s="211" t="s">
        <v>1065</v>
      </c>
      <c r="H770" s="211" t="str">
        <f>IFERROR(VLOOKUP(D770,Consolidado!$E$3:$K$311,7,0),"")</f>
        <v/>
      </c>
      <c r="I770" s="257"/>
    </row>
    <row r="771" spans="4:9">
      <c r="D771" s="267">
        <v>12904</v>
      </c>
      <c r="E771" s="211" t="s">
        <v>26</v>
      </c>
      <c r="F771" s="263" t="str">
        <f>IFERROR(IF(COUNTIF(Consolidado!$E$3:$E$358,'Range de Logins'!$D771)&gt;0,"Em uso","Livre"),"-")</f>
        <v>Livre</v>
      </c>
      <c r="G771" s="211" t="s">
        <v>1265</v>
      </c>
      <c r="H771" s="211" t="str">
        <f>IFERROR(VLOOKUP(D771,Consolidado!$E$3:$K$311,7,0),"")</f>
        <v/>
      </c>
      <c r="I771" s="257"/>
    </row>
    <row r="772" spans="4:9">
      <c r="D772" s="267">
        <v>12905</v>
      </c>
      <c r="E772" s="211" t="s">
        <v>26</v>
      </c>
      <c r="F772" s="263" t="str">
        <f>IFERROR(IF(COUNTIF(Consolidado!$E$3:$E$358,'Range de Logins'!$D772)&gt;0,"Em uso","Livre"),"-")</f>
        <v>Em uso</v>
      </c>
      <c r="G772" s="211" t="s">
        <v>1265</v>
      </c>
      <c r="H772" s="211" t="str">
        <f>IFERROR(VLOOKUP(D772,Consolidado!$E$3:$K$311,7,0),"")</f>
        <v>Treinamento</v>
      </c>
      <c r="I772" s="257"/>
    </row>
    <row r="773" spans="4:9">
      <c r="D773" s="267">
        <v>12906</v>
      </c>
      <c r="E773" s="211" t="s">
        <v>26</v>
      </c>
      <c r="F773" s="263" t="str">
        <f>IFERROR(IF(COUNTIF(Consolidado!$E$3:$E$358,'Range de Logins'!$D773)&gt;0,"Em uso","Livre"),"-")</f>
        <v>Livre</v>
      </c>
      <c r="G773" s="211" t="s">
        <v>1265</v>
      </c>
      <c r="H773" s="211" t="str">
        <f>IFERROR(VLOOKUP(D773,Consolidado!$E$3:$K$311,7,0),"")</f>
        <v/>
      </c>
      <c r="I773" s="257"/>
    </row>
    <row r="774" spans="4:9">
      <c r="D774" s="267">
        <v>12907</v>
      </c>
      <c r="E774" s="211" t="s">
        <v>26</v>
      </c>
      <c r="F774" s="263" t="str">
        <f>IFERROR(IF(COUNTIF(Consolidado!$E$3:$E$358,'Range de Logins'!$D774)&gt;0,"Em uso","Livre"),"-")</f>
        <v>Livre</v>
      </c>
      <c r="G774" s="211" t="s">
        <v>1265</v>
      </c>
      <c r="H774" s="211" t="str">
        <f>IFERROR(VLOOKUP(D774,Consolidado!$E$3:$K$311,7,0),"")</f>
        <v/>
      </c>
      <c r="I774" s="257"/>
    </row>
    <row r="775" spans="4:9">
      <c r="D775" s="267">
        <v>12908</v>
      </c>
      <c r="E775" s="211" t="s">
        <v>26</v>
      </c>
      <c r="F775" s="263" t="str">
        <f>IFERROR(IF(COUNTIF(Consolidado!$E$3:$E$358,'Range de Logins'!$D775)&gt;0,"Em uso","Livre"),"-")</f>
        <v>Livre</v>
      </c>
      <c r="G775" s="211" t="s">
        <v>1265</v>
      </c>
      <c r="H775" s="211" t="str">
        <f>IFERROR(VLOOKUP(D775,Consolidado!$E$3:$K$311,7,0),"")</f>
        <v/>
      </c>
      <c r="I775" s="257"/>
    </row>
    <row r="776" spans="4:9">
      <c r="D776" s="267">
        <v>12909</v>
      </c>
      <c r="E776" s="211" t="s">
        <v>26</v>
      </c>
      <c r="F776" s="263" t="str">
        <f>IFERROR(IF(COUNTIF(Consolidado!$E$3:$E$358,'Range de Logins'!$D776)&gt;0,"Em uso","Livre"),"-")</f>
        <v>Livre</v>
      </c>
      <c r="G776" s="211" t="s">
        <v>1265</v>
      </c>
      <c r="H776" s="211" t="str">
        <f>IFERROR(VLOOKUP(D776,Consolidado!$E$3:$K$311,7,0),"")</f>
        <v/>
      </c>
      <c r="I776" s="257"/>
    </row>
    <row r="777" spans="4:9">
      <c r="D777" s="267">
        <v>12910</v>
      </c>
      <c r="E777" s="211" t="s">
        <v>26</v>
      </c>
      <c r="F777" s="263" t="str">
        <f>IFERROR(IF(COUNTIF(Consolidado!$E$3:$E$358,'Range de Logins'!$D777)&gt;0,"Em uso","Livre"),"-")</f>
        <v>Livre</v>
      </c>
      <c r="G777" s="211" t="s">
        <v>1265</v>
      </c>
      <c r="H777" s="211" t="str">
        <f>IFERROR(VLOOKUP(D777,Consolidado!$E$3:$K$311,7,0),"")</f>
        <v/>
      </c>
      <c r="I777" s="257"/>
    </row>
    <row r="778" spans="4:9">
      <c r="D778" s="267">
        <v>12911</v>
      </c>
      <c r="E778" s="211" t="s">
        <v>26</v>
      </c>
      <c r="F778" s="263" t="str">
        <f>IFERROR(IF(COUNTIF(Consolidado!$E$3:$E$358,'Range de Logins'!$D778)&gt;0,"Em uso","Livre"),"-")</f>
        <v>Livre</v>
      </c>
      <c r="G778" s="211" t="s">
        <v>1265</v>
      </c>
      <c r="H778" s="211" t="str">
        <f>IFERROR(VLOOKUP(D778,Consolidado!$E$3:$K$311,7,0),"")</f>
        <v/>
      </c>
      <c r="I778" s="257"/>
    </row>
    <row r="779" spans="4:9">
      <c r="D779" s="267">
        <v>12912</v>
      </c>
      <c r="E779" s="211" t="s">
        <v>26</v>
      </c>
      <c r="F779" s="263" t="str">
        <f>IFERROR(IF(COUNTIF(Consolidado!$E$3:$E$358,'Range de Logins'!$D779)&gt;0,"Em uso","Livre"),"-")</f>
        <v>Livre</v>
      </c>
      <c r="G779" s="211" t="s">
        <v>1265</v>
      </c>
      <c r="H779" s="211" t="str">
        <f>IFERROR(VLOOKUP(D779,Consolidado!$E$3:$K$311,7,0),"")</f>
        <v/>
      </c>
      <c r="I779" s="257"/>
    </row>
    <row r="780" spans="4:9">
      <c r="D780" s="267">
        <v>12913</v>
      </c>
      <c r="E780" s="211" t="s">
        <v>26</v>
      </c>
      <c r="F780" s="263" t="str">
        <f>IFERROR(IF(COUNTIF(Consolidado!$E$3:$E$358,'Range de Logins'!$D780)&gt;0,"Em uso","Livre"),"-")</f>
        <v>Livre</v>
      </c>
      <c r="G780" s="211" t="s">
        <v>1265</v>
      </c>
      <c r="H780" s="211" t="str">
        <f>IFERROR(VLOOKUP(D780,Consolidado!$E$3:$K$311,7,0),"")</f>
        <v/>
      </c>
      <c r="I780" s="257"/>
    </row>
    <row r="781" spans="4:9">
      <c r="D781" s="267">
        <v>12914</v>
      </c>
      <c r="E781" s="211" t="s">
        <v>26</v>
      </c>
      <c r="F781" s="263" t="str">
        <f>IFERROR(IF(COUNTIF(Consolidado!$E$3:$E$358,'Range de Logins'!$D781)&gt;0,"Em uso","Livre"),"-")</f>
        <v>Livre</v>
      </c>
      <c r="G781" s="211" t="s">
        <v>1265</v>
      </c>
      <c r="H781" s="211" t="str">
        <f>IFERROR(VLOOKUP(D781,Consolidado!$E$3:$K$311,7,0),"")</f>
        <v/>
      </c>
      <c r="I781" s="257"/>
    </row>
    <row r="782" spans="4:9">
      <c r="D782" s="267">
        <v>12915</v>
      </c>
      <c r="E782" s="211" t="s">
        <v>26</v>
      </c>
      <c r="F782" s="263" t="str">
        <f>IFERROR(IF(COUNTIF(Consolidado!$E$3:$E$358,'Range de Logins'!$D782)&gt;0,"Em uso","Livre"),"-")</f>
        <v>Livre</v>
      </c>
      <c r="G782" s="211" t="s">
        <v>1265</v>
      </c>
      <c r="H782" s="211" t="str">
        <f>IFERROR(VLOOKUP(D782,Consolidado!$E$3:$K$311,7,0),"")</f>
        <v/>
      </c>
      <c r="I782" s="257"/>
    </row>
    <row r="783" spans="4:9">
      <c r="D783" s="267">
        <v>12916</v>
      </c>
      <c r="E783" s="211" t="s">
        <v>26</v>
      </c>
      <c r="F783" s="263" t="str">
        <f>IFERROR(IF(COUNTIF(Consolidado!$E$3:$E$358,'Range de Logins'!$D783)&gt;0,"Em uso","Livre"),"-")</f>
        <v>Livre</v>
      </c>
      <c r="G783" s="211" t="s">
        <v>1265</v>
      </c>
      <c r="H783" s="211" t="str">
        <f>IFERROR(VLOOKUP(D783,Consolidado!$E$3:$K$311,7,0),"")</f>
        <v/>
      </c>
      <c r="I783" s="257"/>
    </row>
    <row r="784" spans="4:9">
      <c r="D784" s="267">
        <v>12917</v>
      </c>
      <c r="E784" s="211" t="s">
        <v>26</v>
      </c>
      <c r="F784" s="263" t="str">
        <f>IFERROR(IF(COUNTIF(Consolidado!$E$3:$E$358,'Range de Logins'!$D784)&gt;0,"Em uso","Livre"),"-")</f>
        <v>Livre</v>
      </c>
      <c r="G784" s="211" t="s">
        <v>1265</v>
      </c>
      <c r="H784" s="211" t="str">
        <f>IFERROR(VLOOKUP(D784,Consolidado!$E$3:$K$311,7,0),"")</f>
        <v/>
      </c>
      <c r="I784" s="257"/>
    </row>
    <row r="785" spans="4:9">
      <c r="D785" s="267">
        <v>12918</v>
      </c>
      <c r="E785" s="211" t="s">
        <v>26</v>
      </c>
      <c r="F785" s="263" t="str">
        <f>IFERROR(IF(COUNTIF(Consolidado!$E$3:$E$358,'Range de Logins'!$D785)&gt;0,"Em uso","Livre"),"-")</f>
        <v>Livre</v>
      </c>
      <c r="G785" s="211" t="s">
        <v>1265</v>
      </c>
      <c r="H785" s="211" t="str">
        <f>IFERROR(VLOOKUP(D785,Consolidado!$E$3:$K$311,7,0),"")</f>
        <v/>
      </c>
      <c r="I785" s="257"/>
    </row>
    <row r="786" spans="4:9">
      <c r="D786" s="267">
        <v>12919</v>
      </c>
      <c r="E786" s="211" t="s">
        <v>26</v>
      </c>
      <c r="F786" s="263" t="str">
        <f>IFERROR(IF(COUNTIF(Consolidado!$E$3:$E$358,'Range de Logins'!$D786)&gt;0,"Em uso","Livre"),"-")</f>
        <v>Livre</v>
      </c>
      <c r="G786" s="211" t="s">
        <v>1265</v>
      </c>
      <c r="H786" s="211" t="str">
        <f>IFERROR(VLOOKUP(D786,Consolidado!$E$3:$K$311,7,0),"")</f>
        <v/>
      </c>
      <c r="I786" s="257"/>
    </row>
    <row r="787" spans="4:9">
      <c r="D787" s="267">
        <v>12921</v>
      </c>
      <c r="E787" s="211" t="s">
        <v>26</v>
      </c>
      <c r="F787" s="263" t="str">
        <f>IFERROR(IF(COUNTIF(Consolidado!$E$3:$E$358,'Range de Logins'!$D787)&gt;0,"Em uso","Livre"),"-")</f>
        <v>Livre</v>
      </c>
      <c r="G787" s="211" t="s">
        <v>1265</v>
      </c>
      <c r="H787" s="211" t="str">
        <f>IFERROR(VLOOKUP(D787,Consolidado!$E$3:$K$311,7,0),"")</f>
        <v/>
      </c>
      <c r="I787" s="257"/>
    </row>
    <row r="788" spans="4:9">
      <c r="D788" s="267">
        <v>12922</v>
      </c>
      <c r="E788" s="211" t="s">
        <v>26</v>
      </c>
      <c r="F788" s="263" t="str">
        <f>IFERROR(IF(COUNTIF(Consolidado!$E$3:$E$358,'Range de Logins'!$D788)&gt;0,"Em uso","Livre"),"-")</f>
        <v>Livre</v>
      </c>
      <c r="G788" s="211" t="s">
        <v>1265</v>
      </c>
      <c r="H788" s="211" t="str">
        <f>IFERROR(VLOOKUP(D788,Consolidado!$E$3:$K$311,7,0),"")</f>
        <v/>
      </c>
      <c r="I788" s="257"/>
    </row>
    <row r="789" spans="4:9">
      <c r="D789" s="267">
        <v>12923</v>
      </c>
      <c r="E789" s="211" t="s">
        <v>26</v>
      </c>
      <c r="F789" s="263" t="str">
        <f>IFERROR(IF(COUNTIF(Consolidado!$E$3:$E$358,'Range de Logins'!$D789)&gt;0,"Em uso","Livre"),"-")</f>
        <v>Livre</v>
      </c>
      <c r="G789" s="211" t="s">
        <v>1265</v>
      </c>
      <c r="H789" s="211" t="str">
        <f>IFERROR(VLOOKUP(D789,Consolidado!$E$3:$K$311,7,0),"")</f>
        <v/>
      </c>
      <c r="I789" s="257"/>
    </row>
    <row r="790" spans="4:9">
      <c r="D790" s="267">
        <v>12924</v>
      </c>
      <c r="E790" s="211" t="s">
        <v>26</v>
      </c>
      <c r="F790" s="263" t="str">
        <f>IFERROR(IF(COUNTIF(Consolidado!$E$3:$E$358,'Range de Logins'!$D790)&gt;0,"Em uso","Livre"),"-")</f>
        <v>Livre</v>
      </c>
      <c r="G790" s="211" t="s">
        <v>1265</v>
      </c>
      <c r="H790" s="211" t="str">
        <f>IFERROR(VLOOKUP(D790,Consolidado!$E$3:$K$311,7,0),"")</f>
        <v/>
      </c>
      <c r="I790" s="257"/>
    </row>
    <row r="791" spans="4:9">
      <c r="D791" s="267">
        <v>12925</v>
      </c>
      <c r="E791" s="211" t="s">
        <v>26</v>
      </c>
      <c r="F791" s="263" t="str">
        <f>IFERROR(IF(COUNTIF(Consolidado!$E$3:$E$358,'Range de Logins'!$D791)&gt;0,"Em uso","Livre"),"-")</f>
        <v>Livre</v>
      </c>
      <c r="G791" s="211" t="s">
        <v>1265</v>
      </c>
      <c r="H791" s="211" t="str">
        <f>IFERROR(VLOOKUP(D791,Consolidado!$E$3:$K$311,7,0),"")</f>
        <v/>
      </c>
      <c r="I791" s="257"/>
    </row>
    <row r="792" spans="4:9">
      <c r="D792" s="267">
        <v>12926</v>
      </c>
      <c r="E792" s="211">
        <v>833517</v>
      </c>
      <c r="F792" s="263" t="str">
        <f>IFERROR(IF(COUNTIF(Consolidado!$E$3:$E$358,'Range de Logins'!$D792)&gt;0,"Em uso","Livre"),"-")</f>
        <v>Livre</v>
      </c>
      <c r="G792" s="211" t="s">
        <v>1065</v>
      </c>
      <c r="H792" s="211" t="str">
        <f>IFERROR(VLOOKUP(D792,Consolidado!$E$3:$K$311,7,0),"")</f>
        <v/>
      </c>
      <c r="I792" s="257"/>
    </row>
    <row r="793" spans="4:9">
      <c r="D793" s="267">
        <v>12928</v>
      </c>
      <c r="E793" s="211" t="s">
        <v>26</v>
      </c>
      <c r="F793" s="263" t="str">
        <f>IFERROR(IF(COUNTIF(Consolidado!$E$3:$E$358,'Range de Logins'!$D793)&gt;0,"Em uso","Livre"),"-")</f>
        <v>Livre</v>
      </c>
      <c r="G793" s="211" t="s">
        <v>1265</v>
      </c>
      <c r="H793" s="211" t="str">
        <f>IFERROR(VLOOKUP(D793,Consolidado!$E$3:$K$311,7,0),"")</f>
        <v/>
      </c>
      <c r="I793" s="257"/>
    </row>
    <row r="794" spans="4:9">
      <c r="D794" s="267">
        <v>12929</v>
      </c>
      <c r="E794" s="211" t="s">
        <v>26</v>
      </c>
      <c r="F794" s="263" t="str">
        <f>IFERROR(IF(COUNTIF(Consolidado!$E$3:$E$358,'Range de Logins'!$D794)&gt;0,"Em uso","Livre"),"-")</f>
        <v>Livre</v>
      </c>
      <c r="G794" s="211" t="s">
        <v>1265</v>
      </c>
      <c r="H794" s="211" t="str">
        <f>IFERROR(VLOOKUP(D794,Consolidado!$E$3:$K$311,7,0),"")</f>
        <v/>
      </c>
      <c r="I794" s="257"/>
    </row>
    <row r="795" spans="4:9">
      <c r="D795" s="267">
        <v>12930</v>
      </c>
      <c r="E795" s="211" t="s">
        <v>26</v>
      </c>
      <c r="F795" s="263" t="str">
        <f>IFERROR(IF(COUNTIF(Consolidado!$E$3:$E$358,'Range de Logins'!$D795)&gt;0,"Em uso","Livre"),"-")</f>
        <v>Livre</v>
      </c>
      <c r="G795" s="211" t="s">
        <v>1265</v>
      </c>
      <c r="H795" s="211" t="str">
        <f>IFERROR(VLOOKUP(D795,Consolidado!$E$3:$K$311,7,0),"")</f>
        <v/>
      </c>
      <c r="I795" s="257"/>
    </row>
    <row r="796" spans="4:9">
      <c r="D796" s="267">
        <v>12931</v>
      </c>
      <c r="E796" s="211" t="s">
        <v>26</v>
      </c>
      <c r="F796" s="263" t="str">
        <f>IFERROR(IF(COUNTIF(Consolidado!$E$3:$E$358,'Range de Logins'!$D796)&gt;0,"Em uso","Livre"),"-")</f>
        <v>Livre</v>
      </c>
      <c r="G796" s="211" t="s">
        <v>1265</v>
      </c>
      <c r="H796" s="211" t="str">
        <f>IFERROR(VLOOKUP(D796,Consolidado!$E$3:$K$311,7,0),"")</f>
        <v/>
      </c>
      <c r="I796" s="257"/>
    </row>
    <row r="797" spans="4:9">
      <c r="D797" s="267">
        <v>12932</v>
      </c>
      <c r="E797" s="211" t="s">
        <v>26</v>
      </c>
      <c r="F797" s="263" t="str">
        <f>IFERROR(IF(COUNTIF(Consolidado!$E$3:$E$358,'Range de Logins'!$D797)&gt;0,"Em uso","Livre"),"-")</f>
        <v>Livre</v>
      </c>
      <c r="G797" s="211" t="s">
        <v>1265</v>
      </c>
      <c r="H797" s="211" t="str">
        <f>IFERROR(VLOOKUP(D797,Consolidado!$E$3:$K$311,7,0),"")</f>
        <v/>
      </c>
      <c r="I797" s="257"/>
    </row>
    <row r="798" spans="4:9">
      <c r="D798" s="267">
        <v>12933</v>
      </c>
      <c r="E798" s="211" t="s">
        <v>26</v>
      </c>
      <c r="F798" s="263" t="str">
        <f>IFERROR(IF(COUNTIF(Consolidado!$E$3:$E$358,'Range de Logins'!$D798)&gt;0,"Em uso","Livre"),"-")</f>
        <v>Livre</v>
      </c>
      <c r="G798" s="211" t="s">
        <v>1265</v>
      </c>
      <c r="H798" s="211" t="str">
        <f>IFERROR(VLOOKUP(D798,Consolidado!$E$3:$K$311,7,0),"")</f>
        <v/>
      </c>
      <c r="I798" s="257"/>
    </row>
    <row r="799" spans="4:9">
      <c r="D799" s="267">
        <v>12934</v>
      </c>
      <c r="E799" s="211" t="s">
        <v>26</v>
      </c>
      <c r="F799" s="263" t="str">
        <f>IFERROR(IF(COUNTIF(Consolidado!$E$3:$E$358,'Range de Logins'!$D799)&gt;0,"Em uso","Livre"),"-")</f>
        <v>Livre</v>
      </c>
      <c r="G799" s="211" t="s">
        <v>1265</v>
      </c>
      <c r="H799" s="211" t="str">
        <f>IFERROR(VLOOKUP(D799,Consolidado!$E$3:$K$311,7,0),"")</f>
        <v/>
      </c>
      <c r="I799" s="257"/>
    </row>
    <row r="800" spans="4:9">
      <c r="D800" s="267">
        <v>12935</v>
      </c>
      <c r="E800" s="211" t="s">
        <v>26</v>
      </c>
      <c r="F800" s="263" t="str">
        <f>IFERROR(IF(COUNTIF(Consolidado!$E$3:$E$358,'Range de Logins'!$D800)&gt;0,"Em uso","Livre"),"-")</f>
        <v>Livre</v>
      </c>
      <c r="G800" s="211" t="s">
        <v>1265</v>
      </c>
      <c r="H800" s="211" t="str">
        <f>IFERROR(VLOOKUP(D800,Consolidado!$E$3:$K$311,7,0),"")</f>
        <v/>
      </c>
      <c r="I800" s="257"/>
    </row>
    <row r="801" spans="4:9">
      <c r="D801" s="267">
        <v>12936</v>
      </c>
      <c r="E801" s="211" t="s">
        <v>26</v>
      </c>
      <c r="F801" s="263" t="str">
        <f>IFERROR(IF(COUNTIF(Consolidado!$E$3:$E$358,'Range de Logins'!$D801)&gt;0,"Em uso","Livre"),"-")</f>
        <v>Livre</v>
      </c>
      <c r="G801" s="211" t="s">
        <v>1265</v>
      </c>
      <c r="H801" s="211" t="str">
        <f>IFERROR(VLOOKUP(D801,Consolidado!$E$3:$K$311,7,0),"")</f>
        <v/>
      </c>
      <c r="I801" s="257"/>
    </row>
    <row r="802" spans="4:9">
      <c r="D802" s="267">
        <v>12937</v>
      </c>
      <c r="E802" s="211" t="s">
        <v>26</v>
      </c>
      <c r="F802" s="263" t="str">
        <f>IFERROR(IF(COUNTIF(Consolidado!$E$3:$E$358,'Range de Logins'!$D802)&gt;0,"Em uso","Livre"),"-")</f>
        <v>Livre</v>
      </c>
      <c r="G802" s="211" t="s">
        <v>1265</v>
      </c>
      <c r="H802" s="211" t="str">
        <f>IFERROR(VLOOKUP(D802,Consolidado!$E$3:$K$311,7,0),"")</f>
        <v/>
      </c>
      <c r="I802" s="257"/>
    </row>
    <row r="803" spans="4:9">
      <c r="D803" s="267">
        <v>12938</v>
      </c>
      <c r="E803" s="211" t="s">
        <v>26</v>
      </c>
      <c r="F803" s="263" t="str">
        <f>IFERROR(IF(COUNTIF(Consolidado!$E$3:$E$358,'Range de Logins'!$D803)&gt;0,"Em uso","Livre"),"-")</f>
        <v>Livre</v>
      </c>
      <c r="G803" s="211" t="s">
        <v>1265</v>
      </c>
      <c r="H803" s="211" t="str">
        <f>IFERROR(VLOOKUP(D803,Consolidado!$E$3:$K$311,7,0),"")</f>
        <v/>
      </c>
      <c r="I803" s="257"/>
    </row>
    <row r="804" spans="4:9">
      <c r="D804" s="267">
        <v>12939</v>
      </c>
      <c r="E804" s="211" t="s">
        <v>26</v>
      </c>
      <c r="F804" s="263" t="str">
        <f>IFERROR(IF(COUNTIF(Consolidado!$E$3:$E$358,'Range de Logins'!$D804)&gt;0,"Em uso","Livre"),"-")</f>
        <v>Livre</v>
      </c>
      <c r="G804" s="211" t="s">
        <v>1265</v>
      </c>
      <c r="H804" s="211" t="str">
        <f>IFERROR(VLOOKUP(D804,Consolidado!$E$3:$K$311,7,0),"")</f>
        <v/>
      </c>
      <c r="I804" s="257"/>
    </row>
    <row r="805" spans="4:9">
      <c r="D805" s="267">
        <v>12940</v>
      </c>
      <c r="E805" s="211" t="s">
        <v>26</v>
      </c>
      <c r="F805" s="263" t="str">
        <f>IFERROR(IF(COUNTIF(Consolidado!$E$3:$E$358,'Range de Logins'!$D805)&gt;0,"Em uso","Livre"),"-")</f>
        <v>Livre</v>
      </c>
      <c r="G805" s="211" t="s">
        <v>1265</v>
      </c>
      <c r="H805" s="211" t="str">
        <f>IFERROR(VLOOKUP(D805,Consolidado!$E$3:$K$311,7,0),"")</f>
        <v/>
      </c>
      <c r="I805" s="257"/>
    </row>
    <row r="806" spans="4:9">
      <c r="D806" s="267">
        <v>12941</v>
      </c>
      <c r="E806" s="211" t="s">
        <v>26</v>
      </c>
      <c r="F806" s="263" t="str">
        <f>IFERROR(IF(COUNTIF(Consolidado!$E$3:$E$358,'Range de Logins'!$D806)&gt;0,"Em uso","Livre"),"-")</f>
        <v>Livre</v>
      </c>
      <c r="G806" s="211" t="s">
        <v>1265</v>
      </c>
      <c r="H806" s="211" t="str">
        <f>IFERROR(VLOOKUP(D806,Consolidado!$E$3:$K$311,7,0),"")</f>
        <v/>
      </c>
      <c r="I806" s="257"/>
    </row>
    <row r="807" spans="4:9">
      <c r="D807" s="267">
        <v>12942</v>
      </c>
      <c r="E807" s="211" t="s">
        <v>26</v>
      </c>
      <c r="F807" s="263" t="str">
        <f>IFERROR(IF(COUNTIF(Consolidado!$E$3:$E$358,'Range de Logins'!$D807)&gt;0,"Em uso","Livre"),"-")</f>
        <v>Livre</v>
      </c>
      <c r="G807" s="211" t="s">
        <v>1265</v>
      </c>
      <c r="H807" s="211" t="str">
        <f>IFERROR(VLOOKUP(D807,Consolidado!$E$3:$K$311,7,0),"")</f>
        <v/>
      </c>
      <c r="I807" s="257"/>
    </row>
    <row r="808" spans="4:9">
      <c r="D808" s="267">
        <v>12943</v>
      </c>
      <c r="E808" s="211" t="s">
        <v>26</v>
      </c>
      <c r="F808" s="263" t="str">
        <f>IFERROR(IF(COUNTIF(Consolidado!$E$3:$E$358,'Range de Logins'!$D808)&gt;0,"Em uso","Livre"),"-")</f>
        <v>Livre</v>
      </c>
      <c r="G808" s="211" t="s">
        <v>1265</v>
      </c>
      <c r="H808" s="211" t="str">
        <f>IFERROR(VLOOKUP(D808,Consolidado!$E$3:$K$311,7,0),"")</f>
        <v/>
      </c>
      <c r="I808" s="257"/>
    </row>
    <row r="809" spans="4:9">
      <c r="D809" s="267">
        <v>12944</v>
      </c>
      <c r="E809" s="211" t="s">
        <v>26</v>
      </c>
      <c r="F809" s="263" t="str">
        <f>IFERROR(IF(COUNTIF(Consolidado!$E$3:$E$358,'Range de Logins'!$D809)&gt;0,"Em uso","Livre"),"-")</f>
        <v>Livre</v>
      </c>
      <c r="G809" s="211" t="s">
        <v>1265</v>
      </c>
      <c r="H809" s="211" t="str">
        <f>IFERROR(VLOOKUP(D809,Consolidado!$E$3:$K$311,7,0),"")</f>
        <v/>
      </c>
      <c r="I809" s="257"/>
    </row>
    <row r="810" spans="4:9">
      <c r="D810" s="267">
        <v>12945</v>
      </c>
      <c r="E810" s="211" t="s">
        <v>26</v>
      </c>
      <c r="F810" s="263" t="str">
        <f>IFERROR(IF(COUNTIF(Consolidado!$E$3:$E$358,'Range de Logins'!$D810)&gt;0,"Em uso","Livre"),"-")</f>
        <v>Livre</v>
      </c>
      <c r="G810" s="211" t="s">
        <v>1265</v>
      </c>
      <c r="H810" s="211" t="str">
        <f>IFERROR(VLOOKUP(D810,Consolidado!$E$3:$K$311,7,0),"")</f>
        <v/>
      </c>
      <c r="I810" s="257"/>
    </row>
    <row r="811" spans="4:9">
      <c r="D811" s="267">
        <v>12946</v>
      </c>
      <c r="E811" s="211" t="s">
        <v>26</v>
      </c>
      <c r="F811" s="263" t="str">
        <f>IFERROR(IF(COUNTIF(Consolidado!$E$3:$E$358,'Range de Logins'!$D811)&gt;0,"Em uso","Livre"),"-")</f>
        <v>Livre</v>
      </c>
      <c r="G811" s="211" t="s">
        <v>1265</v>
      </c>
      <c r="H811" s="211" t="str">
        <f>IFERROR(VLOOKUP(D811,Consolidado!$E$3:$K$311,7,0),"")</f>
        <v/>
      </c>
      <c r="I811" s="257"/>
    </row>
    <row r="812" spans="4:9">
      <c r="D812" s="267">
        <v>12947</v>
      </c>
      <c r="E812" s="211" t="s">
        <v>26</v>
      </c>
      <c r="F812" s="263" t="str">
        <f>IFERROR(IF(COUNTIF(Consolidado!$E$3:$E$358,'Range de Logins'!$D812)&gt;0,"Em uso","Livre"),"-")</f>
        <v>Livre</v>
      </c>
      <c r="G812" s="211" t="s">
        <v>1265</v>
      </c>
      <c r="H812" s="211" t="str">
        <f>IFERROR(VLOOKUP(D812,Consolidado!$E$3:$K$311,7,0),"")</f>
        <v/>
      </c>
      <c r="I812" s="257"/>
    </row>
    <row r="813" spans="4:9">
      <c r="D813" s="267">
        <v>12948</v>
      </c>
      <c r="E813" s="211" t="s">
        <v>26</v>
      </c>
      <c r="F813" s="263" t="str">
        <f>IFERROR(IF(COUNTIF(Consolidado!$E$3:$E$358,'Range de Logins'!$D813)&gt;0,"Em uso","Livre"),"-")</f>
        <v>Livre</v>
      </c>
      <c r="G813" s="211" t="s">
        <v>1265</v>
      </c>
      <c r="H813" s="211" t="str">
        <f>IFERROR(VLOOKUP(D813,Consolidado!$E$3:$K$311,7,0),"")</f>
        <v/>
      </c>
      <c r="I813" s="257"/>
    </row>
    <row r="814" spans="4:9">
      <c r="D814" s="267">
        <v>12949</v>
      </c>
      <c r="E814" s="211" t="s">
        <v>26</v>
      </c>
      <c r="F814" s="263" t="str">
        <f>IFERROR(IF(COUNTIF(Consolidado!$E$3:$E$358,'Range de Logins'!$D814)&gt;0,"Em uso","Livre"),"-")</f>
        <v>Livre</v>
      </c>
      <c r="G814" s="211" t="s">
        <v>1265</v>
      </c>
      <c r="H814" s="211" t="str">
        <f>IFERROR(VLOOKUP(D814,Consolidado!$E$3:$K$311,7,0),"")</f>
        <v/>
      </c>
      <c r="I814" s="257"/>
    </row>
    <row r="815" spans="4:9">
      <c r="D815" s="267">
        <v>12950</v>
      </c>
      <c r="E815" s="211" t="s">
        <v>26</v>
      </c>
      <c r="F815" s="263" t="str">
        <f>IFERROR(IF(COUNTIF(Consolidado!$E$3:$E$358,'Range de Logins'!$D815)&gt;0,"Em uso","Livre"),"-")</f>
        <v>Livre</v>
      </c>
      <c r="G815" s="211" t="s">
        <v>1265</v>
      </c>
      <c r="H815" s="211" t="str">
        <f>IFERROR(VLOOKUP(D815,Consolidado!$E$3:$K$311,7,0),"")</f>
        <v/>
      </c>
      <c r="I815" s="257"/>
    </row>
    <row r="816" spans="4:9">
      <c r="D816" s="267">
        <v>12951</v>
      </c>
      <c r="E816" s="211" t="s">
        <v>26</v>
      </c>
      <c r="F816" s="263" t="str">
        <f>IFERROR(IF(COUNTIF(Consolidado!$E$3:$E$358,'Range de Logins'!$D816)&gt;0,"Em uso","Livre"),"-")</f>
        <v>Livre</v>
      </c>
      <c r="G816" s="211" t="s">
        <v>1265</v>
      </c>
      <c r="H816" s="211" t="str">
        <f>IFERROR(VLOOKUP(D816,Consolidado!$E$3:$K$311,7,0),"")</f>
        <v/>
      </c>
      <c r="I816" s="257"/>
    </row>
    <row r="817" spans="4:9">
      <c r="D817" s="267">
        <v>12952</v>
      </c>
      <c r="E817" s="211" t="s">
        <v>26</v>
      </c>
      <c r="F817" s="263" t="str">
        <f>IFERROR(IF(COUNTIF(Consolidado!$E$3:$E$358,'Range de Logins'!$D817)&gt;0,"Em uso","Livre"),"-")</f>
        <v>Livre</v>
      </c>
      <c r="G817" s="211" t="s">
        <v>1265</v>
      </c>
      <c r="H817" s="211" t="str">
        <f>IFERROR(VLOOKUP(D817,Consolidado!$E$3:$K$311,7,0),"")</f>
        <v/>
      </c>
      <c r="I817" s="257"/>
    </row>
    <row r="818" spans="4:9">
      <c r="D818" s="267">
        <v>12953</v>
      </c>
      <c r="E818" s="211" t="s">
        <v>26</v>
      </c>
      <c r="F818" s="263" t="str">
        <f>IFERROR(IF(COUNTIF(Consolidado!$E$3:$E$358,'Range de Logins'!$D818)&gt;0,"Em uso","Livre"),"-")</f>
        <v>Livre</v>
      </c>
      <c r="G818" s="211" t="s">
        <v>1265</v>
      </c>
      <c r="H818" s="211" t="str">
        <f>IFERROR(VLOOKUP(D818,Consolidado!$E$3:$K$311,7,0),"")</f>
        <v/>
      </c>
      <c r="I818" s="257"/>
    </row>
    <row r="819" spans="4:9">
      <c r="D819" s="267">
        <v>12954</v>
      </c>
      <c r="E819" s="211" t="s">
        <v>26</v>
      </c>
      <c r="F819" s="263" t="str">
        <f>IFERROR(IF(COUNTIF(Consolidado!$E$3:$E$358,'Range de Logins'!$D819)&gt;0,"Em uso","Livre"),"-")</f>
        <v>Livre</v>
      </c>
      <c r="G819" s="211" t="s">
        <v>1265</v>
      </c>
      <c r="H819" s="211" t="str">
        <f>IFERROR(VLOOKUP(D819,Consolidado!$E$3:$K$311,7,0),"")</f>
        <v/>
      </c>
      <c r="I819" s="257"/>
    </row>
    <row r="820" spans="4:9">
      <c r="D820" s="267">
        <v>12956</v>
      </c>
      <c r="E820" s="211" t="s">
        <v>26</v>
      </c>
      <c r="F820" s="263" t="str">
        <f>IFERROR(IF(COUNTIF(Consolidado!$E$3:$E$358,'Range de Logins'!$D820)&gt;0,"Em uso","Livre"),"-")</f>
        <v>Livre</v>
      </c>
      <c r="G820" s="211" t="s">
        <v>1265</v>
      </c>
      <c r="H820" s="211" t="str">
        <f>IFERROR(VLOOKUP(D820,Consolidado!$E$3:$K$311,7,0),"")</f>
        <v/>
      </c>
      <c r="I820" s="257"/>
    </row>
    <row r="821" spans="4:9">
      <c r="D821" s="267">
        <v>12957</v>
      </c>
      <c r="E821" s="211" t="s">
        <v>26</v>
      </c>
      <c r="F821" s="263" t="str">
        <f>IFERROR(IF(COUNTIF(Consolidado!$E$3:$E$358,'Range de Logins'!$D821)&gt;0,"Em uso","Livre"),"-")</f>
        <v>Livre</v>
      </c>
      <c r="G821" s="211" t="s">
        <v>1265</v>
      </c>
      <c r="H821" s="211" t="str">
        <f>IFERROR(VLOOKUP(D821,Consolidado!$E$3:$K$311,7,0),"")</f>
        <v/>
      </c>
      <c r="I821" s="257"/>
    </row>
    <row r="822" spans="4:9">
      <c r="D822" s="267">
        <v>12958</v>
      </c>
      <c r="E822" s="211" t="s">
        <v>26</v>
      </c>
      <c r="F822" s="263" t="str">
        <f>IFERROR(IF(COUNTIF(Consolidado!$E$3:$E$358,'Range de Logins'!$D822)&gt;0,"Em uso","Livre"),"-")</f>
        <v>Livre</v>
      </c>
      <c r="G822" s="211" t="s">
        <v>1265</v>
      </c>
      <c r="H822" s="211" t="str">
        <f>IFERROR(VLOOKUP(D822,Consolidado!$E$3:$K$311,7,0),"")</f>
        <v/>
      </c>
      <c r="I822" s="257"/>
    </row>
    <row r="823" spans="4:9">
      <c r="D823" s="267">
        <v>12959</v>
      </c>
      <c r="E823" s="211" t="s">
        <v>26</v>
      </c>
      <c r="F823" s="263" t="str">
        <f>IFERROR(IF(COUNTIF(Consolidado!$E$3:$E$358,'Range de Logins'!$D823)&gt;0,"Em uso","Livre"),"-")</f>
        <v>Livre</v>
      </c>
      <c r="G823" s="211" t="s">
        <v>1265</v>
      </c>
      <c r="H823" s="211" t="str">
        <f>IFERROR(VLOOKUP(D823,Consolidado!$E$3:$K$311,7,0),"")</f>
        <v/>
      </c>
      <c r="I823" s="257"/>
    </row>
    <row r="824" spans="4:9">
      <c r="D824" s="267">
        <v>12960</v>
      </c>
      <c r="E824" s="211" t="s">
        <v>26</v>
      </c>
      <c r="F824" s="263" t="str">
        <f>IFERROR(IF(COUNTIF(Consolidado!$E$3:$E$358,'Range de Logins'!$D824)&gt;0,"Em uso","Livre"),"-")</f>
        <v>Livre</v>
      </c>
      <c r="G824" s="211" t="s">
        <v>1265</v>
      </c>
      <c r="H824" s="211" t="str">
        <f>IFERROR(VLOOKUP(D824,Consolidado!$E$3:$K$311,7,0),"")</f>
        <v/>
      </c>
      <c r="I824" s="257"/>
    </row>
    <row r="825" spans="4:9">
      <c r="D825" s="267">
        <v>12961</v>
      </c>
      <c r="E825" s="211">
        <v>719379</v>
      </c>
      <c r="F825" s="263" t="str">
        <f>IFERROR(IF(COUNTIF(Consolidado!$E$3:$E$358,'Range de Logins'!$D825)&gt;0,"Em uso","Livre"),"-")</f>
        <v>Livre</v>
      </c>
      <c r="G825" s="211" t="s">
        <v>1065</v>
      </c>
      <c r="H825" s="211" t="str">
        <f>IFERROR(VLOOKUP(D825,Consolidado!$E$3:$K$311,7,0),"")</f>
        <v/>
      </c>
      <c r="I825" s="257"/>
    </row>
    <row r="826" spans="4:9">
      <c r="D826" s="267">
        <v>12962</v>
      </c>
      <c r="E826" s="211" t="s">
        <v>26</v>
      </c>
      <c r="F826" s="263" t="str">
        <f>IFERROR(IF(COUNTIF(Consolidado!$E$3:$E$358,'Range de Logins'!$D826)&gt;0,"Em uso","Livre"),"-")</f>
        <v>Livre</v>
      </c>
      <c r="G826" s="211" t="s">
        <v>1265</v>
      </c>
      <c r="H826" s="211" t="str">
        <f>IFERROR(VLOOKUP(D826,Consolidado!$E$3:$K$311,7,0),"")</f>
        <v/>
      </c>
      <c r="I826" s="257"/>
    </row>
    <row r="827" spans="4:9">
      <c r="D827" s="267">
        <v>12963</v>
      </c>
      <c r="E827" s="211">
        <v>298756</v>
      </c>
      <c r="F827" s="263" t="str">
        <f>IFERROR(IF(COUNTIF(Consolidado!$E$3:$E$358,'Range de Logins'!$D827)&gt;0,"Em uso","Livre"),"-")</f>
        <v>Livre</v>
      </c>
      <c r="G827" s="211" t="s">
        <v>1065</v>
      </c>
      <c r="H827" s="211" t="str">
        <f>IFERROR(VLOOKUP(D827,Consolidado!$E$3:$K$311,7,0),"")</f>
        <v/>
      </c>
      <c r="I827" s="257"/>
    </row>
    <row r="828" spans="4:9">
      <c r="D828" s="267">
        <v>12964</v>
      </c>
      <c r="E828" s="211" t="s">
        <v>26</v>
      </c>
      <c r="F828" s="263" t="str">
        <f>IFERROR(IF(COUNTIF(Consolidado!$E$3:$E$358,'Range de Logins'!$D828)&gt;0,"Em uso","Livre"),"-")</f>
        <v>Livre</v>
      </c>
      <c r="G828" s="211" t="s">
        <v>1265</v>
      </c>
      <c r="H828" s="211" t="str">
        <f>IFERROR(VLOOKUP(D828,Consolidado!$E$3:$K$311,7,0),"")</f>
        <v/>
      </c>
      <c r="I828" s="257"/>
    </row>
    <row r="829" spans="4:9">
      <c r="D829" s="267">
        <v>12965</v>
      </c>
      <c r="E829" s="211" t="s">
        <v>26</v>
      </c>
      <c r="F829" s="263" t="str">
        <f>IFERROR(IF(COUNTIF(Consolidado!$E$3:$E$358,'Range de Logins'!$D829)&gt;0,"Em uso","Livre"),"-")</f>
        <v>Livre</v>
      </c>
      <c r="G829" s="211" t="s">
        <v>1265</v>
      </c>
      <c r="H829" s="211" t="str">
        <f>IFERROR(VLOOKUP(D829,Consolidado!$E$3:$K$311,7,0),"")</f>
        <v/>
      </c>
      <c r="I829" s="257"/>
    </row>
    <row r="830" spans="4:9">
      <c r="D830" s="267">
        <v>12966</v>
      </c>
      <c r="E830" s="211" t="s">
        <v>26</v>
      </c>
      <c r="F830" s="263" t="str">
        <f>IFERROR(IF(COUNTIF(Consolidado!$E$3:$E$358,'Range de Logins'!$D830)&gt;0,"Em uso","Livre"),"-")</f>
        <v>Livre</v>
      </c>
      <c r="G830" s="211" t="s">
        <v>1265</v>
      </c>
      <c r="H830" s="211" t="str">
        <f>IFERROR(VLOOKUP(D830,Consolidado!$E$3:$K$311,7,0),"")</f>
        <v/>
      </c>
      <c r="I830" s="257"/>
    </row>
    <row r="831" spans="4:9">
      <c r="D831" s="267">
        <v>12967</v>
      </c>
      <c r="E831" s="211" t="s">
        <v>26</v>
      </c>
      <c r="F831" s="263" t="str">
        <f>IFERROR(IF(COUNTIF(Consolidado!$E$3:$E$358,'Range de Logins'!$D831)&gt;0,"Em uso","Livre"),"-")</f>
        <v>Livre</v>
      </c>
      <c r="G831" s="211" t="s">
        <v>1265</v>
      </c>
      <c r="H831" s="211" t="str">
        <f>IFERROR(VLOOKUP(D831,Consolidado!$E$3:$K$311,7,0),"")</f>
        <v/>
      </c>
      <c r="I831" s="257"/>
    </row>
    <row r="832" spans="4:9">
      <c r="D832" s="267">
        <v>12968</v>
      </c>
      <c r="E832" s="211" t="s">
        <v>26</v>
      </c>
      <c r="F832" s="263" t="str">
        <f>IFERROR(IF(COUNTIF(Consolidado!$E$3:$E$358,'Range de Logins'!$D832)&gt;0,"Em uso","Livre"),"-")</f>
        <v>Livre</v>
      </c>
      <c r="G832" s="211" t="s">
        <v>1265</v>
      </c>
      <c r="H832" s="211" t="str">
        <f>IFERROR(VLOOKUP(D832,Consolidado!$E$3:$K$311,7,0),"")</f>
        <v/>
      </c>
      <c r="I832" s="257"/>
    </row>
    <row r="833" spans="4:9">
      <c r="D833" s="267">
        <v>12969</v>
      </c>
      <c r="E833" s="211" t="s">
        <v>26</v>
      </c>
      <c r="F833" s="263" t="str">
        <f>IFERROR(IF(COUNTIF(Consolidado!$E$3:$E$358,'Range de Logins'!$D833)&gt;0,"Em uso","Livre"),"-")</f>
        <v>Livre</v>
      </c>
      <c r="G833" s="211" t="s">
        <v>1265</v>
      </c>
      <c r="H833" s="211" t="str">
        <f>IFERROR(VLOOKUP(D833,Consolidado!$E$3:$K$311,7,0),"")</f>
        <v/>
      </c>
      <c r="I833" s="257"/>
    </row>
    <row r="834" spans="4:9">
      <c r="D834" s="267">
        <v>17125</v>
      </c>
      <c r="E834" s="211" t="s">
        <v>26</v>
      </c>
      <c r="F834" s="263" t="str">
        <f>IFERROR(IF(COUNTIF(Consolidado!$E$3:$E$358,'Range de Logins'!$D834)&gt;0,"Em uso","Livre"),"-")</f>
        <v>Em uso</v>
      </c>
      <c r="G834" s="211" t="s">
        <v>1265</v>
      </c>
      <c r="H834" s="211" t="str">
        <f>IFERROR(VLOOKUP(D834,Consolidado!$E$3:$K$311,7,0),"")</f>
        <v>IPG</v>
      </c>
      <c r="I834" s="257"/>
    </row>
    <row r="835" spans="4:9">
      <c r="D835" s="267">
        <v>12970</v>
      </c>
      <c r="E835" s="211" t="s">
        <v>26</v>
      </c>
      <c r="F835" s="263" t="str">
        <f>IFERROR(IF(COUNTIF(Consolidado!$E$3:$E$358,'Range de Logins'!$D835)&gt;0,"Em uso","Livre"),"-")</f>
        <v>Livre</v>
      </c>
      <c r="G835" s="211" t="s">
        <v>1265</v>
      </c>
      <c r="H835" s="211" t="str">
        <f>IFERROR(VLOOKUP(D835,Consolidado!$E$3:$K$311,7,0),"")</f>
        <v/>
      </c>
      <c r="I835" s="257"/>
    </row>
    <row r="836" spans="4:9">
      <c r="D836" s="267">
        <v>12971</v>
      </c>
      <c r="E836" s="211" t="s">
        <v>26</v>
      </c>
      <c r="F836" s="263" t="str">
        <f>IFERROR(IF(COUNTIF(Consolidado!$E$3:$E$358,'Range de Logins'!$D836)&gt;0,"Em uso","Livre"),"-")</f>
        <v>Livre</v>
      </c>
      <c r="G836" s="211" t="s">
        <v>1265</v>
      </c>
      <c r="H836" s="211" t="str">
        <f>IFERROR(VLOOKUP(D836,Consolidado!$E$3:$K$311,7,0),"")</f>
        <v/>
      </c>
      <c r="I836" s="257"/>
    </row>
    <row r="837" spans="4:9">
      <c r="D837" s="267">
        <v>12972</v>
      </c>
      <c r="E837" s="211" t="s">
        <v>26</v>
      </c>
      <c r="F837" s="263" t="str">
        <f>IFERROR(IF(COUNTIF(Consolidado!$E$3:$E$358,'Range de Logins'!$D837)&gt;0,"Em uso","Livre"),"-")</f>
        <v>Livre</v>
      </c>
      <c r="G837" s="211" t="s">
        <v>1265</v>
      </c>
      <c r="H837" s="211" t="str">
        <f>IFERROR(VLOOKUP(D837,Consolidado!$E$3:$K$311,7,0),"")</f>
        <v/>
      </c>
      <c r="I837" s="257"/>
    </row>
    <row r="838" spans="4:9">
      <c r="D838" s="267">
        <v>12973</v>
      </c>
      <c r="E838" s="211" t="s">
        <v>26</v>
      </c>
      <c r="F838" s="263" t="str">
        <f>IFERROR(IF(COUNTIF(Consolidado!$E$3:$E$358,'Range de Logins'!$D838)&gt;0,"Em uso","Livre"),"-")</f>
        <v>Livre</v>
      </c>
      <c r="G838" s="211" t="s">
        <v>1265</v>
      </c>
      <c r="H838" s="211" t="str">
        <f>IFERROR(VLOOKUP(D838,Consolidado!$E$3:$K$311,7,0),"")</f>
        <v/>
      </c>
      <c r="I838" s="257"/>
    </row>
    <row r="839" spans="4:9">
      <c r="D839" s="267">
        <v>12975</v>
      </c>
      <c r="E839" s="211" t="s">
        <v>26</v>
      </c>
      <c r="F839" s="263" t="str">
        <f>IFERROR(IF(COUNTIF(Consolidado!$E$3:$E$358,'Range de Logins'!$D839)&gt;0,"Em uso","Livre"),"-")</f>
        <v>Livre</v>
      </c>
      <c r="G839" s="211" t="s">
        <v>1265</v>
      </c>
      <c r="H839" s="211" t="str">
        <f>IFERROR(VLOOKUP(D839,Consolidado!$E$3:$K$311,7,0),"")</f>
        <v/>
      </c>
      <c r="I839" s="257"/>
    </row>
    <row r="840" spans="4:9">
      <c r="D840" s="267">
        <v>17145</v>
      </c>
      <c r="E840" s="211" t="s">
        <v>26</v>
      </c>
      <c r="F840" s="263" t="str">
        <f>IFERROR(IF(COUNTIF(Consolidado!$E$3:$E$358,'Range de Logins'!$D840)&gt;0,"Em uso","Livre"),"-")</f>
        <v>Livre</v>
      </c>
      <c r="G840" s="211" t="s">
        <v>1265</v>
      </c>
      <c r="H840" s="211" t="str">
        <f>IFERROR(VLOOKUP(D840,Consolidado!$E$3:$K$311,7,0),"")</f>
        <v/>
      </c>
      <c r="I840" s="257"/>
    </row>
    <row r="841" spans="4:9">
      <c r="D841" s="267">
        <v>12976</v>
      </c>
      <c r="E841" s="211" t="s">
        <v>26</v>
      </c>
      <c r="F841" s="263" t="str">
        <f>IFERROR(IF(COUNTIF(Consolidado!$E$3:$E$358,'Range de Logins'!$D841)&gt;0,"Em uso","Livre"),"-")</f>
        <v>Livre</v>
      </c>
      <c r="G841" s="211" t="s">
        <v>1265</v>
      </c>
      <c r="H841" s="211" t="str">
        <f>IFERROR(VLOOKUP(D841,Consolidado!$E$3:$K$311,7,0),"")</f>
        <v/>
      </c>
      <c r="I841" s="257"/>
    </row>
    <row r="842" spans="4:9">
      <c r="D842" s="267">
        <v>17149</v>
      </c>
      <c r="E842" s="211" t="s">
        <v>26</v>
      </c>
      <c r="F842" s="263" t="str">
        <f>IFERROR(IF(COUNTIF(Consolidado!$E$3:$E$358,'Range de Logins'!$D842)&gt;0,"Em uso","Livre"),"-")</f>
        <v>Livre</v>
      </c>
      <c r="G842" s="211" t="s">
        <v>1265</v>
      </c>
      <c r="H842" s="211" t="str">
        <f>IFERROR(VLOOKUP(D842,Consolidado!$E$3:$K$311,7,0),"")</f>
        <v/>
      </c>
      <c r="I842" s="257"/>
    </row>
    <row r="843" spans="4:9">
      <c r="D843" s="267">
        <v>12977</v>
      </c>
      <c r="E843" s="211" t="s">
        <v>26</v>
      </c>
      <c r="F843" s="263" t="str">
        <f>IFERROR(IF(COUNTIF(Consolidado!$E$3:$E$358,'Range de Logins'!$D843)&gt;0,"Em uso","Livre"),"-")</f>
        <v>Livre</v>
      </c>
      <c r="G843" s="211" t="s">
        <v>1265</v>
      </c>
      <c r="H843" s="211" t="str">
        <f>IFERROR(VLOOKUP(D843,Consolidado!$E$3:$K$311,7,0),"")</f>
        <v/>
      </c>
      <c r="I843" s="257"/>
    </row>
    <row r="844" spans="4:9">
      <c r="D844" s="267">
        <v>12978</v>
      </c>
      <c r="E844" s="211" t="s">
        <v>26</v>
      </c>
      <c r="F844" s="263" t="str">
        <f>IFERROR(IF(COUNTIF(Consolidado!$E$3:$E$358,'Range de Logins'!$D844)&gt;0,"Em uso","Livre"),"-")</f>
        <v>Livre</v>
      </c>
      <c r="G844" s="211" t="s">
        <v>1265</v>
      </c>
      <c r="H844" s="211" t="str">
        <f>IFERROR(VLOOKUP(D844,Consolidado!$E$3:$K$311,7,0),"")</f>
        <v/>
      </c>
      <c r="I844" s="257"/>
    </row>
    <row r="845" spans="4:9">
      <c r="D845" s="267">
        <v>12979</v>
      </c>
      <c r="E845" s="211" t="s">
        <v>26</v>
      </c>
      <c r="F845" s="263" t="str">
        <f>IFERROR(IF(COUNTIF(Consolidado!$E$3:$E$358,'Range de Logins'!$D845)&gt;0,"Em uso","Livre"),"-")</f>
        <v>Livre</v>
      </c>
      <c r="G845" s="211" t="s">
        <v>1265</v>
      </c>
      <c r="H845" s="211" t="str">
        <f>IFERROR(VLOOKUP(D845,Consolidado!$E$3:$K$311,7,0),"")</f>
        <v/>
      </c>
      <c r="I845" s="257"/>
    </row>
    <row r="846" spans="4:9">
      <c r="D846" s="267">
        <v>17153</v>
      </c>
      <c r="E846" s="211" t="s">
        <v>26</v>
      </c>
      <c r="F846" s="263" t="str">
        <f>IFERROR(IF(COUNTIF(Consolidado!$E$3:$E$358,'Range de Logins'!$D846)&gt;0,"Em uso","Livre"),"-")</f>
        <v>Livre</v>
      </c>
      <c r="G846" s="211" t="s">
        <v>1065</v>
      </c>
      <c r="H846" s="211" t="str">
        <f>IFERROR(VLOOKUP(D846,Consolidado!$E$3:$K$311,7,0),"")</f>
        <v/>
      </c>
      <c r="I846" s="257"/>
    </row>
    <row r="847" spans="4:9">
      <c r="D847" s="267">
        <v>12980</v>
      </c>
      <c r="E847" s="211" t="s">
        <v>26</v>
      </c>
      <c r="F847" s="263" t="str">
        <f>IFERROR(IF(COUNTIF(Consolidado!$E$3:$E$358,'Range de Logins'!$D847)&gt;0,"Em uso","Livre"),"-")</f>
        <v>Livre</v>
      </c>
      <c r="G847" s="211" t="s">
        <v>1265</v>
      </c>
      <c r="H847" s="211" t="str">
        <f>IFERROR(VLOOKUP(D847,Consolidado!$E$3:$K$311,7,0),"")</f>
        <v/>
      </c>
      <c r="I847" s="257"/>
    </row>
    <row r="848" spans="4:9">
      <c r="D848" s="267">
        <v>17156</v>
      </c>
      <c r="E848" s="211" t="s">
        <v>26</v>
      </c>
      <c r="F848" s="263" t="str">
        <f>IFERROR(IF(COUNTIF(Consolidado!$E$3:$E$358,'Range de Logins'!$D848)&gt;0,"Em uso","Livre"),"-")</f>
        <v>Livre</v>
      </c>
      <c r="G848" s="211" t="s">
        <v>1265</v>
      </c>
      <c r="H848" s="211" t="str">
        <f>IFERROR(VLOOKUP(D848,Consolidado!$E$3:$K$311,7,0),"")</f>
        <v/>
      </c>
      <c r="I848" s="257"/>
    </row>
    <row r="849" spans="4:9">
      <c r="D849" s="267">
        <v>12981</v>
      </c>
      <c r="E849" s="211" t="s">
        <v>26</v>
      </c>
      <c r="F849" s="263" t="str">
        <f>IFERROR(IF(COUNTIF(Consolidado!$E$3:$E$358,'Range de Logins'!$D849)&gt;0,"Em uso","Livre"),"-")</f>
        <v>Livre</v>
      </c>
      <c r="G849" s="211" t="s">
        <v>1265</v>
      </c>
      <c r="H849" s="211" t="str">
        <f>IFERROR(VLOOKUP(D849,Consolidado!$E$3:$K$311,7,0),"")</f>
        <v/>
      </c>
      <c r="I849" s="257"/>
    </row>
    <row r="850" spans="4:9">
      <c r="D850" s="267">
        <v>12983</v>
      </c>
      <c r="E850" s="211" t="s">
        <v>26</v>
      </c>
      <c r="F850" s="263" t="str">
        <f>IFERROR(IF(COUNTIF(Consolidado!$E$3:$E$358,'Range de Logins'!$D850)&gt;0,"Em uso","Livre"),"-")</f>
        <v>Livre</v>
      </c>
      <c r="G850" s="211" t="s">
        <v>1265</v>
      </c>
      <c r="H850" s="211" t="str">
        <f>IFERROR(VLOOKUP(D850,Consolidado!$E$3:$K$311,7,0),"")</f>
        <v/>
      </c>
      <c r="I850" s="257"/>
    </row>
    <row r="851" spans="4:9">
      <c r="D851" s="267">
        <v>17159</v>
      </c>
      <c r="E851" s="211" t="s">
        <v>26</v>
      </c>
      <c r="F851" s="263" t="str">
        <f>IFERROR(IF(COUNTIF(Consolidado!$E$3:$E$358,'Range de Logins'!$D851)&gt;0,"Em uso","Livre"),"-")</f>
        <v>Livre</v>
      </c>
      <c r="G851" s="211" t="s">
        <v>1265</v>
      </c>
      <c r="H851" s="211" t="str">
        <f>IFERROR(VLOOKUP(D851,Consolidado!$E$3:$K$311,7,0),"")</f>
        <v/>
      </c>
      <c r="I851" s="257"/>
    </row>
    <row r="852" spans="4:9">
      <c r="D852" s="267">
        <v>12984</v>
      </c>
      <c r="E852" s="211" t="s">
        <v>26</v>
      </c>
      <c r="F852" s="263" t="str">
        <f>IFERROR(IF(COUNTIF(Consolidado!$E$3:$E$358,'Range de Logins'!$D852)&gt;0,"Em uso","Livre"),"-")</f>
        <v>Livre</v>
      </c>
      <c r="G852" s="211" t="s">
        <v>1265</v>
      </c>
      <c r="H852" s="211" t="str">
        <f>IFERROR(VLOOKUP(D852,Consolidado!$E$3:$K$311,7,0),"")</f>
        <v/>
      </c>
      <c r="I852" s="257"/>
    </row>
    <row r="853" spans="4:9">
      <c r="D853" s="267">
        <v>12985</v>
      </c>
      <c r="E853" s="211" t="s">
        <v>26</v>
      </c>
      <c r="F853" s="263" t="str">
        <f>IFERROR(IF(COUNTIF(Consolidado!$E$3:$E$358,'Range de Logins'!$D853)&gt;0,"Em uso","Livre"),"-")</f>
        <v>Livre</v>
      </c>
      <c r="G853" s="211" t="s">
        <v>1265</v>
      </c>
      <c r="H853" s="211" t="str">
        <f>IFERROR(VLOOKUP(D853,Consolidado!$E$3:$K$311,7,0),"")</f>
        <v/>
      </c>
      <c r="I853" s="257"/>
    </row>
    <row r="854" spans="4:9">
      <c r="D854" s="267">
        <v>17162</v>
      </c>
      <c r="E854" s="211" t="s">
        <v>26</v>
      </c>
      <c r="F854" s="263" t="str">
        <f>IFERROR(IF(COUNTIF(Consolidado!$E$3:$E$358,'Range de Logins'!$D854)&gt;0,"Em uso","Livre"),"-")</f>
        <v>Em uso</v>
      </c>
      <c r="G854" s="211" t="s">
        <v>1065</v>
      </c>
      <c r="H854" s="211" t="str">
        <f>IFERROR(VLOOKUP(D854,Consolidado!$E$3:$K$311,7,0),"")</f>
        <v>FUPOTECH</v>
      </c>
      <c r="I854" s="257"/>
    </row>
    <row r="855" spans="4:9">
      <c r="D855" s="267">
        <v>12986</v>
      </c>
      <c r="E855" s="211" t="s">
        <v>26</v>
      </c>
      <c r="F855" s="263" t="str">
        <f>IFERROR(IF(COUNTIF(Consolidado!$E$3:$E$358,'Range de Logins'!$D855)&gt;0,"Em uso","Livre"),"-")</f>
        <v>Livre</v>
      </c>
      <c r="G855" s="211" t="s">
        <v>1265</v>
      </c>
      <c r="H855" s="211" t="str">
        <f>IFERROR(VLOOKUP(D855,Consolidado!$E$3:$K$311,7,0),"")</f>
        <v/>
      </c>
      <c r="I855" s="257"/>
    </row>
    <row r="856" spans="4:9">
      <c r="D856" s="267">
        <v>12987</v>
      </c>
      <c r="E856" s="211" t="s">
        <v>26</v>
      </c>
      <c r="F856" s="263" t="str">
        <f>IFERROR(IF(COUNTIF(Consolidado!$E$3:$E$358,'Range de Logins'!$D856)&gt;0,"Em uso","Livre"),"-")</f>
        <v>Livre</v>
      </c>
      <c r="G856" s="211" t="s">
        <v>1265</v>
      </c>
      <c r="H856" s="211" t="str">
        <f>IFERROR(VLOOKUP(D856,Consolidado!$E$3:$K$311,7,0),"")</f>
        <v/>
      </c>
      <c r="I856" s="257"/>
    </row>
    <row r="857" spans="4:9">
      <c r="D857" s="267">
        <v>12988</v>
      </c>
      <c r="E857" s="211" t="s">
        <v>26</v>
      </c>
      <c r="F857" s="263" t="str">
        <f>IFERROR(IF(COUNTIF(Consolidado!$E$3:$E$358,'Range de Logins'!$D857)&gt;0,"Em uso","Livre"),"-")</f>
        <v>Livre</v>
      </c>
      <c r="G857" s="211" t="s">
        <v>1265</v>
      </c>
      <c r="H857" s="211" t="str">
        <f>IFERROR(VLOOKUP(D857,Consolidado!$E$3:$K$311,7,0),"")</f>
        <v/>
      </c>
      <c r="I857" s="257"/>
    </row>
    <row r="858" spans="4:9">
      <c r="D858" s="267">
        <v>12989</v>
      </c>
      <c r="E858" s="211" t="s">
        <v>26</v>
      </c>
      <c r="F858" s="263" t="str">
        <f>IFERROR(IF(COUNTIF(Consolidado!$E$3:$E$358,'Range de Logins'!$D858)&gt;0,"Em uso","Livre"),"-")</f>
        <v>Livre</v>
      </c>
      <c r="G858" s="211" t="s">
        <v>1265</v>
      </c>
      <c r="H858" s="211" t="str">
        <f>IFERROR(VLOOKUP(D858,Consolidado!$E$3:$K$311,7,0),"")</f>
        <v/>
      </c>
      <c r="I858" s="257"/>
    </row>
    <row r="859" spans="4:9">
      <c r="D859" s="267">
        <v>12990</v>
      </c>
      <c r="E859" s="211" t="s">
        <v>26</v>
      </c>
      <c r="F859" s="263" t="str">
        <f>IFERROR(IF(COUNTIF(Consolidado!$E$3:$E$358,'Range de Logins'!$D859)&gt;0,"Em uso","Livre"),"-")</f>
        <v>Livre</v>
      </c>
      <c r="G859" s="211" t="s">
        <v>1265</v>
      </c>
      <c r="H859" s="211" t="str">
        <f>IFERROR(VLOOKUP(D859,Consolidado!$E$3:$K$311,7,0),"")</f>
        <v/>
      </c>
      <c r="I859" s="257"/>
    </row>
    <row r="860" spans="4:9">
      <c r="D860" s="267">
        <v>12991</v>
      </c>
      <c r="E860" s="211" t="s">
        <v>26</v>
      </c>
      <c r="F860" s="263" t="str">
        <f>IFERROR(IF(COUNTIF(Consolidado!$E$3:$E$358,'Range de Logins'!$D860)&gt;0,"Em uso","Livre"),"-")</f>
        <v>Livre</v>
      </c>
      <c r="G860" s="211" t="s">
        <v>1265</v>
      </c>
      <c r="H860" s="211" t="str">
        <f>IFERROR(VLOOKUP(D860,Consolidado!$E$3:$K$311,7,0),"")</f>
        <v/>
      </c>
      <c r="I860" s="257"/>
    </row>
    <row r="861" spans="4:9">
      <c r="D861" s="267">
        <v>12992</v>
      </c>
      <c r="E861" s="211" t="s">
        <v>26</v>
      </c>
      <c r="F861" s="263" t="str">
        <f>IFERROR(IF(COUNTIF(Consolidado!$E$3:$E$358,'Range de Logins'!$D861)&gt;0,"Em uso","Livre"),"-")</f>
        <v>Livre</v>
      </c>
      <c r="G861" s="211" t="s">
        <v>1265</v>
      </c>
      <c r="H861" s="211" t="str">
        <f>IFERROR(VLOOKUP(D861,Consolidado!$E$3:$K$311,7,0),"")</f>
        <v/>
      </c>
      <c r="I861" s="257"/>
    </row>
    <row r="862" spans="4:9">
      <c r="D862" s="267">
        <v>12993</v>
      </c>
      <c r="E862" s="211" t="s">
        <v>26</v>
      </c>
      <c r="F862" s="263" t="str">
        <f>IFERROR(IF(COUNTIF(Consolidado!$E$3:$E$358,'Range de Logins'!$D862)&gt;0,"Em uso","Livre"),"-")</f>
        <v>Livre</v>
      </c>
      <c r="G862" s="211" t="s">
        <v>1265</v>
      </c>
      <c r="H862" s="211" t="str">
        <f>IFERROR(VLOOKUP(D862,Consolidado!$E$3:$K$311,7,0),"")</f>
        <v/>
      </c>
      <c r="I862" s="257"/>
    </row>
    <row r="863" spans="4:9">
      <c r="D863" s="267">
        <v>12994</v>
      </c>
      <c r="E863" s="211" t="s">
        <v>26</v>
      </c>
      <c r="F863" s="263" t="str">
        <f>IFERROR(IF(COUNTIF(Consolidado!$E$3:$E$358,'Range de Logins'!$D863)&gt;0,"Em uso","Livre"),"-")</f>
        <v>Livre</v>
      </c>
      <c r="G863" s="211" t="s">
        <v>1265</v>
      </c>
      <c r="H863" s="211" t="str">
        <f>IFERROR(VLOOKUP(D863,Consolidado!$E$3:$K$311,7,0),"")</f>
        <v/>
      </c>
      <c r="I863" s="257"/>
    </row>
    <row r="864" spans="4:9">
      <c r="D864" s="267">
        <v>12995</v>
      </c>
      <c r="E864" s="211" t="s">
        <v>26</v>
      </c>
      <c r="F864" s="263" t="str">
        <f>IFERROR(IF(COUNTIF(Consolidado!$E$3:$E$358,'Range de Logins'!$D864)&gt;0,"Em uso","Livre"),"-")</f>
        <v>Livre</v>
      </c>
      <c r="G864" s="211" t="s">
        <v>1265</v>
      </c>
      <c r="H864" s="211" t="str">
        <f>IFERROR(VLOOKUP(D864,Consolidado!$E$3:$K$311,7,0),"")</f>
        <v/>
      </c>
      <c r="I864" s="257"/>
    </row>
    <row r="865" spans="4:9">
      <c r="D865" s="267">
        <v>12996</v>
      </c>
      <c r="E865" s="211" t="s">
        <v>26</v>
      </c>
      <c r="F865" s="263" t="str">
        <f>IFERROR(IF(COUNTIF(Consolidado!$E$3:$E$358,'Range de Logins'!$D865)&gt;0,"Em uso","Livre"),"-")</f>
        <v>Livre</v>
      </c>
      <c r="G865" s="211" t="s">
        <v>1265</v>
      </c>
      <c r="H865" s="211" t="str">
        <f>IFERROR(VLOOKUP(D865,Consolidado!$E$3:$K$311,7,0),"")</f>
        <v/>
      </c>
      <c r="I865" s="257"/>
    </row>
    <row r="866" spans="4:9">
      <c r="D866" s="267">
        <v>17192</v>
      </c>
      <c r="E866" s="211" t="s">
        <v>26</v>
      </c>
      <c r="F866" s="263" t="str">
        <f>IFERROR(IF(COUNTIF(Consolidado!$E$3:$E$358,'Range de Logins'!$D866)&gt;0,"Em uso","Livre"),"-")</f>
        <v>Livre</v>
      </c>
      <c r="G866" s="211" t="s">
        <v>1265</v>
      </c>
      <c r="H866" s="211" t="str">
        <f>IFERROR(VLOOKUP(D866,Consolidado!$E$3:$K$311,7,0),"")</f>
        <v/>
      </c>
      <c r="I866" s="257"/>
    </row>
    <row r="867" spans="4:9">
      <c r="D867" s="267">
        <v>12997</v>
      </c>
      <c r="E867" s="211" t="s">
        <v>26</v>
      </c>
      <c r="F867" s="263" t="str">
        <f>IFERROR(IF(COUNTIF(Consolidado!$E$3:$E$358,'Range de Logins'!$D867)&gt;0,"Em uso","Livre"),"-")</f>
        <v>Livre</v>
      </c>
      <c r="G867" s="211" t="s">
        <v>1265</v>
      </c>
      <c r="H867" s="211" t="str">
        <f>IFERROR(VLOOKUP(D867,Consolidado!$E$3:$K$311,7,0),"")</f>
        <v/>
      </c>
      <c r="I867" s="257"/>
    </row>
    <row r="868" spans="4:9">
      <c r="D868" s="267">
        <v>12998</v>
      </c>
      <c r="E868" s="211" t="s">
        <v>26</v>
      </c>
      <c r="F868" s="263" t="str">
        <f>IFERROR(IF(COUNTIF(Consolidado!$E$3:$E$358,'Range de Logins'!$D868)&gt;0,"Em uso","Livre"),"-")</f>
        <v>Livre</v>
      </c>
      <c r="G868" s="211" t="s">
        <v>1265</v>
      </c>
      <c r="H868" s="211" t="str">
        <f>IFERROR(VLOOKUP(D868,Consolidado!$E$3:$K$311,7,0),"")</f>
        <v/>
      </c>
      <c r="I868" s="257"/>
    </row>
    <row r="869" spans="4:9">
      <c r="D869" s="267">
        <v>12999</v>
      </c>
      <c r="E869" s="211" t="s">
        <v>26</v>
      </c>
      <c r="F869" s="263" t="str">
        <f>IFERROR(IF(COUNTIF(Consolidado!$E$3:$E$358,'Range de Logins'!$D869)&gt;0,"Em uso","Livre"),"-")</f>
        <v>Livre</v>
      </c>
      <c r="G869" s="211" t="s">
        <v>1265</v>
      </c>
      <c r="H869" s="211" t="str">
        <f>IFERROR(VLOOKUP(D869,Consolidado!$E$3:$K$311,7,0),"")</f>
        <v/>
      </c>
      <c r="I869" s="257"/>
    </row>
    <row r="870" spans="4:9">
      <c r="D870" s="267">
        <v>10019</v>
      </c>
      <c r="E870" s="211">
        <v>427810</v>
      </c>
      <c r="F870" s="263" t="str">
        <f>IFERROR(IF(COUNTIF(Consolidado!$E$3:$E$358,'Range de Logins'!$D870)&gt;0,"Em uso","Livre"),"-")</f>
        <v>Em uso</v>
      </c>
      <c r="G870" s="211" t="s">
        <v>1065</v>
      </c>
      <c r="H870" s="211" t="str">
        <f>IFERROR(VLOOKUP(D870,Consolidado!$E$3:$K$311,7,0),"")</f>
        <v>ECR</v>
      </c>
      <c r="I870" s="257"/>
    </row>
    <row r="871" spans="4:9">
      <c r="D871" s="267">
        <v>17000</v>
      </c>
      <c r="E871" s="211" t="s">
        <v>26</v>
      </c>
      <c r="F871" s="263" t="str">
        <f>IFERROR(IF(COUNTIF(Consolidado!$E$3:$E$358,'Range de Logins'!$D871)&gt;0,"Em uso","Livre"),"-")</f>
        <v>Em uso</v>
      </c>
      <c r="G871" s="211" t="s">
        <v>1265</v>
      </c>
      <c r="H871" s="211" t="str">
        <f>IFERROR(VLOOKUP(D871,Consolidado!$E$3:$K$311,7,0),"")</f>
        <v>IPG</v>
      </c>
      <c r="I871" s="257"/>
    </row>
    <row r="872" spans="4:9">
      <c r="D872" s="267">
        <v>17001</v>
      </c>
      <c r="E872" s="211" t="s">
        <v>26</v>
      </c>
      <c r="F872" s="263" t="str">
        <f>IFERROR(IF(COUNTIF(Consolidado!$E$3:$E$358,'Range de Logins'!$D872)&gt;0,"Em uso","Livre"),"-")</f>
        <v>Em uso</v>
      </c>
      <c r="G872" s="211" t="s">
        <v>1265</v>
      </c>
      <c r="H872" s="211" t="str">
        <f>IFERROR(VLOOKUP(D872,Consolidado!$E$3:$K$311,7,0),"")</f>
        <v>IPG</v>
      </c>
      <c r="I872" s="257"/>
    </row>
    <row r="873" spans="4:9">
      <c r="D873" s="267">
        <v>10032</v>
      </c>
      <c r="E873" s="211">
        <v>357120</v>
      </c>
      <c r="F873" s="263" t="str">
        <f>IFERROR(IF(COUNTIF(Consolidado!$E$3:$E$358,'Range de Logins'!$D873)&gt;0,"Em uso","Livre"),"-")</f>
        <v>Em uso</v>
      </c>
      <c r="G873" s="211" t="s">
        <v>1065</v>
      </c>
      <c r="H873" s="211" t="str">
        <f>IFERROR(VLOOKUP(D873,Consolidado!$E$3:$K$311,7,0),"")</f>
        <v>PSG</v>
      </c>
      <c r="I873" s="257"/>
    </row>
    <row r="874" spans="4:9">
      <c r="D874" s="267">
        <v>10035</v>
      </c>
      <c r="E874" s="211">
        <v>589234</v>
      </c>
      <c r="F874" s="263" t="str">
        <f>IFERROR(IF(COUNTIF(Consolidado!$E$3:$E$358,'Range de Logins'!$D874)&gt;0,"Em uso","Livre"),"-")</f>
        <v>Em uso</v>
      </c>
      <c r="G874" s="211" t="s">
        <v>1065</v>
      </c>
      <c r="H874" s="211" t="str">
        <f>IFERROR(VLOOKUP(D874,Consolidado!$E$3:$K$311,7,0),"")</f>
        <v>PSG</v>
      </c>
      <c r="I874" s="257"/>
    </row>
    <row r="875" spans="4:9">
      <c r="D875" s="267">
        <v>10045</v>
      </c>
      <c r="E875" s="211">
        <v>976349</v>
      </c>
      <c r="F875" s="263" t="str">
        <f>IFERROR(IF(COUNTIF(Consolidado!$E$3:$E$358,'Range de Logins'!$D875)&gt;0,"Em uso","Livre"),"-")</f>
        <v>Livre</v>
      </c>
      <c r="G875" s="211" t="s">
        <v>1265</v>
      </c>
      <c r="H875" s="211" t="str">
        <f>IFERROR(VLOOKUP(D875,Consolidado!$E$3:$K$311,7,0),"")</f>
        <v/>
      </c>
      <c r="I875" s="257"/>
    </row>
    <row r="876" spans="4:9">
      <c r="D876" s="267">
        <v>10054</v>
      </c>
      <c r="E876" s="211">
        <v>782429</v>
      </c>
      <c r="F876" s="263" t="str">
        <f>IFERROR(IF(COUNTIF(Consolidado!$E$3:$E$358,'Range de Logins'!$D876)&gt;0,"Em uso","Livre"),"-")</f>
        <v>Em uso</v>
      </c>
      <c r="G876" s="211" t="s">
        <v>1065</v>
      </c>
      <c r="H876" s="211" t="str">
        <f>IFERROR(VLOOKUP(D876,Consolidado!$E$3:$K$311,7,0),"")</f>
        <v>PSG</v>
      </c>
      <c r="I876" s="257"/>
    </row>
    <row r="877" spans="4:9">
      <c r="D877" s="267">
        <v>10066</v>
      </c>
      <c r="E877" s="211">
        <v>426341</v>
      </c>
      <c r="F877" s="263" t="str">
        <f>IFERROR(IF(COUNTIF(Consolidado!$E$3:$E$358,'Range de Logins'!$D877)&gt;0,"Em uso","Livre"),"-")</f>
        <v>Em uso</v>
      </c>
      <c r="G877" s="211" t="s">
        <v>1265</v>
      </c>
      <c r="H877" s="211" t="str">
        <f>IFERROR(VLOOKUP(D877,Consolidado!$E$3:$K$311,7,0),"")</f>
        <v>IPG</v>
      </c>
      <c r="I877" s="257"/>
    </row>
    <row r="878" spans="4:9">
      <c r="D878" s="267">
        <v>10361</v>
      </c>
      <c r="E878" s="211">
        <v>773794</v>
      </c>
      <c r="F878" s="263" t="str">
        <f>IFERROR(IF(COUNTIF(Consolidado!$E$3:$E$358,'Range de Logins'!$D878)&gt;0,"Em uso","Livre"),"-")</f>
        <v>Livre</v>
      </c>
      <c r="G878" s="211" t="s">
        <v>1065</v>
      </c>
      <c r="H878" s="211" t="str">
        <f>IFERROR(VLOOKUP(D878,Consolidado!$E$3:$K$311,7,0),"")</f>
        <v/>
      </c>
      <c r="I878" s="257"/>
    </row>
    <row r="879" spans="4:9">
      <c r="D879" s="267">
        <v>17007</v>
      </c>
      <c r="E879" s="211" t="s">
        <v>26</v>
      </c>
      <c r="F879" s="263" t="str">
        <f>IFERROR(IF(COUNTIF(Consolidado!$E$3:$E$358,'Range de Logins'!$D879)&gt;0,"Em uso","Livre"),"-")</f>
        <v>Livre</v>
      </c>
      <c r="G879" s="211" t="s">
        <v>1265</v>
      </c>
      <c r="H879" s="211" t="str">
        <f>IFERROR(VLOOKUP(D879,Consolidado!$E$3:$K$311,7,0),"")</f>
        <v/>
      </c>
      <c r="I879" s="257"/>
    </row>
    <row r="880" spans="4:9">
      <c r="D880" s="267">
        <v>10074</v>
      </c>
      <c r="E880" s="211">
        <v>357818</v>
      </c>
      <c r="F880" s="263" t="str">
        <f>IFERROR(IF(COUNTIF(Consolidado!$E$3:$E$358,'Range de Logins'!$D880)&gt;0,"Em uso","Livre"),"-")</f>
        <v>Livre</v>
      </c>
      <c r="G880" s="211" t="s">
        <v>1065</v>
      </c>
      <c r="H880" s="211" t="str">
        <f>IFERROR(VLOOKUP(D880,Consolidado!$E$3:$K$311,7,0),"")</f>
        <v/>
      </c>
      <c r="I880" s="257"/>
    </row>
    <row r="881" spans="4:9">
      <c r="D881" s="267">
        <v>17008</v>
      </c>
      <c r="E881" s="211" t="s">
        <v>26</v>
      </c>
      <c r="F881" s="263" t="str">
        <f>IFERROR(IF(COUNTIF(Consolidado!$E$3:$E$358,'Range de Logins'!$D881)&gt;0,"Em uso","Livre"),"-")</f>
        <v>Livre</v>
      </c>
      <c r="G881" s="211" t="s">
        <v>1265</v>
      </c>
      <c r="H881" s="211" t="str">
        <f>IFERROR(VLOOKUP(D881,Consolidado!$E$3:$K$311,7,0),"")</f>
        <v/>
      </c>
      <c r="I881" s="257"/>
    </row>
    <row r="882" spans="4:9">
      <c r="D882" s="267">
        <v>10137</v>
      </c>
      <c r="E882" s="211">
        <v>941634</v>
      </c>
      <c r="F882" s="263" t="str">
        <f>IFERROR(IF(COUNTIF(Consolidado!$E$3:$E$358,'Range de Logins'!$D882)&gt;0,"Em uso","Livre"),"-")</f>
        <v>Em uso</v>
      </c>
      <c r="G882" s="211" t="s">
        <v>1065</v>
      </c>
      <c r="H882" s="211" t="str">
        <f>IFERROR(VLOOKUP(D882,Consolidado!$E$3:$K$311,7,0),"")</f>
        <v>IPG</v>
      </c>
      <c r="I882" s="257"/>
    </row>
    <row r="883" spans="4:9">
      <c r="D883" s="267">
        <v>10176</v>
      </c>
      <c r="E883" s="211">
        <v>451834</v>
      </c>
      <c r="F883" s="263" t="str">
        <f>IFERROR(IF(COUNTIF(Consolidado!$E$3:$E$358,'Range de Logins'!$D883)&gt;0,"Em uso","Livre"),"-")</f>
        <v>Livre</v>
      </c>
      <c r="G883" s="211" t="s">
        <v>1065</v>
      </c>
      <c r="H883" s="211" t="str">
        <f>IFERROR(VLOOKUP(D883,Consolidado!$E$3:$K$311,7,0),"")</f>
        <v/>
      </c>
      <c r="I883" s="257"/>
    </row>
    <row r="884" spans="4:9">
      <c r="D884" s="267">
        <v>10184</v>
      </c>
      <c r="E884" s="211">
        <v>691027</v>
      </c>
      <c r="F884" s="263" t="str">
        <f>IFERROR(IF(COUNTIF(Consolidado!$E$3:$E$358,'Range de Logins'!$D884)&gt;0,"Em uso","Livre"),"-")</f>
        <v>Livre</v>
      </c>
      <c r="G884" s="211" t="s">
        <v>1265</v>
      </c>
      <c r="H884" s="211" t="str">
        <f>IFERROR(VLOOKUP(D884,Consolidado!$E$3:$K$311,7,0),"")</f>
        <v/>
      </c>
      <c r="I884" s="257"/>
    </row>
    <row r="885" spans="4:9">
      <c r="D885" s="267">
        <v>10185</v>
      </c>
      <c r="E885" s="211">
        <v>498158</v>
      </c>
      <c r="F885" s="263" t="str">
        <f>IFERROR(IF(COUNTIF(Consolidado!$E$3:$E$358,'Range de Logins'!$D885)&gt;0,"Em uso","Livre"),"-")</f>
        <v>Em uso</v>
      </c>
      <c r="G885" s="211" t="s">
        <v>1065</v>
      </c>
      <c r="H885" s="211" t="str">
        <f>IFERROR(VLOOKUP(D885,Consolidado!$E$3:$K$311,7,0),"")</f>
        <v>Gerente</v>
      </c>
      <c r="I885" s="257"/>
    </row>
    <row r="886" spans="4:9">
      <c r="D886" s="267">
        <v>17015</v>
      </c>
      <c r="E886" s="211" t="s">
        <v>26</v>
      </c>
      <c r="F886" s="263" t="str">
        <f>IFERROR(IF(COUNTIF(Consolidado!$E$3:$E$358,'Range de Logins'!$D886)&gt;0,"Em uso","Livre"),"-")</f>
        <v>Livre</v>
      </c>
      <c r="G886" s="211" t="s">
        <v>1265</v>
      </c>
      <c r="H886" s="211" t="str">
        <f>IFERROR(VLOOKUP(D886,Consolidado!$E$3:$K$311,7,0),"")</f>
        <v/>
      </c>
      <c r="I886" s="257"/>
    </row>
    <row r="887" spans="4:9">
      <c r="D887" s="267">
        <v>17020</v>
      </c>
      <c r="E887" s="211" t="s">
        <v>26</v>
      </c>
      <c r="F887" s="263" t="str">
        <f>IFERROR(IF(COUNTIF(Consolidado!$E$3:$E$358,'Range de Logins'!$D887)&gt;0,"Em uso","Livre"),"-")</f>
        <v>Livre</v>
      </c>
      <c r="G887" s="211" t="s">
        <v>1265</v>
      </c>
      <c r="H887" s="211" t="str">
        <f>IFERROR(VLOOKUP(D887,Consolidado!$E$3:$K$311,7,0),"")</f>
        <v/>
      </c>
      <c r="I887" s="257"/>
    </row>
    <row r="888" spans="4:9">
      <c r="D888" s="267">
        <v>10192</v>
      </c>
      <c r="E888" s="211">
        <v>845237</v>
      </c>
      <c r="F888" s="263" t="str">
        <f>IFERROR(IF(COUNTIF(Consolidado!$E$3:$E$358,'Range de Logins'!$D888)&gt;0,"Em uso","Livre"),"-")</f>
        <v>Livre</v>
      </c>
      <c r="G888" s="211" t="s">
        <v>1065</v>
      </c>
      <c r="H888" s="211" t="str">
        <f>IFERROR(VLOOKUP(D888,Consolidado!$E$3:$K$311,7,0),"")</f>
        <v/>
      </c>
      <c r="I888" s="257"/>
    </row>
    <row r="889" spans="4:9">
      <c r="D889" s="267">
        <v>10826</v>
      </c>
      <c r="E889" s="211">
        <v>541949</v>
      </c>
      <c r="F889" s="263" t="str">
        <f>IFERROR(IF(COUNTIF(Consolidado!$E$3:$E$358,'Range de Logins'!$D889)&gt;0,"Em uso","Livre"),"-")</f>
        <v>Em uso</v>
      </c>
      <c r="G889" s="211" t="s">
        <v>1065</v>
      </c>
      <c r="H889" s="211" t="str">
        <f>IFERROR(VLOOKUP(D889,Consolidado!$E$3:$K$311,7,0),"")</f>
        <v>Order Management</v>
      </c>
      <c r="I889" s="257"/>
    </row>
    <row r="890" spans="4:9">
      <c r="D890" s="267">
        <v>10833</v>
      </c>
      <c r="E890" s="211">
        <v>897127</v>
      </c>
      <c r="F890" s="263" t="str">
        <f>IFERROR(IF(COUNTIF(Consolidado!$E$3:$E$358,'Range de Logins'!$D890)&gt;0,"Em uso","Livre"),"-")</f>
        <v>Em uso</v>
      </c>
      <c r="G890" s="211" t="s">
        <v>1065</v>
      </c>
      <c r="H890" s="211" t="str">
        <f>IFERROR(VLOOKUP(D890,Consolidado!$E$3:$K$311,7,0),"")</f>
        <v>FUPO</v>
      </c>
      <c r="I890" s="257"/>
    </row>
    <row r="891" spans="4:9">
      <c r="D891" s="267">
        <v>17021</v>
      </c>
      <c r="E891" s="211" t="s">
        <v>26</v>
      </c>
      <c r="F891" s="263" t="str">
        <f>IFERROR(IF(COUNTIF(Consolidado!$E$3:$E$358,'Range de Logins'!$D891)&gt;0,"Em uso","Livre"),"-")</f>
        <v>Livre</v>
      </c>
      <c r="G891" s="211" t="s">
        <v>1265</v>
      </c>
      <c r="H891" s="211" t="str">
        <f>IFERROR(VLOOKUP(D891,Consolidado!$E$3:$K$311,7,0),"")</f>
        <v/>
      </c>
      <c r="I891" s="257"/>
    </row>
    <row r="892" spans="4:9">
      <c r="D892" s="267">
        <v>12003</v>
      </c>
      <c r="E892" s="211">
        <v>834123</v>
      </c>
      <c r="F892" s="263" t="str">
        <f>IFERROR(IF(COUNTIF(Consolidado!$E$3:$E$358,'Range de Logins'!$D892)&gt;0,"Em uso","Livre"),"-")</f>
        <v>Livre</v>
      </c>
      <c r="G892" s="211" t="s">
        <v>1065</v>
      </c>
      <c r="H892" s="211" t="str">
        <f>IFERROR(VLOOKUP(D892,Consolidado!$E$3:$K$311,7,0),"")</f>
        <v/>
      </c>
      <c r="I892" s="257"/>
    </row>
    <row r="893" spans="4:9">
      <c r="D893" s="267">
        <v>17024</v>
      </c>
      <c r="E893" s="211" t="s">
        <v>26</v>
      </c>
      <c r="F893" s="263" t="str">
        <f>IFERROR(IF(COUNTIF(Consolidado!$E$3:$E$358,'Range de Logins'!$D893)&gt;0,"Em uso","Livre"),"-")</f>
        <v>Livre</v>
      </c>
      <c r="G893" s="211" t="s">
        <v>1265</v>
      </c>
      <c r="H893" s="211" t="str">
        <f>IFERROR(VLOOKUP(D893,Consolidado!$E$3:$K$311,7,0),"")</f>
        <v/>
      </c>
      <c r="I893" s="257"/>
    </row>
    <row r="894" spans="4:9">
      <c r="D894" s="267">
        <v>12019</v>
      </c>
      <c r="E894" s="211">
        <v>975694</v>
      </c>
      <c r="F894" s="263" t="str">
        <f>IFERROR(IF(COUNTIF(Consolidado!$E$3:$E$358,'Range de Logins'!$D894)&gt;0,"Em uso","Livre"),"-")</f>
        <v>Livre</v>
      </c>
      <c r="G894" s="211" t="s">
        <v>1065</v>
      </c>
      <c r="H894" s="211" t="str">
        <f>IFERROR(VLOOKUP(D894,Consolidado!$E$3:$K$311,7,0),"")</f>
        <v/>
      </c>
      <c r="I894" s="257"/>
    </row>
    <row r="895" spans="4:9">
      <c r="D895" s="267">
        <v>12035</v>
      </c>
      <c r="E895" s="211">
        <v>569447</v>
      </c>
      <c r="F895" s="263" t="str">
        <f>IFERROR(IF(COUNTIF(Consolidado!$E$3:$E$358,'Range de Logins'!$D895)&gt;0,"Em uso","Livre"),"-")</f>
        <v>Livre</v>
      </c>
      <c r="G895" s="211" t="s">
        <v>1065</v>
      </c>
      <c r="H895" s="211" t="str">
        <f>IFERROR(VLOOKUP(D895,Consolidado!$E$3:$K$311,7,0),"")</f>
        <v/>
      </c>
      <c r="I895" s="257"/>
    </row>
    <row r="896" spans="4:9">
      <c r="D896" s="267">
        <v>12041</v>
      </c>
      <c r="E896" s="211">
        <v>306849</v>
      </c>
      <c r="F896" s="263" t="str">
        <f>IFERROR(IF(COUNTIF(Consolidado!$E$3:$E$358,'Range de Logins'!$D896)&gt;0,"Em uso","Livre"),"-")</f>
        <v>Livre</v>
      </c>
      <c r="G896" s="211" t="s">
        <v>1065</v>
      </c>
      <c r="H896" s="211" t="str">
        <f>IFERROR(VLOOKUP(D896,Consolidado!$E$3:$K$311,7,0),"")</f>
        <v/>
      </c>
      <c r="I896" s="257"/>
    </row>
    <row r="897" spans="4:9">
      <c r="D897" s="267">
        <v>17026</v>
      </c>
      <c r="E897" s="211" t="s">
        <v>26</v>
      </c>
      <c r="F897" s="263" t="str">
        <f>IFERROR(IF(COUNTIF(Consolidado!$E$3:$E$358,'Range de Logins'!$D897)&gt;0,"Em uso","Livre"),"-")</f>
        <v>Livre</v>
      </c>
      <c r="G897" s="211" t="s">
        <v>1265</v>
      </c>
      <c r="H897" s="211" t="str">
        <f>IFERROR(VLOOKUP(D897,Consolidado!$E$3:$K$311,7,0),"")</f>
        <v/>
      </c>
      <c r="I897" s="257"/>
    </row>
    <row r="898" spans="4:9">
      <c r="D898" s="267">
        <v>17033</v>
      </c>
      <c r="E898" s="211" t="s">
        <v>26</v>
      </c>
      <c r="F898" s="263" t="str">
        <f>IFERROR(IF(COUNTIF(Consolidado!$E$3:$E$358,'Range de Logins'!$D898)&gt;0,"Em uso","Livre"),"-")</f>
        <v>Livre</v>
      </c>
      <c r="G898" s="211" t="s">
        <v>1265</v>
      </c>
      <c r="H898" s="211" t="str">
        <f>IFERROR(VLOOKUP(D898,Consolidado!$E$3:$K$311,7,0),"")</f>
        <v/>
      </c>
      <c r="I898" s="257"/>
    </row>
    <row r="899" spans="4:9">
      <c r="D899" s="267">
        <v>12055</v>
      </c>
      <c r="E899" s="211" t="s">
        <v>26</v>
      </c>
      <c r="F899" s="263" t="str">
        <f>IFERROR(IF(COUNTIF(Consolidado!$E$3:$E$358,'Range de Logins'!$D899)&gt;0,"Em uso","Livre"),"-")</f>
        <v>Em uso</v>
      </c>
      <c r="G899" s="211" t="s">
        <v>1265</v>
      </c>
      <c r="H899" s="211" t="str">
        <f>IFERROR(VLOOKUP(D899,Consolidado!$E$3:$K$311,7,0),"")</f>
        <v>PSG</v>
      </c>
      <c r="I899" s="257"/>
    </row>
    <row r="900" spans="4:9">
      <c r="D900" s="267">
        <v>17034</v>
      </c>
      <c r="E900" s="211" t="s">
        <v>26</v>
      </c>
      <c r="F900" s="263" t="str">
        <f>IFERROR(IF(COUNTIF(Consolidado!$E$3:$E$358,'Range de Logins'!$D900)&gt;0,"Em uso","Livre"),"-")</f>
        <v>Livre</v>
      </c>
      <c r="G900" s="211" t="s">
        <v>1265</v>
      </c>
      <c r="H900" s="211" t="str">
        <f>IFERROR(VLOOKUP(D900,Consolidado!$E$3:$K$311,7,0),"")</f>
        <v/>
      </c>
      <c r="I900" s="257"/>
    </row>
    <row r="901" spans="4:9">
      <c r="D901" s="267">
        <v>12058</v>
      </c>
      <c r="E901" s="211" t="s">
        <v>26</v>
      </c>
      <c r="F901" s="263" t="str">
        <f>IFERROR(IF(COUNTIF(Consolidado!$E$3:$E$358,'Range de Logins'!$D901)&gt;0,"Em uso","Livre"),"-")</f>
        <v>Livre</v>
      </c>
      <c r="G901" s="211" t="s">
        <v>1265</v>
      </c>
      <c r="H901" s="211" t="str">
        <f>IFERROR(VLOOKUP(D901,Consolidado!$E$3:$K$311,7,0),"")</f>
        <v/>
      </c>
      <c r="I901" s="257"/>
    </row>
    <row r="902" spans="4:9">
      <c r="D902" s="267">
        <v>17036</v>
      </c>
      <c r="E902" s="211" t="s">
        <v>26</v>
      </c>
      <c r="F902" s="263" t="str">
        <f>IFERROR(IF(COUNTIF(Consolidado!$E$3:$E$358,'Range de Logins'!$D902)&gt;0,"Em uso","Livre"),"-")</f>
        <v>Livre</v>
      </c>
      <c r="G902" s="211" t="s">
        <v>1265</v>
      </c>
      <c r="H902" s="211" t="str">
        <f>IFERROR(VLOOKUP(D902,Consolidado!$E$3:$K$311,7,0),"")</f>
        <v/>
      </c>
      <c r="I902" s="257"/>
    </row>
    <row r="903" spans="4:9">
      <c r="D903" s="267">
        <v>17038</v>
      </c>
      <c r="E903" s="211" t="s">
        <v>26</v>
      </c>
      <c r="F903" s="263" t="str">
        <f>IFERROR(IF(COUNTIF(Consolidado!$E$3:$E$358,'Range de Logins'!$D903)&gt;0,"Em uso","Livre"),"-")</f>
        <v>Livre</v>
      </c>
      <c r="G903" s="211" t="s">
        <v>1265</v>
      </c>
      <c r="H903" s="211" t="str">
        <f>IFERROR(VLOOKUP(D903,Consolidado!$E$3:$K$311,7,0),"")</f>
        <v/>
      </c>
      <c r="I903" s="257"/>
    </row>
    <row r="904" spans="4:9">
      <c r="D904" s="267">
        <v>17039</v>
      </c>
      <c r="E904" s="211" t="s">
        <v>26</v>
      </c>
      <c r="F904" s="263" t="str">
        <f>IFERROR(IF(COUNTIF(Consolidado!$E$3:$E$358,'Range de Logins'!$D904)&gt;0,"Em uso","Livre"),"-")</f>
        <v>Livre</v>
      </c>
      <c r="G904" s="211" t="s">
        <v>1265</v>
      </c>
      <c r="H904" s="211" t="str">
        <f>IFERROR(VLOOKUP(D904,Consolidado!$E$3:$K$311,7,0),"")</f>
        <v/>
      </c>
      <c r="I904" s="257"/>
    </row>
    <row r="905" spans="4:9">
      <c r="D905" s="267">
        <v>12067</v>
      </c>
      <c r="E905" s="211">
        <v>947674</v>
      </c>
      <c r="F905" s="263" t="str">
        <f>IFERROR(IF(COUNTIF(Consolidado!$E$3:$E$358,'Range de Logins'!$D905)&gt;0,"Em uso","Livre"),"-")</f>
        <v>Em uso</v>
      </c>
      <c r="G905" s="211" t="s">
        <v>1065</v>
      </c>
      <c r="H905" s="211" t="str">
        <f>IFERROR(VLOOKUP(D905,Consolidado!$E$3:$K$311,7,0),"")</f>
        <v>Unassisted</v>
      </c>
      <c r="I905" s="257"/>
    </row>
    <row r="906" spans="4:9">
      <c r="D906" s="267">
        <v>12072</v>
      </c>
      <c r="E906" s="211">
        <v>598471</v>
      </c>
      <c r="F906" s="263" t="str">
        <f>IFERROR(IF(COUNTIF(Consolidado!$E$3:$E$358,'Range de Logins'!$D906)&gt;0,"Em uso","Livre"),"-")</f>
        <v>Livre</v>
      </c>
      <c r="G906" s="211" t="s">
        <v>1065</v>
      </c>
      <c r="H906" s="211" t="str">
        <f>IFERROR(VLOOKUP(D906,Consolidado!$E$3:$K$311,7,0),"")</f>
        <v/>
      </c>
      <c r="I906" s="257"/>
    </row>
    <row r="907" spans="4:9">
      <c r="D907" s="267">
        <v>17040</v>
      </c>
      <c r="E907" s="211" t="s">
        <v>26</v>
      </c>
      <c r="F907" s="263" t="str">
        <f>IFERROR(IF(COUNTIF(Consolidado!$E$3:$E$358,'Range de Logins'!$D907)&gt;0,"Em uso","Livre"),"-")</f>
        <v>Livre</v>
      </c>
      <c r="G907" s="211" t="s">
        <v>1265</v>
      </c>
      <c r="H907" s="211" t="str">
        <f>IFERROR(VLOOKUP(D907,Consolidado!$E$3:$K$311,7,0),"")</f>
        <v/>
      </c>
      <c r="I907" s="257"/>
    </row>
    <row r="908" spans="4:9">
      <c r="D908" s="267">
        <v>17043</v>
      </c>
      <c r="E908" s="211" t="s">
        <v>26</v>
      </c>
      <c r="F908" s="263" t="str">
        <f>IFERROR(IF(COUNTIF(Consolidado!$E$3:$E$358,'Range de Logins'!$D908)&gt;0,"Em uso","Livre"),"-")</f>
        <v>Livre</v>
      </c>
      <c r="G908" s="211" t="s">
        <v>1265</v>
      </c>
      <c r="H908" s="211" t="str">
        <f>IFERROR(VLOOKUP(D908,Consolidado!$E$3:$K$311,7,0),"")</f>
        <v/>
      </c>
      <c r="I908" s="257"/>
    </row>
    <row r="909" spans="4:9">
      <c r="D909" s="267">
        <v>12078</v>
      </c>
      <c r="E909" s="211" t="s">
        <v>26</v>
      </c>
      <c r="F909" s="263" t="str">
        <f>IFERROR(IF(COUNTIF(Consolidado!$E$3:$E$358,'Range de Logins'!$D909)&gt;0,"Em uso","Livre"),"-")</f>
        <v>Livre</v>
      </c>
      <c r="G909" s="211" t="s">
        <v>1265</v>
      </c>
      <c r="H909" s="211" t="str">
        <f>IFERROR(VLOOKUP(D909,Consolidado!$E$3:$K$311,7,0),"")</f>
        <v/>
      </c>
      <c r="I909" s="257"/>
    </row>
    <row r="910" spans="4:9">
      <c r="D910" s="267">
        <v>17044</v>
      </c>
      <c r="E910" s="211" t="s">
        <v>26</v>
      </c>
      <c r="F910" s="263" t="str">
        <f>IFERROR(IF(COUNTIF(Consolidado!$E$3:$E$358,'Range de Logins'!$D910)&gt;0,"Em uso","Livre"),"-")</f>
        <v>Livre</v>
      </c>
      <c r="G910" s="211" t="s">
        <v>1265</v>
      </c>
      <c r="H910" s="211" t="str">
        <f>IFERROR(VLOOKUP(D910,Consolidado!$E$3:$K$311,7,0),"")</f>
        <v/>
      </c>
      <c r="I910" s="257"/>
    </row>
    <row r="911" spans="4:9">
      <c r="D911" s="267">
        <v>12086</v>
      </c>
      <c r="E911" s="211" t="s">
        <v>26</v>
      </c>
      <c r="F911" s="263" t="str">
        <f>IFERROR(IF(COUNTIF(Consolidado!$E$3:$E$358,'Range de Logins'!$D911)&gt;0,"Em uso","Livre"),"-")</f>
        <v>Livre</v>
      </c>
      <c r="G911" s="211" t="s">
        <v>1265</v>
      </c>
      <c r="H911" s="211" t="str">
        <f>IFERROR(VLOOKUP(D911,Consolidado!$E$3:$K$311,7,0),"")</f>
        <v/>
      </c>
      <c r="I911" s="257"/>
    </row>
    <row r="912" spans="4:9">
      <c r="D912" s="267">
        <v>12088</v>
      </c>
      <c r="E912" s="211">
        <v>689734</v>
      </c>
      <c r="F912" s="263" t="str">
        <f>IFERROR(IF(COUNTIF(Consolidado!$E$3:$E$358,'Range de Logins'!$D912)&gt;0,"Em uso","Livre"),"-")</f>
        <v>Em uso</v>
      </c>
      <c r="G912" s="211" t="s">
        <v>1065</v>
      </c>
      <c r="H912" s="211" t="str">
        <f>IFERROR(VLOOKUP(D912,Consolidado!$E$3:$K$311,7,0),"")</f>
        <v>IPG</v>
      </c>
      <c r="I912" s="257"/>
    </row>
    <row r="913" spans="4:10">
      <c r="D913" s="267">
        <v>12094</v>
      </c>
      <c r="E913" s="211">
        <v>578695</v>
      </c>
      <c r="F913" s="263" t="str">
        <f>IFERROR(IF(COUNTIF(Consolidado!$E$3:$E$358,'Range de Logins'!$D913)&gt;0,"Em uso","Livre"),"-")</f>
        <v>Livre</v>
      </c>
      <c r="G913" s="211" t="s">
        <v>1065</v>
      </c>
      <c r="H913" s="211" t="str">
        <f>IFERROR(VLOOKUP(D913,Consolidado!$E$3:$K$311,7,0),"")</f>
        <v/>
      </c>
      <c r="I913" s="257"/>
    </row>
    <row r="914" spans="4:10">
      <c r="D914" s="267">
        <v>12103</v>
      </c>
      <c r="E914" s="211">
        <v>195744</v>
      </c>
      <c r="F914" s="263" t="str">
        <f>IFERROR(IF(COUNTIF(Consolidado!$E$3:$E$358,'Range de Logins'!$D914)&gt;0,"Em uso","Livre"),"-")</f>
        <v>Livre</v>
      </c>
      <c r="G914" s="211" t="s">
        <v>1065</v>
      </c>
      <c r="H914" s="211" t="str">
        <f>IFERROR(VLOOKUP(D914,Consolidado!$E$3:$K$311,7,0),"")</f>
        <v/>
      </c>
      <c r="I914" s="257"/>
    </row>
    <row r="915" spans="4:10">
      <c r="D915" s="267">
        <v>17045</v>
      </c>
      <c r="E915" s="211" t="s">
        <v>26</v>
      </c>
      <c r="F915" s="263" t="str">
        <f>IFERROR(IF(COUNTIF(Consolidado!$E$3:$E$358,'Range de Logins'!$D915)&gt;0,"Em uso","Livre"),"-")</f>
        <v>Livre</v>
      </c>
      <c r="G915" s="211" t="s">
        <v>1265</v>
      </c>
      <c r="H915" s="211" t="str">
        <f>IFERROR(VLOOKUP(D915,Consolidado!$E$3:$K$311,7,0),"")</f>
        <v/>
      </c>
      <c r="I915" s="257"/>
    </row>
    <row r="916" spans="4:10">
      <c r="D916" s="267">
        <v>12107</v>
      </c>
      <c r="E916" s="211">
        <v>676614</v>
      </c>
      <c r="F916" s="263" t="str">
        <f>IFERROR(IF(COUNTIF(Consolidado!$E$3:$E$358,'Range de Logins'!$D916)&gt;0,"Em uso","Livre"),"-")</f>
        <v>Livre</v>
      </c>
      <c r="G916" s="211" t="s">
        <v>1065</v>
      </c>
      <c r="H916" s="211" t="str">
        <f>IFERROR(VLOOKUP(D916,Consolidado!$E$3:$K$311,7,0),"")</f>
        <v/>
      </c>
      <c r="I916" s="257"/>
    </row>
    <row r="917" spans="4:10">
      <c r="D917" s="267">
        <v>12108</v>
      </c>
      <c r="E917" s="211" t="s">
        <v>26</v>
      </c>
      <c r="F917" s="263" t="str">
        <f>IFERROR(IF(COUNTIF(Consolidado!$E$3:$E$358,'Range de Logins'!$D917)&gt;0,"Em uso","Livre"),"-")</f>
        <v>Em uso</v>
      </c>
      <c r="G917" s="211" t="s">
        <v>1265</v>
      </c>
      <c r="H917" s="211" t="str">
        <f>IFERROR(VLOOKUP(D917,Consolidado!$E$3:$K$311,7,0),"")</f>
        <v>Qualidade</v>
      </c>
      <c r="I917" s="261"/>
      <c r="J917" s="235"/>
    </row>
    <row r="918" spans="4:10">
      <c r="D918" s="267">
        <v>12112</v>
      </c>
      <c r="E918" s="211" t="s">
        <v>26</v>
      </c>
      <c r="F918" s="263" t="str">
        <f>IFERROR(IF(COUNTIF(Consolidado!$E$3:$E$358,'Range de Logins'!$D918)&gt;0,"Em uso","Livre"),"-")</f>
        <v>Em uso</v>
      </c>
      <c r="G918" s="211" t="s">
        <v>1265</v>
      </c>
      <c r="H918" s="211" t="str">
        <f>IFERROR(VLOOKUP(D918,Consolidado!$E$3:$K$311,7,0),"")</f>
        <v>Metricas e Ferramentas</v>
      </c>
      <c r="I918" s="261"/>
      <c r="J918" s="235"/>
    </row>
    <row r="919" spans="4:10">
      <c r="D919" s="267">
        <v>12114</v>
      </c>
      <c r="E919" s="211" t="s">
        <v>26</v>
      </c>
      <c r="F919" s="263" t="str">
        <f>IFERROR(IF(COUNTIF(Consolidado!$E$3:$E$358,'Range de Logins'!$D919)&gt;0,"Em uso","Livre"),"-")</f>
        <v>Livre</v>
      </c>
      <c r="G919" s="211" t="s">
        <v>1065</v>
      </c>
      <c r="H919" s="211" t="str">
        <f>IFERROR(VLOOKUP(D919,Consolidado!$E$3:$K$311,7,0),"")</f>
        <v/>
      </c>
      <c r="I919" s="257"/>
    </row>
    <row r="920" spans="4:10">
      <c r="D920" s="267">
        <v>12116</v>
      </c>
      <c r="E920" s="211">
        <v>719378</v>
      </c>
      <c r="F920" s="263" t="str">
        <f>IFERROR(IF(COUNTIF(Consolidado!$E$3:$E$358,'Range de Logins'!$D920)&gt;0,"Em uso","Livre"),"-")</f>
        <v>Em uso</v>
      </c>
      <c r="G920" s="211" t="s">
        <v>1065</v>
      </c>
      <c r="H920" s="211" t="str">
        <f>IFERROR(VLOOKUP(D920,Consolidado!$E$3:$K$311,7,0),"")</f>
        <v>Metricas e Ferramentas</v>
      </c>
      <c r="I920" s="257"/>
    </row>
    <row r="921" spans="4:10">
      <c r="D921" s="267">
        <v>12118</v>
      </c>
      <c r="E921" s="211" t="s">
        <v>26</v>
      </c>
      <c r="F921" s="263" t="str">
        <f>IFERROR(IF(COUNTIF(Consolidado!$E$3:$E$358,'Range de Logins'!$D921)&gt;0,"Em uso","Livre"),"-")</f>
        <v>Em uso</v>
      </c>
      <c r="G921" s="211" t="s">
        <v>1265</v>
      </c>
      <c r="H921" s="211" t="str">
        <f>IFERROR(VLOOKUP(D921,Consolidado!$E$3:$K$311,7,0),"")</f>
        <v>Qualidade</v>
      </c>
      <c r="I921" s="257"/>
    </row>
    <row r="922" spans="4:10">
      <c r="D922" s="267">
        <v>12120</v>
      </c>
      <c r="E922" s="211">
        <v>712390</v>
      </c>
      <c r="F922" s="263" t="str">
        <f>IFERROR(IF(COUNTIF(Consolidado!$E$3:$E$358,'Range de Logins'!$D922)&gt;0,"Em uso","Livre"),"-")</f>
        <v>Livre</v>
      </c>
      <c r="G922" s="211" t="s">
        <v>1065</v>
      </c>
      <c r="H922" s="211" t="str">
        <f>IFERROR(VLOOKUP(D922,Consolidado!$E$3:$K$311,7,0),"")</f>
        <v/>
      </c>
      <c r="I922" s="257"/>
    </row>
    <row r="923" spans="4:10">
      <c r="D923" s="267">
        <v>12121</v>
      </c>
      <c r="E923" s="211" t="s">
        <v>26</v>
      </c>
      <c r="F923" s="263" t="str">
        <f>IFERROR(IF(COUNTIF(Consolidado!$E$3:$E$358,'Range de Logins'!$D923)&gt;0,"Em uso","Livre"),"-")</f>
        <v>Livre</v>
      </c>
      <c r="G923" s="211" t="s">
        <v>1265</v>
      </c>
      <c r="H923" s="211" t="str">
        <f>IFERROR(VLOOKUP(D923,Consolidado!$E$3:$K$311,7,0),"")</f>
        <v/>
      </c>
      <c r="I923" s="257"/>
    </row>
    <row r="924" spans="4:10">
      <c r="D924" s="267">
        <v>12128</v>
      </c>
      <c r="E924" s="211" t="s">
        <v>26</v>
      </c>
      <c r="F924" s="263" t="str">
        <f>IFERROR(IF(COUNTIF(Consolidado!$E$3:$E$358,'Range de Logins'!$D924)&gt;0,"Em uso","Livre"),"-")</f>
        <v>Livre</v>
      </c>
      <c r="G924" s="211" t="s">
        <v>1265</v>
      </c>
      <c r="H924" s="211" t="str">
        <f>IFERROR(VLOOKUP(D924,Consolidado!$E$3:$K$311,7,0),"")</f>
        <v/>
      </c>
      <c r="I924" s="257"/>
    </row>
    <row r="925" spans="4:10">
      <c r="D925" s="267">
        <v>12133</v>
      </c>
      <c r="E925" s="211" t="s">
        <v>26</v>
      </c>
      <c r="F925" s="263" t="str">
        <f>IFERROR(IF(COUNTIF(Consolidado!$E$3:$E$358,'Range de Logins'!$D925)&gt;0,"Em uso","Livre"),"-")</f>
        <v>Livre</v>
      </c>
      <c r="G925" s="211" t="s">
        <v>1065</v>
      </c>
      <c r="H925" s="211" t="str">
        <f>IFERROR(VLOOKUP(D925,Consolidado!$E$3:$K$311,7,0),"")</f>
        <v/>
      </c>
      <c r="I925" s="257"/>
    </row>
    <row r="926" spans="4:10">
      <c r="D926" s="267">
        <v>12136</v>
      </c>
      <c r="E926" s="211" t="s">
        <v>26</v>
      </c>
      <c r="F926" s="263" t="str">
        <f>IFERROR(IF(COUNTIF(Consolidado!$E$3:$E$358,'Range de Logins'!$D926)&gt;0,"Em uso","Livre"),"-")</f>
        <v>Livre</v>
      </c>
      <c r="G926" s="211" t="s">
        <v>1265</v>
      </c>
      <c r="H926" s="211" t="str">
        <f>IFERROR(VLOOKUP(D926,Consolidado!$E$3:$K$311,7,0),"")</f>
        <v/>
      </c>
      <c r="I926" s="257"/>
    </row>
    <row r="927" spans="4:10">
      <c r="D927" s="267">
        <v>12139</v>
      </c>
      <c r="E927" s="211" t="s">
        <v>26</v>
      </c>
      <c r="F927" s="263" t="str">
        <f>IFERROR(IF(COUNTIF(Consolidado!$E$3:$E$358,'Range de Logins'!$D927)&gt;0,"Em uso","Livre"),"-")</f>
        <v>Em uso</v>
      </c>
      <c r="G927" s="211" t="s">
        <v>1265</v>
      </c>
      <c r="H927" s="211" t="str">
        <f>IFERROR(VLOOKUP(D927,Consolidado!$E$3:$K$311,7,0),"")</f>
        <v>Qualidade</v>
      </c>
      <c r="I927" s="261"/>
      <c r="J927" s="235"/>
    </row>
    <row r="928" spans="4:10">
      <c r="D928" s="267">
        <v>12560</v>
      </c>
      <c r="E928" s="211">
        <v>395856</v>
      </c>
      <c r="F928" s="263" t="str">
        <f>IFERROR(IF(COUNTIF(Consolidado!$E$3:$E$358,'Range de Logins'!$D928)&gt;0,"Em uso","Livre"),"-")</f>
        <v>Livre</v>
      </c>
      <c r="G928" s="211" t="s">
        <v>1065</v>
      </c>
      <c r="H928" s="211" t="str">
        <f>IFERROR(VLOOKUP(D928,Consolidado!$E$3:$K$311,7,0),"")</f>
        <v/>
      </c>
      <c r="I928" s="257"/>
    </row>
    <row r="929" spans="4:10">
      <c r="D929" s="267">
        <v>17046</v>
      </c>
      <c r="E929" s="211" t="s">
        <v>26</v>
      </c>
      <c r="F929" s="263" t="str">
        <f>IFERROR(IF(COUNTIF(Consolidado!$E$3:$E$358,'Range de Logins'!$D929)&gt;0,"Em uso","Livre"),"-")</f>
        <v>Livre</v>
      </c>
      <c r="G929" s="211" t="s">
        <v>1265</v>
      </c>
      <c r="H929" s="211" t="str">
        <f>IFERROR(VLOOKUP(D929,Consolidado!$E$3:$K$311,7,0),"")</f>
        <v/>
      </c>
      <c r="I929" s="257"/>
    </row>
    <row r="930" spans="4:10">
      <c r="D930" s="267">
        <v>12152</v>
      </c>
      <c r="E930" s="211" t="s">
        <v>26</v>
      </c>
      <c r="F930" s="263" t="str">
        <f>IFERROR(IF(COUNTIF(Consolidado!$E$3:$E$358,'Range de Logins'!$D930)&gt;0,"Em uso","Livre"),"-")</f>
        <v>Livre</v>
      </c>
      <c r="G930" s="211" t="s">
        <v>1265</v>
      </c>
      <c r="H930" s="211" t="str">
        <f>IFERROR(VLOOKUP(D930,Consolidado!$E$3:$K$311,7,0),"")</f>
        <v/>
      </c>
      <c r="I930" s="257"/>
    </row>
    <row r="931" spans="4:10">
      <c r="D931" s="267">
        <v>12161</v>
      </c>
      <c r="E931" s="211">
        <v>765894</v>
      </c>
      <c r="F931" s="263" t="str">
        <f>IFERROR(IF(COUNTIF(Consolidado!$E$3:$E$358,'Range de Logins'!$D931)&gt;0,"Em uso","Livre"),"-")</f>
        <v>Em uso</v>
      </c>
      <c r="G931" s="211" t="s">
        <v>1065</v>
      </c>
      <c r="H931" s="211" t="str">
        <f>IFERROR(VLOOKUP(D931,Consolidado!$E$3:$K$311,7,0),"")</f>
        <v>TCO</v>
      </c>
      <c r="I931" s="257"/>
    </row>
    <row r="932" spans="4:10">
      <c r="D932" s="267">
        <v>12169</v>
      </c>
      <c r="E932" s="211"/>
      <c r="F932" s="263" t="str">
        <f>IFERROR(IF(COUNTIF(Consolidado!$E$3:$E$358,'Range de Logins'!$D932)&gt;0,"Em uso","Livre"),"-")</f>
        <v>Livre</v>
      </c>
      <c r="G932" s="211" t="s">
        <v>1065</v>
      </c>
      <c r="H932" s="211" t="str">
        <f>IFERROR(VLOOKUP(D932,Consolidado!$E$3:$K$311,7,0),"")</f>
        <v/>
      </c>
      <c r="I932" s="257"/>
    </row>
    <row r="933" spans="4:10">
      <c r="D933" s="267">
        <v>12174</v>
      </c>
      <c r="E933" s="211">
        <v>518517</v>
      </c>
      <c r="F933" s="263" t="str">
        <f>IFERROR(IF(COUNTIF(Consolidado!$E$3:$E$358,'Range de Logins'!$D933)&gt;0,"Em uso","Livre"),"-")</f>
        <v>Em uso</v>
      </c>
      <c r="G933" s="211" t="s">
        <v>1065</v>
      </c>
      <c r="H933" s="211" t="str">
        <f>IFERROR(VLOOKUP(D933,Consolidado!$E$3:$K$311,7,0),"")</f>
        <v>Order Management</v>
      </c>
      <c r="I933" s="257"/>
    </row>
    <row r="934" spans="4:10">
      <c r="D934" s="267">
        <v>12178</v>
      </c>
      <c r="E934" s="211" t="s">
        <v>26</v>
      </c>
      <c r="F934" s="263" t="str">
        <f>IFERROR(IF(COUNTIF(Consolidado!$E$3:$E$358,'Range de Logins'!$D934)&gt;0,"Em uso","Livre"),"-")</f>
        <v>Livre</v>
      </c>
      <c r="G934" s="211" t="s">
        <v>1265</v>
      </c>
      <c r="H934" s="211" t="str">
        <f>IFERROR(VLOOKUP(D934,Consolidado!$E$3:$K$311,7,0),"")</f>
        <v/>
      </c>
      <c r="I934" s="257"/>
    </row>
    <row r="935" spans="4:10">
      <c r="D935" s="267">
        <v>12179</v>
      </c>
      <c r="E935" s="211">
        <v>905723</v>
      </c>
      <c r="F935" s="263" t="str">
        <f>IFERROR(IF(COUNTIF(Consolidado!$E$3:$E$358,'Range de Logins'!$D935)&gt;0,"Em uso","Livre"),"-")</f>
        <v>Em uso</v>
      </c>
      <c r="G935" s="211" t="s">
        <v>1065</v>
      </c>
      <c r="H935" s="211" t="str">
        <f>IFERROR(VLOOKUP(D935,Consolidado!$E$3:$K$311,7,0),"")</f>
        <v>TCO</v>
      </c>
      <c r="I935" s="257"/>
    </row>
    <row r="936" spans="4:10">
      <c r="D936" s="267">
        <v>12185</v>
      </c>
      <c r="E936" s="211">
        <v>194605</v>
      </c>
      <c r="F936" s="263" t="str">
        <f>IFERROR(IF(COUNTIF(Consolidado!$E$3:$E$358,'Range de Logins'!$D936)&gt;0,"Em uso","Livre"),"-")</f>
        <v>Em uso</v>
      </c>
      <c r="G936" s="211" t="s">
        <v>1065</v>
      </c>
      <c r="H936" s="211" t="str">
        <f>IFERROR(VLOOKUP(D936,Consolidado!$E$3:$K$311,7,0),"")</f>
        <v>TCO</v>
      </c>
      <c r="I936" s="257"/>
    </row>
    <row r="937" spans="4:10">
      <c r="D937" s="267">
        <v>12186</v>
      </c>
      <c r="E937" s="211">
        <v>0</v>
      </c>
      <c r="F937" s="263" t="str">
        <f>IFERROR(IF(COUNTIF(Consolidado!$E$3:$E$358,'Range de Logins'!$D937)&gt;0,"Em uso","Livre"),"-")</f>
        <v>Em uso</v>
      </c>
      <c r="G937" s="211" t="s">
        <v>1065</v>
      </c>
      <c r="H937" s="211" t="str">
        <f>IFERROR(VLOOKUP(D937,Consolidado!$E$3:$K$311,7,0),"")</f>
        <v>Order Management</v>
      </c>
      <c r="I937" s="257"/>
    </row>
    <row r="938" spans="4:10">
      <c r="D938" s="267">
        <v>17050</v>
      </c>
      <c r="E938" s="211" t="s">
        <v>26</v>
      </c>
      <c r="F938" s="263" t="str">
        <f>IFERROR(IF(COUNTIF(Consolidado!$E$3:$E$358,'Range de Logins'!$D938)&gt;0,"Em uso","Livre"),"-")</f>
        <v>Livre</v>
      </c>
      <c r="G938" s="211" t="s">
        <v>1265</v>
      </c>
      <c r="H938" s="211" t="str">
        <f>IFERROR(VLOOKUP(D938,Consolidado!$E$3:$K$311,7,0),"")</f>
        <v/>
      </c>
      <c r="I938" s="261"/>
      <c r="J938" s="235"/>
    </row>
    <row r="939" spans="4:10">
      <c r="D939" s="267">
        <v>12191</v>
      </c>
      <c r="E939" s="211">
        <v>789346</v>
      </c>
      <c r="F939" s="263" t="str">
        <f>IFERROR(IF(COUNTIF(Consolidado!$E$3:$E$358,'Range de Logins'!$D939)&gt;0,"Em uso","Livre"),"-")</f>
        <v>Em uso</v>
      </c>
      <c r="G939" s="211" t="s">
        <v>1265</v>
      </c>
      <c r="H939" s="211" t="str">
        <f>IFERROR(VLOOKUP(D939,Consolidado!$E$3:$K$311,7,0),"")</f>
        <v>TCO</v>
      </c>
      <c r="I939" s="257"/>
    </row>
    <row r="940" spans="4:10">
      <c r="D940" s="267">
        <v>12199</v>
      </c>
      <c r="E940" s="211">
        <v>865789</v>
      </c>
      <c r="F940" s="263" t="str">
        <f>IFERROR(IF(COUNTIF(Consolidado!$E$3:$E$358,'Range de Logins'!$D940)&gt;0,"Em uso","Livre"),"-")</f>
        <v>Livre</v>
      </c>
      <c r="G940" s="211" t="s">
        <v>1065</v>
      </c>
      <c r="H940" s="211" t="str">
        <f>IFERROR(VLOOKUP(D940,Consolidado!$E$3:$K$311,7,0),"")</f>
        <v/>
      </c>
      <c r="I940" s="257"/>
    </row>
    <row r="941" spans="4:10">
      <c r="D941" s="267">
        <v>12203</v>
      </c>
      <c r="E941" s="211">
        <v>760701</v>
      </c>
      <c r="F941" s="263" t="str">
        <f>IFERROR(IF(COUNTIF(Consolidado!$E$3:$E$358,'Range de Logins'!$D941)&gt;0,"Em uso","Livre"),"-")</f>
        <v>Em uso</v>
      </c>
      <c r="G941" s="211" t="s">
        <v>1065</v>
      </c>
      <c r="H941" s="211" t="str">
        <f>IFERROR(VLOOKUP(D941,Consolidado!$E$3:$K$311,7,0),"")</f>
        <v>Qualidade</v>
      </c>
      <c r="I941" s="257"/>
    </row>
    <row r="942" spans="4:10">
      <c r="D942" s="267">
        <v>12208</v>
      </c>
      <c r="E942" s="211" t="s">
        <v>26</v>
      </c>
      <c r="F942" s="263" t="str">
        <f>IFERROR(IF(COUNTIF(Consolidado!$E$3:$E$358,'Range de Logins'!$D942)&gt;0,"Em uso","Livre"),"-")</f>
        <v>Em uso</v>
      </c>
      <c r="G942" s="211" t="s">
        <v>1265</v>
      </c>
      <c r="H942" s="211" t="str">
        <f>IFERROR(VLOOKUP(D942,Consolidado!$E$3:$K$311,7,0),"")</f>
        <v>TCO</v>
      </c>
      <c r="I942" s="257"/>
    </row>
    <row r="943" spans="4:10">
      <c r="D943" s="267">
        <v>12211</v>
      </c>
      <c r="E943" s="211" t="s">
        <v>26</v>
      </c>
      <c r="F943" s="263" t="str">
        <f>IFERROR(IF(COUNTIF(Consolidado!$E$3:$E$358,'Range de Logins'!$D943)&gt;0,"Em uso","Livre"),"-")</f>
        <v>Livre</v>
      </c>
      <c r="G943" s="211" t="s">
        <v>1065</v>
      </c>
      <c r="H943" s="211" t="str">
        <f>IFERROR(VLOOKUP(D943,Consolidado!$E$3:$K$311,7,0),"")</f>
        <v/>
      </c>
      <c r="I943" s="257"/>
    </row>
    <row r="944" spans="4:10">
      <c r="D944" s="267">
        <v>12216</v>
      </c>
      <c r="E944" s="211">
        <v>195554</v>
      </c>
      <c r="F944" s="263" t="str">
        <f>IFERROR(IF(COUNTIF(Consolidado!$E$3:$E$358,'Range de Logins'!$D944)&gt;0,"Em uso","Livre"),"-")</f>
        <v>Livre</v>
      </c>
      <c r="G944" s="211" t="s">
        <v>1065</v>
      </c>
      <c r="H944" s="211" t="str">
        <f>IFERROR(VLOOKUP(D944,Consolidado!$E$3:$K$311,7,0),"")</f>
        <v/>
      </c>
      <c r="I944" s="257"/>
    </row>
    <row r="945" spans="4:9">
      <c r="D945" s="267">
        <v>12217</v>
      </c>
      <c r="E945" s="211">
        <v>357875</v>
      </c>
      <c r="F945" s="263" t="str">
        <f>IFERROR(IF(COUNTIF(Consolidado!$E$3:$E$358,'Range de Logins'!$D945)&gt;0,"Em uso","Livre"),"-")</f>
        <v>Em uso</v>
      </c>
      <c r="G945" s="211" t="s">
        <v>1065</v>
      </c>
      <c r="H945" s="211" t="str">
        <f>IFERROR(VLOOKUP(D945,Consolidado!$E$3:$K$311,7,0),"")</f>
        <v>Treinamento</v>
      </c>
      <c r="I945" s="257"/>
    </row>
    <row r="946" spans="4:9">
      <c r="D946" s="267">
        <v>12227</v>
      </c>
      <c r="E946" s="211">
        <v>365289</v>
      </c>
      <c r="F946" s="263" t="str">
        <f>IFERROR(IF(COUNTIF(Consolidado!$E$3:$E$358,'Range de Logins'!$D946)&gt;0,"Em uso","Livre"),"-")</f>
        <v>Livre</v>
      </c>
      <c r="G946" s="211" t="s">
        <v>1065</v>
      </c>
      <c r="H946" s="211" t="str">
        <f>IFERROR(VLOOKUP(D946,Consolidado!$E$3:$K$311,7,0),"")</f>
        <v/>
      </c>
      <c r="I946" s="257"/>
    </row>
    <row r="947" spans="4:9">
      <c r="D947" s="267">
        <v>12232</v>
      </c>
      <c r="E947" s="211">
        <v>760691</v>
      </c>
      <c r="F947" s="263" t="str">
        <f>IFERROR(IF(COUNTIF(Consolidado!$E$3:$E$358,'Range de Logins'!$D947)&gt;0,"Em uso","Livre"),"-")</f>
        <v>Livre</v>
      </c>
      <c r="G947" s="211" t="s">
        <v>1065</v>
      </c>
      <c r="H947" s="211" t="str">
        <f>IFERROR(VLOOKUP(D947,Consolidado!$E$3:$K$311,7,0),"")</f>
        <v/>
      </c>
      <c r="I947" s="257"/>
    </row>
    <row r="948" spans="4:9">
      <c r="D948" s="267">
        <v>17053</v>
      </c>
      <c r="E948" s="211" t="s">
        <v>26</v>
      </c>
      <c r="F948" s="263" t="str">
        <f>IFERROR(IF(COUNTIF(Consolidado!$E$3:$E$358,'Range de Logins'!$D948)&gt;0,"Em uso","Livre"),"-")</f>
        <v>Livre</v>
      </c>
      <c r="G948" s="211" t="s">
        <v>1265</v>
      </c>
      <c r="H948" s="211" t="str">
        <f>IFERROR(VLOOKUP(D948,Consolidado!$E$3:$K$311,7,0),"")</f>
        <v/>
      </c>
      <c r="I948" s="257"/>
    </row>
    <row r="949" spans="4:9">
      <c r="D949" s="267">
        <v>12259</v>
      </c>
      <c r="E949" s="211">
        <v>158226</v>
      </c>
      <c r="F949" s="263" t="str">
        <f>IFERROR(IF(COUNTIF(Consolidado!$E$3:$E$358,'Range de Logins'!$D949)&gt;0,"Em uso","Livre"),"-")</f>
        <v>Em uso</v>
      </c>
      <c r="G949" s="211" t="s">
        <v>1065</v>
      </c>
      <c r="H949" s="211" t="str">
        <f>IFERROR(VLOOKUP(D949,Consolidado!$E$3:$K$311,7,0),"")</f>
        <v>BCD</v>
      </c>
      <c r="I949" s="257"/>
    </row>
    <row r="950" spans="4:9">
      <c r="D950" s="267">
        <v>17054</v>
      </c>
      <c r="E950" s="211" t="s">
        <v>26</v>
      </c>
      <c r="F950" s="263" t="str">
        <f>IFERROR(IF(COUNTIF(Consolidado!$E$3:$E$358,'Range de Logins'!$D950)&gt;0,"Em uso","Livre"),"-")</f>
        <v>Livre</v>
      </c>
      <c r="G950" s="211" t="s">
        <v>1265</v>
      </c>
      <c r="H950" s="211" t="str">
        <f>IFERROR(VLOOKUP(D950,Consolidado!$E$3:$K$311,7,0),"")</f>
        <v/>
      </c>
      <c r="I950" s="257"/>
    </row>
    <row r="951" spans="4:9">
      <c r="D951" s="267">
        <v>12274</v>
      </c>
      <c r="E951" s="211">
        <v>755811</v>
      </c>
      <c r="F951" s="263" t="str">
        <f>IFERROR(IF(COUNTIF(Consolidado!$E$3:$E$358,'Range de Logins'!$D951)&gt;0,"Em uso","Livre"),"-")</f>
        <v>Livre</v>
      </c>
      <c r="G951" s="211" t="s">
        <v>1065</v>
      </c>
      <c r="H951" s="211" t="str">
        <f>IFERROR(VLOOKUP(D951,Consolidado!$E$3:$K$311,7,0),"")</f>
        <v/>
      </c>
      <c r="I951" s="257"/>
    </row>
    <row r="952" spans="4:9">
      <c r="D952" s="267">
        <v>12279</v>
      </c>
      <c r="E952" s="211" t="s">
        <v>26</v>
      </c>
      <c r="F952" s="263" t="str">
        <f>IFERROR(IF(COUNTIF(Consolidado!$E$3:$E$358,'Range de Logins'!$D952)&gt;0,"Em uso","Livre"),"-")</f>
        <v>Livre</v>
      </c>
      <c r="G952" s="211" t="s">
        <v>1065</v>
      </c>
      <c r="H952" s="211" t="str">
        <f>IFERROR(VLOOKUP(D952,Consolidado!$E$3:$K$311,7,0),"")</f>
        <v/>
      </c>
      <c r="I952" s="257"/>
    </row>
    <row r="953" spans="4:9">
      <c r="D953" s="267">
        <v>17055</v>
      </c>
      <c r="E953" s="211" t="s">
        <v>26</v>
      </c>
      <c r="F953" s="263" t="str">
        <f>IFERROR(IF(COUNTIF(Consolidado!$E$3:$E$358,'Range de Logins'!$D953)&gt;0,"Em uso","Livre"),"-")</f>
        <v>Livre</v>
      </c>
      <c r="G953" s="211" t="s">
        <v>1265</v>
      </c>
      <c r="H953" s="211" t="str">
        <f>IFERROR(VLOOKUP(D953,Consolidado!$E$3:$K$311,7,0),"")</f>
        <v/>
      </c>
      <c r="I953" s="257"/>
    </row>
    <row r="954" spans="4:9">
      <c r="D954" s="267">
        <v>12292</v>
      </c>
      <c r="E954" s="211">
        <v>591265</v>
      </c>
      <c r="F954" s="263" t="str">
        <f>IFERROR(IF(COUNTIF(Consolidado!$E$3:$E$358,'Range de Logins'!$D954)&gt;0,"Em uso","Livre"),"-")</f>
        <v>Em uso</v>
      </c>
      <c r="G954" s="211" t="s">
        <v>1065</v>
      </c>
      <c r="H954" s="211" t="str">
        <f>IFERROR(VLOOKUP(D954,Consolidado!$E$3:$K$311,7,0),"")</f>
        <v>ECR</v>
      </c>
      <c r="I954" s="257"/>
    </row>
    <row r="955" spans="4:9">
      <c r="D955" s="267">
        <v>12296</v>
      </c>
      <c r="E955" s="211" t="s">
        <v>26</v>
      </c>
      <c r="F955" s="263" t="str">
        <f>IFERROR(IF(COUNTIF(Consolidado!$E$3:$E$358,'Range de Logins'!$D955)&gt;0,"Em uso","Livre"),"-")</f>
        <v>Livre</v>
      </c>
      <c r="G955" s="211" t="s">
        <v>1265</v>
      </c>
      <c r="H955" s="211" t="str">
        <f>IFERROR(VLOOKUP(D955,Consolidado!$E$3:$K$311,7,0),"")</f>
        <v/>
      </c>
      <c r="I955" s="257"/>
    </row>
    <row r="956" spans="4:9">
      <c r="D956" s="267">
        <v>12299</v>
      </c>
      <c r="E956" s="211">
        <v>717328</v>
      </c>
      <c r="F956" s="263" t="str">
        <f>IFERROR(IF(COUNTIF(Consolidado!$E$3:$E$358,'Range de Logins'!$D956)&gt;0,"Em uso","Livre"),"-")</f>
        <v>Em uso</v>
      </c>
      <c r="G956" s="211" t="s">
        <v>1065</v>
      </c>
      <c r="H956" s="211" t="str">
        <f>IFERROR(VLOOKUP(D956,Consolidado!$E$3:$K$311,7,0),"")</f>
        <v>Metricas e Ferramentas</v>
      </c>
      <c r="I956" s="257"/>
    </row>
    <row r="957" spans="4:9">
      <c r="D957" s="267">
        <v>12300</v>
      </c>
      <c r="E957" s="211">
        <v>549678</v>
      </c>
      <c r="F957" s="263" t="str">
        <f>IFERROR(IF(COUNTIF(Consolidado!$E$3:$E$358,'Range de Logins'!$D957)&gt;0,"Em uso","Livre"),"-")</f>
        <v>Em uso</v>
      </c>
      <c r="G957" s="211" t="s">
        <v>1065</v>
      </c>
      <c r="H957" s="211" t="str">
        <f>IFERROR(VLOOKUP(D957,Consolidado!$E$3:$K$311,7,0),"")</f>
        <v>PSG</v>
      </c>
      <c r="I957" s="257"/>
    </row>
    <row r="958" spans="4:9">
      <c r="D958" s="267">
        <v>12305</v>
      </c>
      <c r="E958" s="211">
        <v>578926</v>
      </c>
      <c r="F958" s="263" t="str">
        <f>IFERROR(IF(COUNTIF(Consolidado!$E$3:$E$358,'Range de Logins'!$D958)&gt;0,"Em uso","Livre"),"-")</f>
        <v>Livre</v>
      </c>
      <c r="G958" s="211" t="s">
        <v>1065</v>
      </c>
      <c r="H958" s="211" t="str">
        <f>IFERROR(VLOOKUP(D958,Consolidado!$E$3:$K$311,7,0),"")</f>
        <v/>
      </c>
      <c r="I958" s="257"/>
    </row>
    <row r="959" spans="4:9">
      <c r="D959" s="267">
        <v>12307</v>
      </c>
      <c r="E959" s="211">
        <v>471369</v>
      </c>
      <c r="F959" s="263" t="str">
        <f>IFERROR(IF(COUNTIF(Consolidado!$E$3:$E$358,'Range de Logins'!$D959)&gt;0,"Em uso","Livre"),"-")</f>
        <v>Em uso</v>
      </c>
      <c r="G959" s="211" t="s">
        <v>1065</v>
      </c>
      <c r="H959" s="211" t="str">
        <f>IFERROR(VLOOKUP(D959,Consolidado!$E$3:$K$311,7,0),"")</f>
        <v>Order Management</v>
      </c>
      <c r="I959" s="257"/>
    </row>
    <row r="960" spans="4:9">
      <c r="D960" s="267">
        <v>12308</v>
      </c>
      <c r="E960" s="211">
        <v>195490</v>
      </c>
      <c r="F960" s="263" t="str">
        <f>IFERROR(IF(COUNTIF(Consolidado!$E$3:$E$358,'Range de Logins'!$D960)&gt;0,"Em uso","Livre"),"-")</f>
        <v>Em uso</v>
      </c>
      <c r="G960" s="211" t="s">
        <v>1065</v>
      </c>
      <c r="H960" s="211" t="str">
        <f>IFERROR(VLOOKUP(D960,Consolidado!$E$3:$K$311,7,0),"")</f>
        <v>TCO</v>
      </c>
      <c r="I960" s="257"/>
    </row>
    <row r="961" spans="4:9">
      <c r="D961" s="267">
        <v>12310</v>
      </c>
      <c r="E961" s="211" t="s">
        <v>26</v>
      </c>
      <c r="F961" s="263" t="str">
        <f>IFERROR(IF(COUNTIF(Consolidado!$E$3:$E$358,'Range de Logins'!$D961)&gt;0,"Em uso","Livre"),"-")</f>
        <v>Livre</v>
      </c>
      <c r="G961" s="211" t="s">
        <v>1065</v>
      </c>
      <c r="H961" s="211" t="str">
        <f>IFERROR(VLOOKUP(D961,Consolidado!$E$3:$K$311,7,0),"")</f>
        <v/>
      </c>
      <c r="I961" s="257"/>
    </row>
    <row r="962" spans="4:9">
      <c r="D962" s="267">
        <v>12316</v>
      </c>
      <c r="E962" s="211">
        <v>956778</v>
      </c>
      <c r="F962" s="263" t="str">
        <f>IFERROR(IF(COUNTIF(Consolidado!$E$3:$E$358,'Range de Logins'!$D962)&gt;0,"Em uso","Livre"),"-")</f>
        <v>Em uso</v>
      </c>
      <c r="G962" s="211" t="s">
        <v>1065</v>
      </c>
      <c r="H962" s="211" t="str">
        <f>IFERROR(VLOOKUP(D962,Consolidado!$E$3:$K$311,7,0),"")</f>
        <v>Mentor</v>
      </c>
      <c r="I962" s="257"/>
    </row>
    <row r="963" spans="4:9">
      <c r="D963" s="267">
        <v>12320</v>
      </c>
      <c r="E963" s="211">
        <v>567235</v>
      </c>
      <c r="F963" s="263" t="str">
        <f>IFERROR(IF(COUNTIF(Consolidado!$E$3:$E$358,'Range de Logins'!$D963)&gt;0,"Em uso","Livre"),"-")</f>
        <v>Em uso</v>
      </c>
      <c r="G963" s="211" t="s">
        <v>1065</v>
      </c>
      <c r="H963" s="211" t="str">
        <f>IFERROR(VLOOKUP(D963,Consolidado!$E$3:$K$311,7,0),"")</f>
        <v>BCD</v>
      </c>
      <c r="I963" s="257"/>
    </row>
    <row r="964" spans="4:9">
      <c r="D964" s="267">
        <v>12325</v>
      </c>
      <c r="E964" s="211">
        <v>596189</v>
      </c>
      <c r="F964" s="263" t="str">
        <f>IFERROR(IF(COUNTIF(Consolidado!$E$3:$E$358,'Range de Logins'!$D964)&gt;0,"Em uso","Livre"),"-")</f>
        <v>Livre</v>
      </c>
      <c r="G964" s="211" t="s">
        <v>1065</v>
      </c>
      <c r="H964" s="211" t="str">
        <f>IFERROR(VLOOKUP(D964,Consolidado!$E$3:$K$311,7,0),"")</f>
        <v/>
      </c>
      <c r="I964" s="257"/>
    </row>
    <row r="965" spans="4:9">
      <c r="D965" s="267">
        <v>17061</v>
      </c>
      <c r="E965" s="211" t="s">
        <v>26</v>
      </c>
      <c r="F965" s="263" t="str">
        <f>IFERROR(IF(COUNTIF(Consolidado!$E$3:$E$358,'Range de Logins'!$D965)&gt;0,"Em uso","Livre"),"-")</f>
        <v>Livre</v>
      </c>
      <c r="G965" s="211" t="s">
        <v>1265</v>
      </c>
      <c r="H965" s="211" t="str">
        <f>IFERROR(VLOOKUP(D965,Consolidado!$E$3:$K$311,7,0),"")</f>
        <v/>
      </c>
      <c r="I965" s="257"/>
    </row>
    <row r="966" spans="4:9">
      <c r="D966" s="267">
        <v>12338</v>
      </c>
      <c r="E966" s="211">
        <v>334852</v>
      </c>
      <c r="F966" s="263" t="str">
        <f>IFERROR(IF(COUNTIF(Consolidado!$E$3:$E$358,'Range de Logins'!$D966)&gt;0,"Em uso","Livre"),"-")</f>
        <v>Em uso</v>
      </c>
      <c r="G966" s="211" t="s">
        <v>1065</v>
      </c>
      <c r="H966" s="211" t="str">
        <f>IFERROR(VLOOKUP(D966,Consolidado!$E$3:$K$311,7,0),"")</f>
        <v>ECR</v>
      </c>
      <c r="I966" s="257"/>
    </row>
    <row r="967" spans="4:9">
      <c r="D967" s="267">
        <v>12340</v>
      </c>
      <c r="E967" s="211" t="s">
        <v>26</v>
      </c>
      <c r="F967" s="263" t="str">
        <f>IFERROR(IF(COUNTIF(Consolidado!$E$3:$E$358,'Range de Logins'!$D967)&gt;0,"Em uso","Livre"),"-")</f>
        <v>Em uso</v>
      </c>
      <c r="G967" s="211" t="s">
        <v>1265</v>
      </c>
      <c r="H967" s="211" t="str">
        <f>IFERROR(VLOOKUP(D967,Consolidado!$E$3:$K$311,7,0),"")</f>
        <v>IPG</v>
      </c>
      <c r="I967" s="257"/>
    </row>
    <row r="968" spans="4:9">
      <c r="D968" s="267">
        <v>12348</v>
      </c>
      <c r="E968" s="211">
        <v>513987</v>
      </c>
      <c r="F968" s="263" t="str">
        <f>IFERROR(IF(COUNTIF(Consolidado!$E$3:$E$358,'Range de Logins'!$D968)&gt;0,"Em uso","Livre"),"-")</f>
        <v>Livre</v>
      </c>
      <c r="G968" s="211" t="s">
        <v>1065</v>
      </c>
      <c r="H968" s="211" t="str">
        <f>IFERROR(VLOOKUP(D968,Consolidado!$E$3:$K$311,7,0),"")</f>
        <v/>
      </c>
      <c r="I968" s="257"/>
    </row>
    <row r="969" spans="4:9">
      <c r="D969" s="267">
        <v>12349</v>
      </c>
      <c r="E969" s="211" t="s">
        <v>26</v>
      </c>
      <c r="F969" s="263" t="str">
        <f>IFERROR(IF(COUNTIF(Consolidado!$E$3:$E$358,'Range de Logins'!$D969)&gt;0,"Em uso","Livre"),"-")</f>
        <v>Livre</v>
      </c>
      <c r="G969" s="211" t="s">
        <v>1065</v>
      </c>
      <c r="H969" s="211" t="str">
        <f>IFERROR(VLOOKUP(D969,Consolidado!$E$3:$K$311,7,0),"")</f>
        <v/>
      </c>
      <c r="I969" s="257"/>
    </row>
    <row r="970" spans="4:9">
      <c r="D970" s="267">
        <v>12358</v>
      </c>
      <c r="E970" s="211">
        <v>516203</v>
      </c>
      <c r="F970" s="263" t="str">
        <f>IFERROR(IF(COUNTIF(Consolidado!$E$3:$E$358,'Range de Logins'!$D970)&gt;0,"Em uso","Livre"),"-")</f>
        <v>Em uso</v>
      </c>
      <c r="G970" s="211" t="s">
        <v>1065</v>
      </c>
      <c r="H970" s="211" t="str">
        <f>IFERROR(VLOOKUP(D970,Consolidado!$E$3:$K$311,7,0),"")</f>
        <v>TCO</v>
      </c>
      <c r="I970" s="257"/>
    </row>
    <row r="971" spans="4:9">
      <c r="D971" s="267">
        <v>12362</v>
      </c>
      <c r="E971" s="211">
        <v>476108</v>
      </c>
      <c r="F971" s="263" t="str">
        <f>IFERROR(IF(COUNTIF(Consolidado!$E$3:$E$358,'Range de Logins'!$D971)&gt;0,"Em uso","Livre"),"-")</f>
        <v>Livre</v>
      </c>
      <c r="G971" s="211" t="s">
        <v>1065</v>
      </c>
      <c r="H971" s="211" t="str">
        <f>IFERROR(VLOOKUP(D971,Consolidado!$E$3:$K$311,7,0),"")</f>
        <v/>
      </c>
      <c r="I971" s="257"/>
    </row>
    <row r="972" spans="4:9">
      <c r="D972" s="267">
        <v>12374</v>
      </c>
      <c r="E972" s="211">
        <v>469530</v>
      </c>
      <c r="F972" s="263" t="str">
        <f>IFERROR(IF(COUNTIF(Consolidado!$E$3:$E$358,'Range de Logins'!$D972)&gt;0,"Em uso","Livre"),"-")</f>
        <v>Livre</v>
      </c>
      <c r="G972" s="211" t="s">
        <v>1065</v>
      </c>
      <c r="H972" s="211" t="str">
        <f>IFERROR(VLOOKUP(D972,Consolidado!$E$3:$K$311,7,0),"")</f>
        <v/>
      </c>
      <c r="I972" s="257"/>
    </row>
    <row r="973" spans="4:9">
      <c r="D973" s="267">
        <v>17062</v>
      </c>
      <c r="E973" s="211" t="s">
        <v>26</v>
      </c>
      <c r="F973" s="263" t="str">
        <f>IFERROR(IF(COUNTIF(Consolidado!$E$3:$E$358,'Range de Logins'!$D973)&gt;0,"Em uso","Livre"),"-")</f>
        <v>Livre</v>
      </c>
      <c r="G973" s="211" t="s">
        <v>1265</v>
      </c>
      <c r="H973" s="211" t="str">
        <f>IFERROR(VLOOKUP(D973,Consolidado!$E$3:$K$311,7,0),"")</f>
        <v/>
      </c>
      <c r="I973" s="257"/>
    </row>
    <row r="974" spans="4:9">
      <c r="D974" s="267">
        <v>12379</v>
      </c>
      <c r="E974" s="211" t="s">
        <v>26</v>
      </c>
      <c r="F974" s="263" t="str">
        <f>IFERROR(IF(COUNTIF(Consolidado!$E$3:$E$358,'Range de Logins'!$D974)&gt;0,"Em uso","Livre"),"-")</f>
        <v>Em uso</v>
      </c>
      <c r="G974" s="211" t="s">
        <v>1065</v>
      </c>
      <c r="H974" s="211" t="str">
        <f>IFERROR(VLOOKUP(D974,Consolidado!$E$3:$K$311,7,0),"")</f>
        <v>Order Management</v>
      </c>
      <c r="I974" s="257"/>
    </row>
    <row r="975" spans="4:9">
      <c r="D975" s="267">
        <v>12380</v>
      </c>
      <c r="E975" s="211">
        <v>367390</v>
      </c>
      <c r="F975" s="263" t="str">
        <f>IFERROR(IF(COUNTIF(Consolidado!$E$3:$E$358,'Range de Logins'!$D975)&gt;0,"Em uso","Livre"),"-")</f>
        <v>Livre</v>
      </c>
      <c r="G975" s="211" t="s">
        <v>1065</v>
      </c>
      <c r="H975" s="211" t="str">
        <f>IFERROR(VLOOKUP(D975,Consolidado!$E$3:$K$311,7,0),"")</f>
        <v/>
      </c>
      <c r="I975" s="257"/>
    </row>
    <row r="976" spans="4:9">
      <c r="D976" s="267">
        <v>17068</v>
      </c>
      <c r="E976" s="211" t="s">
        <v>26</v>
      </c>
      <c r="F976" s="263" t="str">
        <f>IFERROR(IF(COUNTIF(Consolidado!$E$3:$E$358,'Range de Logins'!$D976)&gt;0,"Em uso","Livre"),"-")</f>
        <v>Livre</v>
      </c>
      <c r="G976" s="211" t="s">
        <v>1265</v>
      </c>
      <c r="H976" s="211" t="str">
        <f>IFERROR(VLOOKUP(D976,Consolidado!$E$3:$K$311,7,0),"")</f>
        <v/>
      </c>
      <c r="I976" s="257"/>
    </row>
    <row r="977" spans="4:10">
      <c r="D977" s="267">
        <v>17069</v>
      </c>
      <c r="E977" s="211" t="s">
        <v>26</v>
      </c>
      <c r="F977" s="263" t="str">
        <f>IFERROR(IF(COUNTIF(Consolidado!$E$3:$E$358,'Range de Logins'!$D977)&gt;0,"Em uso","Livre"),"-")</f>
        <v>Livre</v>
      </c>
      <c r="G977" s="211" t="s">
        <v>1265</v>
      </c>
      <c r="H977" s="211" t="str">
        <f>IFERROR(VLOOKUP(D977,Consolidado!$E$3:$K$311,7,0),"")</f>
        <v/>
      </c>
      <c r="I977" s="257"/>
    </row>
    <row r="978" spans="4:10">
      <c r="D978" s="267">
        <v>12384</v>
      </c>
      <c r="E978" s="211" t="s">
        <v>26</v>
      </c>
      <c r="F978" s="263" t="str">
        <f>IFERROR(IF(COUNTIF(Consolidado!$E$3:$E$358,'Range de Logins'!$D978)&gt;0,"Em uso","Livre"),"-")</f>
        <v>Livre</v>
      </c>
      <c r="G978" s="211" t="s">
        <v>1065</v>
      </c>
      <c r="H978" s="211" t="str">
        <f>IFERROR(VLOOKUP(D978,Consolidado!$E$3:$K$311,7,0),"")</f>
        <v/>
      </c>
      <c r="I978" s="257"/>
    </row>
    <row r="979" spans="4:10">
      <c r="D979" s="267">
        <v>12385</v>
      </c>
      <c r="E979" s="211">
        <v>795058</v>
      </c>
      <c r="F979" s="263" t="str">
        <f>IFERROR(IF(COUNTIF(Consolidado!$E$3:$E$358,'Range de Logins'!$D979)&gt;0,"Em uso","Livre"),"-")</f>
        <v>Em uso</v>
      </c>
      <c r="G979" s="211" t="s">
        <v>1065</v>
      </c>
      <c r="H979" s="211" t="str">
        <f>IFERROR(VLOOKUP(D979,Consolidado!$E$3:$K$311,7,0),"")</f>
        <v>Metricas e Ferramentas</v>
      </c>
      <c r="I979" s="257"/>
    </row>
    <row r="980" spans="4:10">
      <c r="D980" s="267">
        <v>12585</v>
      </c>
      <c r="E980" s="211">
        <v>689786</v>
      </c>
      <c r="F980" s="263" t="str">
        <f>IFERROR(IF(COUNTIF(Consolidado!$E$3:$E$358,'Range de Logins'!$D980)&gt;0,"Em uso","Livre"),"-")</f>
        <v>Livre</v>
      </c>
      <c r="G980" s="211" t="s">
        <v>1065</v>
      </c>
      <c r="H980" s="211" t="str">
        <f>IFERROR(VLOOKUP(D980,Consolidado!$E$3:$K$311,7,0),"")</f>
        <v/>
      </c>
      <c r="I980" s="257"/>
    </row>
    <row r="981" spans="4:10">
      <c r="D981" s="267">
        <v>12391</v>
      </c>
      <c r="E981" s="211" t="s">
        <v>26</v>
      </c>
      <c r="F981" s="263" t="str">
        <f>IFERROR(IF(COUNTIF(Consolidado!$E$3:$E$358,'Range de Logins'!$D981)&gt;0,"Em uso","Livre"),"-")</f>
        <v>Livre</v>
      </c>
      <c r="G981" s="211" t="s">
        <v>1265</v>
      </c>
      <c r="H981" s="211" t="str">
        <f>IFERROR(VLOOKUP(D981,Consolidado!$E$3:$K$311,7,0),"")</f>
        <v/>
      </c>
      <c r="I981" s="257"/>
    </row>
    <row r="982" spans="4:10">
      <c r="D982" s="267">
        <v>12402</v>
      </c>
      <c r="E982" s="211" t="s">
        <v>26</v>
      </c>
      <c r="F982" s="263" t="str">
        <f>IFERROR(IF(COUNTIF(Consolidado!$E$3:$E$358,'Range de Logins'!$D982)&gt;0,"Em uso","Livre"),"-")</f>
        <v>Em uso</v>
      </c>
      <c r="G982" s="211" t="s">
        <v>1265</v>
      </c>
      <c r="H982" s="211" t="str">
        <f>IFERROR(VLOOKUP(D982,Consolidado!$E$3:$K$311,7,0),"")</f>
        <v>IPG</v>
      </c>
      <c r="I982" s="257"/>
    </row>
    <row r="983" spans="4:10">
      <c r="D983" s="267">
        <v>12403</v>
      </c>
      <c r="E983" s="211">
        <v>554856</v>
      </c>
      <c r="F983" s="263" t="str">
        <f>IFERROR(IF(COUNTIF(Consolidado!$E$3:$E$358,'Range de Logins'!$D983)&gt;0,"Em uso","Livre"),"-")</f>
        <v>Livre</v>
      </c>
      <c r="G983" s="211" t="s">
        <v>1065</v>
      </c>
      <c r="H983" s="211" t="str">
        <f>IFERROR(VLOOKUP(D983,Consolidado!$E$3:$K$311,7,0),"")</f>
        <v/>
      </c>
      <c r="I983" s="257"/>
    </row>
    <row r="984" spans="4:10">
      <c r="D984" s="267">
        <v>12404</v>
      </c>
      <c r="E984" s="211" t="s">
        <v>26</v>
      </c>
      <c r="F984" s="263" t="str">
        <f>IFERROR(IF(COUNTIF(Consolidado!$E$3:$E$358,'Range de Logins'!$D984)&gt;0,"Em uso","Livre"),"-")</f>
        <v>Em uso</v>
      </c>
      <c r="G984" s="211" t="s">
        <v>1265</v>
      </c>
      <c r="H984" s="211" t="str">
        <f>IFERROR(VLOOKUP(D984,Consolidado!$E$3:$K$311,7,0),"")</f>
        <v>IPG</v>
      </c>
      <c r="I984" s="257"/>
    </row>
    <row r="985" spans="4:10">
      <c r="D985" s="267">
        <v>12406</v>
      </c>
      <c r="E985" s="211">
        <v>653650</v>
      </c>
      <c r="F985" s="263" t="str">
        <f>IFERROR(IF(COUNTIF(Consolidado!$E$3:$E$358,'Range de Logins'!$D985)&gt;0,"Em uso","Livre"),"-")</f>
        <v>Em uso</v>
      </c>
      <c r="G985" s="211" t="s">
        <v>1065</v>
      </c>
      <c r="H985" s="211" t="str">
        <f>IFERROR(VLOOKUP(D985,Consolidado!$E$3:$K$311,7,0),"")</f>
        <v>FUPO SMS</v>
      </c>
      <c r="I985" s="257"/>
    </row>
    <row r="986" spans="4:10">
      <c r="D986" s="267">
        <v>17070</v>
      </c>
      <c r="E986" s="211" t="s">
        <v>26</v>
      </c>
      <c r="F986" s="263" t="str">
        <f>IFERROR(IF(COUNTIF(Consolidado!$E$3:$E$358,'Range de Logins'!$D986)&gt;0,"Em uso","Livre"),"-")</f>
        <v>Livre</v>
      </c>
      <c r="G986" s="211" t="s">
        <v>1265</v>
      </c>
      <c r="H986" s="211" t="str">
        <f>IFERROR(VLOOKUP(D986,Consolidado!$E$3:$K$311,7,0),"")</f>
        <v/>
      </c>
      <c r="I986" s="258" t="s">
        <v>2715</v>
      </c>
      <c r="J986" s="236"/>
    </row>
    <row r="987" spans="4:10">
      <c r="D987" s="267">
        <v>12408</v>
      </c>
      <c r="E987" s="211">
        <v>840297</v>
      </c>
      <c r="F987" s="263" t="str">
        <f>IFERROR(IF(COUNTIF(Consolidado!$E$3:$E$358,'Range de Logins'!$D987)&gt;0,"Em uso","Livre"),"-")</f>
        <v>Em uso</v>
      </c>
      <c r="G987" s="211" t="s">
        <v>1065</v>
      </c>
      <c r="H987" s="211" t="str">
        <f>IFERROR(VLOOKUP(D987,Consolidado!$E$3:$K$311,7,0),"")</f>
        <v>BCD</v>
      </c>
      <c r="I987" s="257"/>
    </row>
    <row r="988" spans="4:10">
      <c r="D988" s="267">
        <v>17071</v>
      </c>
      <c r="E988" s="211" t="s">
        <v>26</v>
      </c>
      <c r="F988" s="263" t="str">
        <f>IFERROR(IF(COUNTIF(Consolidado!$E$3:$E$358,'Range de Logins'!$D988)&gt;0,"Em uso","Livre"),"-")</f>
        <v>Livre</v>
      </c>
      <c r="G988" s="211" t="s">
        <v>1265</v>
      </c>
      <c r="H988" s="211" t="str">
        <f>IFERROR(VLOOKUP(D988,Consolidado!$E$3:$K$311,7,0),"")</f>
        <v/>
      </c>
      <c r="I988" s="257"/>
    </row>
    <row r="989" spans="4:10">
      <c r="D989" s="267">
        <v>12602</v>
      </c>
      <c r="E989" s="211">
        <v>295639</v>
      </c>
      <c r="F989" s="263" t="str">
        <f>IFERROR(IF(COUNTIF(Consolidado!$E$3:$E$358,'Range de Logins'!$D989)&gt;0,"Em uso","Livre"),"-")</f>
        <v>Livre</v>
      </c>
      <c r="G989" s="211" t="s">
        <v>1065</v>
      </c>
      <c r="H989" s="211" t="str">
        <f>IFERROR(VLOOKUP(D989,Consolidado!$E$3:$K$311,7,0),"")</f>
        <v/>
      </c>
      <c r="I989" s="257"/>
    </row>
    <row r="990" spans="4:10">
      <c r="D990" s="267">
        <v>12413</v>
      </c>
      <c r="E990" s="211">
        <v>234512</v>
      </c>
      <c r="F990" s="263" t="str">
        <f>IFERROR(IF(COUNTIF(Consolidado!$E$3:$E$358,'Range de Logins'!$D990)&gt;0,"Em uso","Livre"),"-")</f>
        <v>Livre</v>
      </c>
      <c r="G990" s="211" t="s">
        <v>1065</v>
      </c>
      <c r="H990" s="211" t="str">
        <f>IFERROR(VLOOKUP(D990,Consolidado!$E$3:$K$311,7,0),"")</f>
        <v/>
      </c>
      <c r="I990" s="257"/>
    </row>
    <row r="991" spans="4:10">
      <c r="D991" s="267">
        <v>12414</v>
      </c>
      <c r="E991" s="211">
        <v>834619</v>
      </c>
      <c r="F991" s="263" t="str">
        <f>IFERROR(IF(COUNTIF(Consolidado!$E$3:$E$358,'Range de Logins'!$D991)&gt;0,"Em uso","Livre"),"-")</f>
        <v>Livre</v>
      </c>
      <c r="G991" s="211" t="s">
        <v>1065</v>
      </c>
      <c r="H991" s="211" t="str">
        <f>IFERROR(VLOOKUP(D991,Consolidado!$E$3:$K$311,7,0),"")</f>
        <v/>
      </c>
      <c r="I991" s="257"/>
    </row>
    <row r="992" spans="4:10">
      <c r="D992" s="267">
        <v>12415</v>
      </c>
      <c r="E992" s="211">
        <v>467264</v>
      </c>
      <c r="F992" s="263" t="str">
        <f>IFERROR(IF(COUNTIF(Consolidado!$E$3:$E$358,'Range de Logins'!$D992)&gt;0,"Em uso","Livre"),"-")</f>
        <v>Em uso</v>
      </c>
      <c r="G992" s="211" t="s">
        <v>1065</v>
      </c>
      <c r="H992" s="211" t="str">
        <f>IFERROR(VLOOKUP(D992,Consolidado!$E$3:$K$311,7,0),"")</f>
        <v>FUPO SMS</v>
      </c>
      <c r="I992" s="257"/>
    </row>
    <row r="993" spans="2:10">
      <c r="D993" s="267">
        <v>17072</v>
      </c>
      <c r="E993" s="211" t="s">
        <v>26</v>
      </c>
      <c r="F993" s="263" t="str">
        <f>IFERROR(IF(COUNTIF(Consolidado!$E$3:$E$358,'Range de Logins'!$D993)&gt;0,"Em uso","Livre"),"-")</f>
        <v>Livre</v>
      </c>
      <c r="G993" s="211" t="s">
        <v>1265</v>
      </c>
      <c r="H993" s="211" t="str">
        <f>IFERROR(VLOOKUP(D993,Consolidado!$E$3:$K$311,7,0),"")</f>
        <v/>
      </c>
      <c r="I993" s="257"/>
    </row>
    <row r="994" spans="2:10">
      <c r="D994" s="267">
        <v>12425</v>
      </c>
      <c r="E994" s="211">
        <v>985535</v>
      </c>
      <c r="F994" s="263" t="str">
        <f>IFERROR(IF(COUNTIF(Consolidado!$E$3:$E$358,'Range de Logins'!$D994)&gt;0,"Em uso","Livre"),"-")</f>
        <v>Livre</v>
      </c>
      <c r="G994" s="211" t="s">
        <v>1065</v>
      </c>
      <c r="H994" s="211" t="str">
        <f>IFERROR(VLOOKUP(D994,Consolidado!$E$3:$K$311,7,0),"")</f>
        <v/>
      </c>
      <c r="I994" s="257"/>
    </row>
    <row r="995" spans="2:10">
      <c r="D995" s="267">
        <v>12430</v>
      </c>
      <c r="E995" s="211" t="s">
        <v>26</v>
      </c>
      <c r="F995" s="263" t="str">
        <f>IFERROR(IF(COUNTIF(Consolidado!$E$3:$E$358,'Range de Logins'!$D995)&gt;0,"Em uso","Livre"),"-")</f>
        <v>Em uso</v>
      </c>
      <c r="G995" s="211" t="s">
        <v>1065</v>
      </c>
      <c r="H995" s="211" t="str">
        <f>IFERROR(VLOOKUP(D995,Consolidado!$E$3:$K$311,7,0),"")</f>
        <v>ECR</v>
      </c>
      <c r="I995" s="257"/>
    </row>
    <row r="996" spans="2:10">
      <c r="D996" s="267">
        <v>17073</v>
      </c>
      <c r="E996" s="211" t="s">
        <v>26</v>
      </c>
      <c r="F996" s="263" t="str">
        <f>IFERROR(IF(COUNTIF(Consolidado!$E$3:$E$358,'Range de Logins'!$D996)&gt;0,"Em uso","Livre"),"-")</f>
        <v>Livre</v>
      </c>
      <c r="G996" s="211" t="s">
        <v>1265</v>
      </c>
      <c r="H996" s="211" t="str">
        <f>IFERROR(VLOOKUP(D996,Consolidado!$E$3:$K$311,7,0),"")</f>
        <v/>
      </c>
      <c r="I996" s="257"/>
    </row>
    <row r="997" spans="2:10">
      <c r="D997" s="267">
        <v>17074</v>
      </c>
      <c r="E997" s="211" t="s">
        <v>26</v>
      </c>
      <c r="F997" s="263" t="str">
        <f>IFERROR(IF(COUNTIF(Consolidado!$E$3:$E$358,'Range de Logins'!$D997)&gt;0,"Em uso","Livre"),"-")</f>
        <v>Livre</v>
      </c>
      <c r="G997" s="211" t="s">
        <v>1265</v>
      </c>
      <c r="H997" s="211" t="str">
        <f>IFERROR(VLOOKUP(D997,Consolidado!$E$3:$K$311,7,0),"")</f>
        <v/>
      </c>
      <c r="I997" s="257"/>
    </row>
    <row r="998" spans="2:10">
      <c r="D998" s="267">
        <v>17077</v>
      </c>
      <c r="E998" s="211" t="s">
        <v>26</v>
      </c>
      <c r="F998" s="263" t="str">
        <f>IFERROR(IF(COUNTIF(Consolidado!$E$3:$E$358,'Range de Logins'!$D998)&gt;0,"Em uso","Livre"),"-")</f>
        <v>Livre</v>
      </c>
      <c r="G998" s="211" t="s">
        <v>1265</v>
      </c>
      <c r="H998" s="211" t="str">
        <f>IFERROR(VLOOKUP(D998,Consolidado!$E$3:$K$311,7,0),"")</f>
        <v/>
      </c>
      <c r="I998" s="257"/>
    </row>
    <row r="999" spans="2:10">
      <c r="D999" s="267">
        <v>12437</v>
      </c>
      <c r="E999" s="211" t="s">
        <v>26</v>
      </c>
      <c r="F999" s="263" t="str">
        <f>IFERROR(IF(COUNTIF(Consolidado!$E$3:$E$358,'Range de Logins'!$D999)&gt;0,"Em uso","Livre"),"-")</f>
        <v>Em uso</v>
      </c>
      <c r="G999" s="211" t="s">
        <v>1065</v>
      </c>
      <c r="H999" s="211" t="str">
        <f>IFERROR(VLOOKUP(D999,Consolidado!$E$3:$K$311,7,0),"")</f>
        <v>Order Management</v>
      </c>
      <c r="I999" s="257"/>
    </row>
    <row r="1000" spans="2:10">
      <c r="D1000" s="267">
        <v>12440</v>
      </c>
      <c r="E1000" s="211">
        <v>688772</v>
      </c>
      <c r="F1000" s="263" t="str">
        <f>IFERROR(IF(COUNTIF(Consolidado!$E$3:$E$358,'Range de Logins'!$D1000)&gt;0,"Em uso","Livre"),"-")</f>
        <v>Em uso</v>
      </c>
      <c r="G1000" s="211" t="s">
        <v>1065</v>
      </c>
      <c r="H1000" s="211" t="str">
        <f>IFERROR(VLOOKUP(D1000,Consolidado!$E$3:$K$311,7,0),"")</f>
        <v>Metricas e Ferramentas</v>
      </c>
      <c r="I1000" s="257"/>
    </row>
    <row r="1001" spans="2:10">
      <c r="D1001" s="267">
        <v>12443</v>
      </c>
      <c r="E1001" s="211">
        <v>456433</v>
      </c>
      <c r="F1001" s="263" t="str">
        <f>IFERROR(IF(COUNTIF(Consolidado!$E$3:$E$358,'Range de Logins'!$D1001)&gt;0,"Em uso","Livre"),"-")</f>
        <v>Livre</v>
      </c>
      <c r="G1001" s="211" t="s">
        <v>1065</v>
      </c>
      <c r="H1001" s="211" t="str">
        <f>IFERROR(VLOOKUP(D1001,Consolidado!$E$3:$K$311,7,0),"")</f>
        <v/>
      </c>
      <c r="I1001" s="257"/>
    </row>
    <row r="1002" spans="2:10" s="31" customFormat="1">
      <c r="B1002" s="200"/>
      <c r="D1002" s="267">
        <v>17078</v>
      </c>
      <c r="E1002" s="211" t="s">
        <v>26</v>
      </c>
      <c r="F1002" s="263" t="str">
        <f>IFERROR(IF(COUNTIF(Consolidado!$E$3:$E$358,'Range de Logins'!$D1002)&gt;0,"Em uso","Livre"),"-")</f>
        <v>Livre</v>
      </c>
      <c r="G1002" s="211" t="s">
        <v>1265</v>
      </c>
      <c r="H1002" s="211" t="str">
        <f>IFERROR(VLOOKUP(D1002,Consolidado!$E$3:$K$311,7,0),"")</f>
        <v/>
      </c>
      <c r="I1002" s="257"/>
      <c r="J1002" s="158"/>
    </row>
    <row r="1003" spans="2:10" s="31" customFormat="1">
      <c r="B1003" s="200"/>
      <c r="D1003" s="267">
        <v>12462</v>
      </c>
      <c r="E1003" s="211">
        <v>739291</v>
      </c>
      <c r="F1003" s="263" t="str">
        <f>IFERROR(IF(COUNTIF(Consolidado!$E$3:$E$358,'Range de Logins'!$D1003)&gt;0,"Em uso","Livre"),"-")</f>
        <v>Em uso</v>
      </c>
      <c r="G1003" s="211" t="s">
        <v>1065</v>
      </c>
      <c r="H1003" s="211" t="str">
        <f>IFERROR(VLOOKUP(D1003,Consolidado!$E$3:$K$311,7,0),"")</f>
        <v>Metricas e Ferramentas</v>
      </c>
      <c r="I1003" s="257"/>
      <c r="J1003" s="158"/>
    </row>
    <row r="1004" spans="2:10">
      <c r="D1004" s="267">
        <v>17080</v>
      </c>
      <c r="E1004" s="211" t="s">
        <v>26</v>
      </c>
      <c r="F1004" s="263" t="str">
        <f>IFERROR(IF(COUNTIF(Consolidado!$E$3:$E$358,'Range de Logins'!$D1004)&gt;0,"Em uso","Livre"),"-")</f>
        <v>Livre</v>
      </c>
      <c r="G1004" s="211" t="s">
        <v>1265</v>
      </c>
      <c r="H1004" s="211" t="str">
        <f>IFERROR(VLOOKUP(D1004,Consolidado!$E$3:$K$311,7,0),"")</f>
        <v/>
      </c>
      <c r="I1004" s="257"/>
    </row>
    <row r="1005" spans="2:10">
      <c r="D1005" s="267">
        <v>17083</v>
      </c>
      <c r="E1005" s="211" t="s">
        <v>26</v>
      </c>
      <c r="F1005" s="263" t="str">
        <f>IFERROR(IF(COUNTIF(Consolidado!$E$3:$E$358,'Range de Logins'!$D1005)&gt;0,"Em uso","Livre"),"-")</f>
        <v>Livre</v>
      </c>
      <c r="G1005" s="211" t="s">
        <v>1265</v>
      </c>
      <c r="H1005" s="211" t="str">
        <f>IFERROR(VLOOKUP(D1005,Consolidado!$E$3:$K$311,7,0),"")</f>
        <v/>
      </c>
      <c r="I1005" s="257"/>
    </row>
    <row r="1006" spans="2:10">
      <c r="D1006" s="267">
        <v>12471</v>
      </c>
      <c r="E1006" s="211">
        <v>498103</v>
      </c>
      <c r="F1006" s="263" t="str">
        <f>IFERROR(IF(COUNTIF(Consolidado!$E$3:$E$358,'Range de Logins'!$D1006)&gt;0,"Em uso","Livre"),"-")</f>
        <v>Livre</v>
      </c>
      <c r="G1006" s="211" t="s">
        <v>1065</v>
      </c>
      <c r="H1006" s="211" t="str">
        <f>IFERROR(VLOOKUP(D1006,Consolidado!$E$3:$K$311,7,0),"")</f>
        <v/>
      </c>
      <c r="I1006" s="257"/>
    </row>
    <row r="1007" spans="2:10">
      <c r="D1007" s="267">
        <v>12473</v>
      </c>
      <c r="E1007" s="211">
        <v>798678</v>
      </c>
      <c r="F1007" s="263" t="str">
        <f>IFERROR(IF(COUNTIF(Consolidado!$E$3:$E$358,'Range de Logins'!$D1007)&gt;0,"Em uso","Livre"),"-")</f>
        <v>Em uso</v>
      </c>
      <c r="G1007" s="211" t="s">
        <v>1065</v>
      </c>
      <c r="H1007" s="211" t="str">
        <f>IFERROR(VLOOKUP(D1007,Consolidado!$E$3:$K$311,7,0),"")</f>
        <v>Unassisted</v>
      </c>
      <c r="I1007" s="257"/>
    </row>
    <row r="1008" spans="2:10">
      <c r="D1008" s="267">
        <v>12477</v>
      </c>
      <c r="E1008" s="211">
        <v>195632</v>
      </c>
      <c r="F1008" s="263" t="str">
        <f>IFERROR(IF(COUNTIF(Consolidado!$E$3:$E$358,'Range de Logins'!$D1008)&gt;0,"Em uso","Livre"),"-")</f>
        <v>Em uso</v>
      </c>
      <c r="G1008" s="211" t="s">
        <v>1065</v>
      </c>
      <c r="H1008" s="211" t="str">
        <f>IFERROR(VLOOKUP(D1008,Consolidado!$E$3:$K$311,7,0),"")</f>
        <v>BCD</v>
      </c>
      <c r="I1008" s="257"/>
    </row>
    <row r="1009" spans="4:9">
      <c r="D1009" s="267">
        <v>12479</v>
      </c>
      <c r="E1009" s="211">
        <v>843893</v>
      </c>
      <c r="F1009" s="263" t="str">
        <f>IFERROR(IF(COUNTIF(Consolidado!$E$3:$E$358,'Range de Logins'!$D1009)&gt;0,"Em uso","Livre"),"-")</f>
        <v>Em uso</v>
      </c>
      <c r="G1009" s="211" t="s">
        <v>1065</v>
      </c>
      <c r="H1009" s="211" t="str">
        <f>IFERROR(VLOOKUP(D1009,Consolidado!$E$3:$K$311,7,0),"")</f>
        <v>Unassisted</v>
      </c>
      <c r="I1009" s="257"/>
    </row>
    <row r="1010" spans="4:9">
      <c r="D1010" s="267">
        <v>12480</v>
      </c>
      <c r="E1010" s="211" t="s">
        <v>26</v>
      </c>
      <c r="F1010" s="263" t="str">
        <f>IFERROR(IF(COUNTIF(Consolidado!$E$3:$E$358,'Range de Logins'!$D1010)&gt;0,"Em uso","Livre"),"-")</f>
        <v>Em uso</v>
      </c>
      <c r="G1010" s="211" t="s">
        <v>1265</v>
      </c>
      <c r="H1010" s="211" t="str">
        <f>IFERROR(VLOOKUP(D1010,Consolidado!$E$3:$K$311,7,0),"")</f>
        <v>ECR</v>
      </c>
      <c r="I1010" s="257"/>
    </row>
    <row r="1011" spans="4:9">
      <c r="D1011" s="267">
        <v>12483</v>
      </c>
      <c r="E1011" s="211">
        <v>964785</v>
      </c>
      <c r="F1011" s="263" t="str">
        <f>IFERROR(IF(COUNTIF(Consolidado!$E$3:$E$358,'Range de Logins'!$D1011)&gt;0,"Em uso","Livre"),"-")</f>
        <v>Livre</v>
      </c>
      <c r="G1011" s="211" t="s">
        <v>1065</v>
      </c>
      <c r="H1011" s="211" t="str">
        <f>IFERROR(VLOOKUP(D1011,Consolidado!$E$3:$K$311,7,0),"")</f>
        <v/>
      </c>
      <c r="I1011" s="257"/>
    </row>
    <row r="1012" spans="4:9">
      <c r="D1012" s="267">
        <v>12486</v>
      </c>
      <c r="E1012" s="211">
        <v>866745</v>
      </c>
      <c r="F1012" s="263" t="str">
        <f>IFERROR(IF(COUNTIF(Consolidado!$E$3:$E$358,'Range de Logins'!$D1012)&gt;0,"Em uso","Livre"),"-")</f>
        <v>Em uso</v>
      </c>
      <c r="G1012" s="211" t="s">
        <v>1065</v>
      </c>
      <c r="H1012" s="211" t="str">
        <f>IFERROR(VLOOKUP(D1012,Consolidado!$E$3:$K$311,7,0),"")</f>
        <v>Mentor</v>
      </c>
      <c r="I1012" s="257"/>
    </row>
    <row r="1013" spans="4:9">
      <c r="D1013" s="267">
        <v>12488</v>
      </c>
      <c r="E1013" s="211">
        <v>794743</v>
      </c>
      <c r="F1013" s="263" t="str">
        <f>IFERROR(IF(COUNTIF(Consolidado!$E$3:$E$358,'Range de Logins'!$D1013)&gt;0,"Em uso","Livre"),"-")</f>
        <v>Livre</v>
      </c>
      <c r="G1013" s="211" t="s">
        <v>1065</v>
      </c>
      <c r="H1013" s="211" t="str">
        <f>IFERROR(VLOOKUP(D1013,Consolidado!$E$3:$K$311,7,0),"")</f>
        <v/>
      </c>
      <c r="I1013" s="257"/>
    </row>
    <row r="1014" spans="4:9">
      <c r="D1014" s="267">
        <v>12497</v>
      </c>
      <c r="E1014" s="211">
        <v>297785</v>
      </c>
      <c r="F1014" s="263" t="str">
        <f>IFERROR(IF(COUNTIF(Consolidado!$E$3:$E$358,'Range de Logins'!$D1014)&gt;0,"Em uso","Livre"),"-")</f>
        <v>Livre</v>
      </c>
      <c r="G1014" s="211" t="s">
        <v>1065</v>
      </c>
      <c r="H1014" s="211" t="str">
        <f>IFERROR(VLOOKUP(D1014,Consolidado!$E$3:$K$311,7,0),"")</f>
        <v/>
      </c>
      <c r="I1014" s="257"/>
    </row>
    <row r="1015" spans="4:9">
      <c r="D1015" s="267">
        <v>17088</v>
      </c>
      <c r="E1015" s="211" t="s">
        <v>26</v>
      </c>
      <c r="F1015" s="263" t="str">
        <f>IFERROR(IF(COUNTIF(Consolidado!$E$3:$E$358,'Range de Logins'!$D1015)&gt;0,"Em uso","Livre"),"-")</f>
        <v>Livre</v>
      </c>
      <c r="G1015" s="211" t="s">
        <v>1265</v>
      </c>
      <c r="H1015" s="211" t="str">
        <f>IFERROR(VLOOKUP(D1015,Consolidado!$E$3:$K$311,7,0),"")</f>
        <v/>
      </c>
      <c r="I1015" s="257"/>
    </row>
    <row r="1016" spans="4:9">
      <c r="D1016" s="267">
        <v>12504</v>
      </c>
      <c r="E1016" s="211" t="s">
        <v>26</v>
      </c>
      <c r="F1016" s="263" t="str">
        <f>IFERROR(IF(COUNTIF(Consolidado!$E$3:$E$358,'Range de Logins'!$D1016)&gt;0,"Em uso","Livre"),"-")</f>
        <v>Em uso</v>
      </c>
      <c r="G1016" s="211" t="s">
        <v>1065</v>
      </c>
      <c r="H1016" s="211" t="str">
        <f>IFERROR(VLOOKUP(D1016,Consolidado!$E$3:$K$311,7,0),"")</f>
        <v>Mentor</v>
      </c>
      <c r="I1016" s="257"/>
    </row>
    <row r="1017" spans="4:9">
      <c r="D1017" s="267">
        <v>12508</v>
      </c>
      <c r="E1017" s="211">
        <v>436853</v>
      </c>
      <c r="F1017" s="263" t="str">
        <f>IFERROR(IF(COUNTIF(Consolidado!$E$3:$E$358,'Range de Logins'!$D1017)&gt;0,"Em uso","Livre"),"-")</f>
        <v>Livre</v>
      </c>
      <c r="G1017" s="211" t="s">
        <v>1065</v>
      </c>
      <c r="H1017" s="211" t="str">
        <f>IFERROR(VLOOKUP(D1017,Consolidado!$E$3:$K$311,7,0),"")</f>
        <v/>
      </c>
      <c r="I1017" s="257"/>
    </row>
    <row r="1018" spans="4:9">
      <c r="D1018" s="267">
        <v>17091</v>
      </c>
      <c r="E1018" s="211" t="s">
        <v>26</v>
      </c>
      <c r="F1018" s="263" t="str">
        <f>IFERROR(IF(COUNTIF(Consolidado!$E$3:$E$358,'Range de Logins'!$D1018)&gt;0,"Em uso","Livre"),"-")</f>
        <v>Livre</v>
      </c>
      <c r="G1018" s="211" t="s">
        <v>1265</v>
      </c>
      <c r="H1018" s="211" t="str">
        <f>IFERROR(VLOOKUP(D1018,Consolidado!$E$3:$K$311,7,0),"")</f>
        <v/>
      </c>
      <c r="I1018" s="257"/>
    </row>
    <row r="1019" spans="4:9">
      <c r="D1019" s="267">
        <v>12513</v>
      </c>
      <c r="E1019" s="211">
        <v>804546</v>
      </c>
      <c r="F1019" s="263" t="str">
        <f>IFERROR(IF(COUNTIF(Consolidado!$E$3:$E$358,'Range de Logins'!$D1019)&gt;0,"Em uso","Livre"),"-")</f>
        <v>Em uso</v>
      </c>
      <c r="G1019" s="211" t="s">
        <v>1065</v>
      </c>
      <c r="H1019" s="211" t="str">
        <f>IFERROR(VLOOKUP(D1019,Consolidado!$E$3:$K$311,7,0),"")</f>
        <v>Unassisted</v>
      </c>
      <c r="I1019" s="257"/>
    </row>
    <row r="1020" spans="4:9">
      <c r="D1020" s="267">
        <v>12514</v>
      </c>
      <c r="E1020" s="211" t="s">
        <v>26</v>
      </c>
      <c r="F1020" s="263" t="str">
        <f>IFERROR(IF(COUNTIF(Consolidado!$E$3:$E$358,'Range de Logins'!$D1020)&gt;0,"Em uso","Livre"),"-")</f>
        <v>Livre</v>
      </c>
      <c r="G1020" s="211" t="s">
        <v>1265</v>
      </c>
      <c r="H1020" s="211" t="str">
        <f>IFERROR(VLOOKUP(D1020,Consolidado!$E$3:$K$311,7,0),"")</f>
        <v/>
      </c>
      <c r="I1020" s="257"/>
    </row>
    <row r="1021" spans="4:9">
      <c r="D1021" s="267">
        <v>12516</v>
      </c>
      <c r="E1021" s="211">
        <v>980579</v>
      </c>
      <c r="F1021" s="263" t="str">
        <f>IFERROR(IF(COUNTIF(Consolidado!$E$3:$E$358,'Range de Logins'!$D1021)&gt;0,"Em uso","Livre"),"-")</f>
        <v>Em uso</v>
      </c>
      <c r="G1021" s="211" t="s">
        <v>1065</v>
      </c>
      <c r="H1021" s="211" t="str">
        <f>IFERROR(VLOOKUP(D1021,Consolidado!$E$3:$K$311,7,0),"")</f>
        <v>Mentor</v>
      </c>
      <c r="I1021" s="257"/>
    </row>
    <row r="1022" spans="4:9">
      <c r="D1022" s="267">
        <v>17094</v>
      </c>
      <c r="E1022" s="211" t="s">
        <v>26</v>
      </c>
      <c r="F1022" s="263" t="str">
        <f>IFERROR(IF(COUNTIF(Consolidado!$E$3:$E$358,'Range de Logins'!$D1022)&gt;0,"Em uso","Livre"),"-")</f>
        <v>Livre</v>
      </c>
      <c r="G1022" s="211" t="s">
        <v>1265</v>
      </c>
      <c r="H1022" s="211" t="str">
        <f>IFERROR(VLOOKUP(D1022,Consolidado!$E$3:$K$311,7,0),"")</f>
        <v/>
      </c>
      <c r="I1022" s="257"/>
    </row>
    <row r="1023" spans="4:9">
      <c r="D1023" s="267">
        <v>17096</v>
      </c>
      <c r="E1023" s="211" t="s">
        <v>26</v>
      </c>
      <c r="F1023" s="263" t="str">
        <f>IFERROR(IF(COUNTIF(Consolidado!$E$3:$E$358,'Range de Logins'!$D1023)&gt;0,"Em uso","Livre"),"-")</f>
        <v>Livre</v>
      </c>
      <c r="G1023" s="211" t="s">
        <v>1265</v>
      </c>
      <c r="H1023" s="211" t="str">
        <f>IFERROR(VLOOKUP(D1023,Consolidado!$E$3:$K$311,7,0),"")</f>
        <v/>
      </c>
      <c r="I1023" s="257"/>
    </row>
    <row r="1024" spans="4:9">
      <c r="D1024" s="267">
        <v>17098</v>
      </c>
      <c r="E1024" s="211" t="s">
        <v>26</v>
      </c>
      <c r="F1024" s="263" t="str">
        <f>IFERROR(IF(COUNTIF(Consolidado!$E$3:$E$358,'Range de Logins'!$D1024)&gt;0,"Em uso","Livre"),"-")</f>
        <v>Livre</v>
      </c>
      <c r="G1024" s="211" t="s">
        <v>1265</v>
      </c>
      <c r="H1024" s="211" t="str">
        <f>IFERROR(VLOOKUP(D1024,Consolidado!$E$3:$K$311,7,0),"")</f>
        <v/>
      </c>
      <c r="I1024" s="257"/>
    </row>
    <row r="1025" spans="4:9">
      <c r="D1025" s="267">
        <v>17099</v>
      </c>
      <c r="E1025" s="211" t="s">
        <v>26</v>
      </c>
      <c r="F1025" s="263" t="str">
        <f>IFERROR(IF(COUNTIF(Consolidado!$E$3:$E$358,'Range de Logins'!$D1025)&gt;0,"Em uso","Livre"),"-")</f>
        <v>Livre</v>
      </c>
      <c r="G1025" s="211" t="s">
        <v>1265</v>
      </c>
      <c r="H1025" s="211" t="str">
        <f>IFERROR(VLOOKUP(D1025,Consolidado!$E$3:$K$311,7,0),"")</f>
        <v/>
      </c>
      <c r="I1025" s="257"/>
    </row>
    <row r="1026" spans="4:9">
      <c r="D1026" s="267">
        <v>12530</v>
      </c>
      <c r="E1026" s="211">
        <v>936569</v>
      </c>
      <c r="F1026" s="263" t="str">
        <f>IFERROR(IF(COUNTIF(Consolidado!$E$3:$E$358,'Range de Logins'!$D1026)&gt;0,"Em uso","Livre"),"-")</f>
        <v>Livre</v>
      </c>
      <c r="G1026" s="211" t="s">
        <v>1065</v>
      </c>
      <c r="H1026" s="211" t="str">
        <f>IFERROR(VLOOKUP(D1026,Consolidado!$E$3:$K$311,7,0),"")</f>
        <v/>
      </c>
      <c r="I1026" s="257"/>
    </row>
    <row r="1027" spans="4:9">
      <c r="D1027" s="267">
        <v>12531</v>
      </c>
      <c r="E1027" s="211">
        <v>877656</v>
      </c>
      <c r="F1027" s="263" t="str">
        <f>IFERROR(IF(COUNTIF(Consolidado!$E$3:$E$358,'Range de Logins'!$D1027)&gt;0,"Em uso","Livre"),"-")</f>
        <v>Livre</v>
      </c>
      <c r="G1027" s="211" t="s">
        <v>1065</v>
      </c>
      <c r="H1027" s="211" t="str">
        <f>IFERROR(VLOOKUP(D1027,Consolidado!$E$3:$K$311,7,0),"")</f>
        <v/>
      </c>
      <c r="I1027" s="257"/>
    </row>
    <row r="1028" spans="4:9">
      <c r="D1028" s="267">
        <v>17103</v>
      </c>
      <c r="E1028" s="211" t="s">
        <v>26</v>
      </c>
      <c r="F1028" s="263" t="str">
        <f>IFERROR(IF(COUNTIF(Consolidado!$E$3:$E$358,'Range de Logins'!$D1028)&gt;0,"Em uso","Livre"),"-")</f>
        <v>Livre</v>
      </c>
      <c r="G1028" s="211" t="s">
        <v>1265</v>
      </c>
      <c r="H1028" s="211" t="str">
        <f>IFERROR(VLOOKUP(D1028,Consolidado!$E$3:$K$311,7,0),"")</f>
        <v/>
      </c>
      <c r="I1028" s="257"/>
    </row>
    <row r="1029" spans="4:9">
      <c r="D1029" s="267">
        <v>12534</v>
      </c>
      <c r="E1029" s="211" t="s">
        <v>26</v>
      </c>
      <c r="F1029" s="263" t="str">
        <f>IFERROR(IF(COUNTIF(Consolidado!$E$3:$E$358,'Range de Logins'!$D1029)&gt;0,"Em uso","Livre"),"-")</f>
        <v>Livre</v>
      </c>
      <c r="G1029" s="211" t="s">
        <v>1065</v>
      </c>
      <c r="H1029" s="211" t="str">
        <f>IFERROR(VLOOKUP(D1029,Consolidado!$E$3:$K$311,7,0),"")</f>
        <v/>
      </c>
      <c r="I1029" s="257"/>
    </row>
    <row r="1030" spans="4:9">
      <c r="D1030" s="267">
        <v>12536</v>
      </c>
      <c r="E1030" s="211">
        <v>813601</v>
      </c>
      <c r="F1030" s="263" t="str">
        <f>IFERROR(IF(COUNTIF(Consolidado!$E$3:$E$358,'Range de Logins'!$D1030)&gt;0,"Em uso","Livre"),"-")</f>
        <v>Em uso</v>
      </c>
      <c r="G1030" s="211" t="s">
        <v>1065</v>
      </c>
      <c r="H1030" s="211" t="str">
        <f>IFERROR(VLOOKUP(D1030,Consolidado!$E$3:$K$311,7,0),"")</f>
        <v>TCO</v>
      </c>
      <c r="I1030" s="257"/>
    </row>
    <row r="1031" spans="4:9">
      <c r="D1031" s="267">
        <v>12538</v>
      </c>
      <c r="E1031" s="211">
        <v>773788</v>
      </c>
      <c r="F1031" s="263" t="str">
        <f>IFERROR(IF(COUNTIF(Consolidado!$E$3:$E$358,'Range de Logins'!$D1031)&gt;0,"Em uso","Livre"),"-")</f>
        <v>Em uso</v>
      </c>
      <c r="G1031" s="211" t="s">
        <v>1065</v>
      </c>
      <c r="H1031" s="211" t="str">
        <f>IFERROR(VLOOKUP(D1031,Consolidado!$E$3:$K$311,7,0),"")</f>
        <v>Unassisted</v>
      </c>
      <c r="I1031" s="257"/>
    </row>
    <row r="1032" spans="4:9">
      <c r="D1032" s="267">
        <v>12539</v>
      </c>
      <c r="E1032" s="211" t="s">
        <v>26</v>
      </c>
      <c r="F1032" s="263" t="str">
        <f>IFERROR(IF(COUNTIF(Consolidado!$E$3:$E$358,'Range de Logins'!$D1032)&gt;0,"Em uso","Livre"),"-")</f>
        <v>Livre</v>
      </c>
      <c r="G1032" s="211" t="s">
        <v>1065</v>
      </c>
      <c r="H1032" s="211" t="str">
        <f>IFERROR(VLOOKUP(D1032,Consolidado!$E$3:$K$311,7,0),"")</f>
        <v/>
      </c>
      <c r="I1032" s="257"/>
    </row>
    <row r="1033" spans="4:9">
      <c r="D1033" s="267">
        <v>17107</v>
      </c>
      <c r="E1033" s="211" t="s">
        <v>26</v>
      </c>
      <c r="F1033" s="263" t="str">
        <f>IFERROR(IF(COUNTIF(Consolidado!$E$3:$E$358,'Range de Logins'!$D1033)&gt;0,"Em uso","Livre"),"-")</f>
        <v>Livre</v>
      </c>
      <c r="G1033" s="211" t="s">
        <v>1265</v>
      </c>
      <c r="H1033" s="211" t="str">
        <f>IFERROR(VLOOKUP(D1033,Consolidado!$E$3:$K$311,7,0),"")</f>
        <v/>
      </c>
      <c r="I1033" s="257"/>
    </row>
    <row r="1034" spans="4:9">
      <c r="D1034" s="267">
        <v>12544</v>
      </c>
      <c r="E1034" s="211">
        <v>725657</v>
      </c>
      <c r="F1034" s="263" t="str">
        <f>IFERROR(IF(COUNTIF(Consolidado!$E$3:$E$358,'Range de Logins'!$D1034)&gt;0,"Em uso","Livre"),"-")</f>
        <v>Em uso</v>
      </c>
      <c r="G1034" s="211" t="s">
        <v>1065</v>
      </c>
      <c r="H1034" s="211" t="str">
        <f>IFERROR(VLOOKUP(D1034,Consolidado!$E$3:$K$311,7,0),"")</f>
        <v>FUPOTECH</v>
      </c>
      <c r="I1034" s="257"/>
    </row>
    <row r="1035" spans="4:9">
      <c r="D1035" s="267">
        <v>12545</v>
      </c>
      <c r="E1035" s="211">
        <v>985042</v>
      </c>
      <c r="F1035" s="263" t="str">
        <f>IFERROR(IF(COUNTIF(Consolidado!$E$3:$E$358,'Range de Logins'!$D1035)&gt;0,"Em uso","Livre"),"-")</f>
        <v>Em uso</v>
      </c>
      <c r="G1035" s="211" t="s">
        <v>1065</v>
      </c>
      <c r="H1035" s="211" t="str">
        <f>IFERROR(VLOOKUP(D1035,Consolidado!$E$3:$K$311,7,0),"")</f>
        <v>FUPO</v>
      </c>
      <c r="I1035" s="257"/>
    </row>
    <row r="1036" spans="4:9">
      <c r="D1036" s="267">
        <v>17108</v>
      </c>
      <c r="E1036" s="211" t="s">
        <v>26</v>
      </c>
      <c r="F1036" s="263" t="str">
        <f>IFERROR(IF(COUNTIF(Consolidado!$E$3:$E$358,'Range de Logins'!$D1036)&gt;0,"Em uso","Livre"),"-")</f>
        <v>Livre</v>
      </c>
      <c r="G1036" s="211" t="s">
        <v>1265</v>
      </c>
      <c r="H1036" s="211" t="str">
        <f>IFERROR(VLOOKUP(D1036,Consolidado!$E$3:$K$311,7,0),"")</f>
        <v/>
      </c>
      <c r="I1036" s="257"/>
    </row>
    <row r="1037" spans="4:9">
      <c r="D1037" s="267">
        <v>12553</v>
      </c>
      <c r="E1037" s="211">
        <v>875029</v>
      </c>
      <c r="F1037" s="263" t="str">
        <f>IFERROR(IF(COUNTIF(Consolidado!$E$3:$E$358,'Range de Logins'!$D1037)&gt;0,"Em uso","Livre"),"-")</f>
        <v>Em uso</v>
      </c>
      <c r="G1037" s="211" t="s">
        <v>1065</v>
      </c>
      <c r="H1037" s="211" t="str">
        <f>IFERROR(VLOOKUP(D1037,Consolidado!$E$3:$K$311,7,0),"")</f>
        <v>ECR</v>
      </c>
      <c r="I1037" s="257"/>
    </row>
    <row r="1038" spans="4:9">
      <c r="D1038" s="267">
        <v>12557</v>
      </c>
      <c r="E1038" s="211">
        <v>285547</v>
      </c>
      <c r="F1038" s="263" t="str">
        <f>IFERROR(IF(COUNTIF(Consolidado!$E$3:$E$358,'Range de Logins'!$D1038)&gt;0,"Em uso","Livre"),"-")</f>
        <v>Em uso</v>
      </c>
      <c r="G1038" s="211" t="s">
        <v>1065</v>
      </c>
      <c r="H1038" s="211" t="str">
        <f>IFERROR(VLOOKUP(D1038,Consolidado!$E$3:$K$311,7,0),"")</f>
        <v>TCO</v>
      </c>
      <c r="I1038" s="257"/>
    </row>
    <row r="1039" spans="4:9">
      <c r="D1039" s="267">
        <v>17109</v>
      </c>
      <c r="E1039" s="211" t="s">
        <v>26</v>
      </c>
      <c r="F1039" s="263" t="str">
        <f>IFERROR(IF(COUNTIF(Consolidado!$E$3:$E$358,'Range de Logins'!$D1039)&gt;0,"Em uso","Livre"),"-")</f>
        <v>Livre</v>
      </c>
      <c r="G1039" s="211" t="s">
        <v>1265</v>
      </c>
      <c r="H1039" s="211" t="str">
        <f>IFERROR(VLOOKUP(D1039,Consolidado!$E$3:$K$311,7,0),"")</f>
        <v/>
      </c>
      <c r="I1039" s="257"/>
    </row>
    <row r="1040" spans="4:9">
      <c r="D1040" s="267">
        <v>12566</v>
      </c>
      <c r="E1040" s="211">
        <v>761433</v>
      </c>
      <c r="F1040" s="263" t="str">
        <f>IFERROR(IF(COUNTIF(Consolidado!$E$3:$E$358,'Range de Logins'!$D1040)&gt;0,"Em uso","Livre"),"-")</f>
        <v>Em uso</v>
      </c>
      <c r="G1040" s="211" t="s">
        <v>1065</v>
      </c>
      <c r="H1040" s="211" t="str">
        <f>IFERROR(VLOOKUP(D1040,Consolidado!$E$3:$K$311,7,0),"")</f>
        <v>Unassisted</v>
      </c>
      <c r="I1040" s="257"/>
    </row>
    <row r="1041" spans="4:9">
      <c r="D1041" s="267">
        <v>17110</v>
      </c>
      <c r="E1041" s="211" t="s">
        <v>26</v>
      </c>
      <c r="F1041" s="263" t="str">
        <f>IFERROR(IF(COUNTIF(Consolidado!$E$3:$E$358,'Range de Logins'!$D1041)&gt;0,"Em uso","Livre"),"-")</f>
        <v>Livre</v>
      </c>
      <c r="G1041" s="211" t="s">
        <v>1265</v>
      </c>
      <c r="H1041" s="211" t="str">
        <f>IFERROR(VLOOKUP(D1041,Consolidado!$E$3:$K$311,7,0),"")</f>
        <v/>
      </c>
      <c r="I1041" s="257"/>
    </row>
    <row r="1042" spans="4:9">
      <c r="D1042" s="267">
        <v>12569</v>
      </c>
      <c r="E1042" s="211">
        <v>498463</v>
      </c>
      <c r="F1042" s="263" t="str">
        <f>IFERROR(IF(COUNTIF(Consolidado!$E$3:$E$358,'Range de Logins'!$D1042)&gt;0,"Em uso","Livre"),"-")</f>
        <v>Livre</v>
      </c>
      <c r="G1042" s="211" t="s">
        <v>1065</v>
      </c>
      <c r="H1042" s="211" t="str">
        <f>IFERROR(VLOOKUP(D1042,Consolidado!$E$3:$K$311,7,0),"")</f>
        <v/>
      </c>
      <c r="I1042" s="257"/>
    </row>
    <row r="1043" spans="4:9">
      <c r="D1043" s="267">
        <v>12570</v>
      </c>
      <c r="E1043" s="211">
        <v>870325</v>
      </c>
      <c r="F1043" s="263" t="str">
        <f>IFERROR(IF(COUNTIF(Consolidado!$E$3:$E$358,'Range de Logins'!$D1043)&gt;0,"Em uso","Livre"),"-")</f>
        <v>Livre</v>
      </c>
      <c r="G1043" s="211" t="s">
        <v>1065</v>
      </c>
      <c r="H1043" s="211" t="str">
        <f>IFERROR(VLOOKUP(D1043,Consolidado!$E$3:$K$311,7,0),"")</f>
        <v/>
      </c>
      <c r="I1043" s="257"/>
    </row>
    <row r="1044" spans="4:9">
      <c r="D1044" s="267">
        <v>12573</v>
      </c>
      <c r="E1044" s="211">
        <v>716537</v>
      </c>
      <c r="F1044" s="263" t="str">
        <f>IFERROR(IF(COUNTIF(Consolidado!$E$3:$E$358,'Range de Logins'!$D1044)&gt;0,"Em uso","Livre"),"-")</f>
        <v>Em uso</v>
      </c>
      <c r="G1044" s="211" t="s">
        <v>1065</v>
      </c>
      <c r="H1044" s="211" t="str">
        <f>IFERROR(VLOOKUP(D1044,Consolidado!$E$3:$K$311,7,0),"")</f>
        <v>Unassisted</v>
      </c>
      <c r="I1044" s="257"/>
    </row>
    <row r="1045" spans="4:9">
      <c r="D1045" s="267">
        <v>12577</v>
      </c>
      <c r="E1045" s="211">
        <v>598657</v>
      </c>
      <c r="F1045" s="263" t="str">
        <f>IFERROR(IF(COUNTIF(Consolidado!$E$3:$E$358,'Range de Logins'!$D1045)&gt;0,"Em uso","Livre"),"-")</f>
        <v>Em uso</v>
      </c>
      <c r="G1045" s="211" t="s">
        <v>1065</v>
      </c>
      <c r="H1045" s="211" t="str">
        <f>IFERROR(VLOOKUP(D1045,Consolidado!$E$3:$K$311,7,0),"")</f>
        <v>TCO</v>
      </c>
      <c r="I1045" s="257"/>
    </row>
    <row r="1046" spans="4:9">
      <c r="D1046" s="267">
        <v>12578</v>
      </c>
      <c r="E1046" s="211">
        <v>365845</v>
      </c>
      <c r="F1046" s="263" t="str">
        <f>IFERROR(IF(COUNTIF(Consolidado!$E$3:$E$358,'Range de Logins'!$D1046)&gt;0,"Em uso","Livre"),"-")</f>
        <v>Em uso</v>
      </c>
      <c r="G1046" s="211" t="s">
        <v>1065</v>
      </c>
      <c r="H1046" s="211" t="str">
        <f>IFERROR(VLOOKUP(D1046,Consolidado!$E$3:$K$311,7,0),"")</f>
        <v>Metricas e Ferramentas</v>
      </c>
      <c r="I1046" s="257"/>
    </row>
    <row r="1047" spans="4:9">
      <c r="D1047" s="267">
        <v>12579</v>
      </c>
      <c r="E1047" s="211" t="s">
        <v>26</v>
      </c>
      <c r="F1047" s="263" t="str">
        <f>IFERROR(IF(COUNTIF(Consolidado!$E$3:$E$358,'Range de Logins'!$D1047)&gt;0,"Em uso","Livre"),"-")</f>
        <v>Em uso</v>
      </c>
      <c r="G1047" s="211" t="s">
        <v>1265</v>
      </c>
      <c r="H1047" s="211" t="str">
        <f>IFERROR(VLOOKUP(D1047,Consolidado!$E$3:$K$311,7,0),"")</f>
        <v>TCO</v>
      </c>
      <c r="I1047" s="257"/>
    </row>
    <row r="1048" spans="4:9">
      <c r="D1048" s="267">
        <v>17112</v>
      </c>
      <c r="E1048" s="211" t="s">
        <v>26</v>
      </c>
      <c r="F1048" s="263" t="str">
        <f>IFERROR(IF(COUNTIF(Consolidado!$E$3:$E$358,'Range de Logins'!$D1048)&gt;0,"Em uso","Livre"),"-")</f>
        <v>Livre</v>
      </c>
      <c r="G1048" s="211" t="s">
        <v>1265</v>
      </c>
      <c r="H1048" s="211" t="str">
        <f>IFERROR(VLOOKUP(D1048,Consolidado!$E$3:$K$311,7,0),"")</f>
        <v/>
      </c>
      <c r="I1048" s="257"/>
    </row>
    <row r="1049" spans="4:9">
      <c r="D1049" s="267">
        <v>17113</v>
      </c>
      <c r="E1049" s="211" t="s">
        <v>26</v>
      </c>
      <c r="F1049" s="263" t="str">
        <f>IFERROR(IF(COUNTIF(Consolidado!$E$3:$E$358,'Range de Logins'!$D1049)&gt;0,"Em uso","Livre"),"-")</f>
        <v>Livre</v>
      </c>
      <c r="G1049" s="211" t="s">
        <v>1265</v>
      </c>
      <c r="H1049" s="211" t="str">
        <f>IFERROR(VLOOKUP(D1049,Consolidado!$E$3:$K$311,7,0),"")</f>
        <v/>
      </c>
      <c r="I1049" s="257"/>
    </row>
    <row r="1050" spans="4:9">
      <c r="D1050" s="267">
        <v>12582</v>
      </c>
      <c r="E1050" s="211" t="s">
        <v>26</v>
      </c>
      <c r="F1050" s="263" t="str">
        <f>IFERROR(IF(COUNTIF(Consolidado!$E$3:$E$358,'Range de Logins'!$D1050)&gt;0,"Em uso","Livre"),"-")</f>
        <v>Em uso</v>
      </c>
      <c r="G1050" s="211" t="s">
        <v>1065</v>
      </c>
      <c r="H1050" s="211" t="str">
        <f>IFERROR(VLOOKUP(D1050,Consolidado!$E$3:$K$311,7,0),"")</f>
        <v>Mídia Social</v>
      </c>
      <c r="I1050" s="257"/>
    </row>
    <row r="1051" spans="4:9">
      <c r="D1051" s="267">
        <v>12583</v>
      </c>
      <c r="E1051" s="211">
        <v>834890</v>
      </c>
      <c r="F1051" s="263" t="str">
        <f>IFERROR(IF(COUNTIF(Consolidado!$E$3:$E$358,'Range de Logins'!$D1051)&gt;0,"Em uso","Livre"),"-")</f>
        <v>Livre</v>
      </c>
      <c r="G1051" s="211" t="s">
        <v>1065</v>
      </c>
      <c r="H1051" s="211" t="str">
        <f>IFERROR(VLOOKUP(D1051,Consolidado!$E$3:$K$311,7,0),"")</f>
        <v/>
      </c>
      <c r="I1051" s="257"/>
    </row>
    <row r="1052" spans="4:9">
      <c r="D1052" s="267">
        <v>12584</v>
      </c>
      <c r="E1052" s="211">
        <v>449321</v>
      </c>
      <c r="F1052" s="263" t="str">
        <f>IFERROR(IF(COUNTIF(Consolidado!$E$3:$E$358,'Range de Logins'!$D1052)&gt;0,"Em uso","Livre"),"-")</f>
        <v>Livre</v>
      </c>
      <c r="G1052" s="211" t="s">
        <v>1065</v>
      </c>
      <c r="H1052" s="211" t="str">
        <f>IFERROR(VLOOKUP(D1052,Consolidado!$E$3:$K$311,7,0),"")</f>
        <v/>
      </c>
      <c r="I1052" s="257"/>
    </row>
    <row r="1053" spans="4:9">
      <c r="D1053" s="267">
        <v>17114</v>
      </c>
      <c r="E1053" s="211" t="s">
        <v>26</v>
      </c>
      <c r="F1053" s="263" t="str">
        <f>IFERROR(IF(COUNTIF(Consolidado!$E$3:$E$358,'Range de Logins'!$D1053)&gt;0,"Em uso","Livre"),"-")</f>
        <v>Livre</v>
      </c>
      <c r="G1053" s="211" t="s">
        <v>1265</v>
      </c>
      <c r="H1053" s="211" t="str">
        <f>IFERROR(VLOOKUP(D1053,Consolidado!$E$3:$K$311,7,0),"")</f>
        <v/>
      </c>
      <c r="I1053" s="257"/>
    </row>
    <row r="1054" spans="4:9">
      <c r="D1054" s="267">
        <v>12587</v>
      </c>
      <c r="E1054" s="211">
        <v>657594</v>
      </c>
      <c r="F1054" s="263" t="str">
        <f>IFERROR(IF(COUNTIF(Consolidado!$E$3:$E$358,'Range de Logins'!$D1054)&gt;0,"Em uso","Livre"),"-")</f>
        <v>Em uso</v>
      </c>
      <c r="G1054" s="211" t="s">
        <v>1065</v>
      </c>
      <c r="H1054" s="211" t="str">
        <f>IFERROR(VLOOKUP(D1054,Consolidado!$E$3:$K$311,7,0),"")</f>
        <v>ECR</v>
      </c>
      <c r="I1054" s="257"/>
    </row>
    <row r="1055" spans="4:9">
      <c r="D1055" s="267">
        <v>12588</v>
      </c>
      <c r="E1055" s="211">
        <v>834017</v>
      </c>
      <c r="F1055" s="263" t="str">
        <f>IFERROR(IF(COUNTIF(Consolidado!$E$3:$E$358,'Range de Logins'!$D1055)&gt;0,"Em uso","Livre"),"-")</f>
        <v>Em uso</v>
      </c>
      <c r="G1055" s="211" t="s">
        <v>1065</v>
      </c>
      <c r="H1055" s="211" t="str">
        <f>IFERROR(VLOOKUP(D1055,Consolidado!$E$3:$K$311,7,0),"")</f>
        <v>ECR</v>
      </c>
      <c r="I1055" s="257"/>
    </row>
    <row r="1056" spans="4:9">
      <c r="D1056" s="267">
        <v>12589</v>
      </c>
      <c r="E1056" s="211">
        <v>371890</v>
      </c>
      <c r="F1056" s="263" t="str">
        <f>IFERROR(IF(COUNTIF(Consolidado!$E$3:$E$358,'Range de Logins'!$D1056)&gt;0,"Em uso","Livre"),"-")</f>
        <v>Livre</v>
      </c>
      <c r="G1056" s="211" t="s">
        <v>1065</v>
      </c>
      <c r="H1056" s="211" t="str">
        <f>IFERROR(VLOOKUP(D1056,Consolidado!$E$3:$K$311,7,0),"")</f>
        <v/>
      </c>
      <c r="I1056" s="257"/>
    </row>
    <row r="1057" spans="4:9">
      <c r="D1057" s="267">
        <v>12591</v>
      </c>
      <c r="E1057" s="211">
        <v>829343</v>
      </c>
      <c r="F1057" s="263" t="str">
        <f>IFERROR(IF(COUNTIF(Consolidado!$E$3:$E$358,'Range de Logins'!$D1057)&gt;0,"Em uso","Livre"),"-")</f>
        <v>Em uso</v>
      </c>
      <c r="G1057" s="211" t="s">
        <v>1065</v>
      </c>
      <c r="H1057" s="211" t="str">
        <f>IFERROR(VLOOKUP(D1057,Consolidado!$E$3:$K$311,7,0),"")</f>
        <v>ECR</v>
      </c>
      <c r="I1057" s="257"/>
    </row>
    <row r="1058" spans="4:9">
      <c r="D1058" s="267">
        <v>17115</v>
      </c>
      <c r="E1058" s="211" t="s">
        <v>26</v>
      </c>
      <c r="F1058" s="263" t="str">
        <f>IFERROR(IF(COUNTIF(Consolidado!$E$3:$E$358,'Range de Logins'!$D1058)&gt;0,"Em uso","Livre"),"-")</f>
        <v>Livre</v>
      </c>
      <c r="G1058" s="211" t="s">
        <v>1265</v>
      </c>
      <c r="H1058" s="211" t="str">
        <f>IFERROR(VLOOKUP(D1058,Consolidado!$E$3:$K$311,7,0),"")</f>
        <v/>
      </c>
      <c r="I1058" s="257"/>
    </row>
    <row r="1059" spans="4:9">
      <c r="D1059" s="267">
        <v>17117</v>
      </c>
      <c r="E1059" s="211" t="s">
        <v>26</v>
      </c>
      <c r="F1059" s="263" t="str">
        <f>IFERROR(IF(COUNTIF(Consolidado!$E$3:$E$358,'Range de Logins'!$D1059)&gt;0,"Em uso","Livre"),"-")</f>
        <v>Livre</v>
      </c>
      <c r="G1059" s="211" t="s">
        <v>1265</v>
      </c>
      <c r="H1059" s="211" t="str">
        <f>IFERROR(VLOOKUP(D1059,Consolidado!$E$3:$K$311,7,0),"")</f>
        <v/>
      </c>
      <c r="I1059" s="257"/>
    </row>
    <row r="1060" spans="4:9">
      <c r="D1060" s="267">
        <v>17118</v>
      </c>
      <c r="E1060" s="211">
        <v>578219</v>
      </c>
      <c r="F1060" s="263" t="str">
        <f>IFERROR(IF(COUNTIF(Consolidado!$E$3:$E$358,'Range de Logins'!$D1060)&gt;0,"Em uso","Livre"),"-")</f>
        <v>Livre</v>
      </c>
      <c r="G1060" s="211" t="s">
        <v>1265</v>
      </c>
      <c r="H1060" s="211" t="str">
        <f>IFERROR(VLOOKUP(D1060,Consolidado!$E$3:$K$311,7,0),"")</f>
        <v/>
      </c>
      <c r="I1060" s="257"/>
    </row>
    <row r="1061" spans="4:9">
      <c r="D1061" s="267">
        <v>12608</v>
      </c>
      <c r="E1061" s="211">
        <v>195846</v>
      </c>
      <c r="F1061" s="263" t="str">
        <f>IFERROR(IF(COUNTIF(Consolidado!$E$3:$E$358,'Range de Logins'!$D1061)&gt;0,"Em uso","Livre"),"-")</f>
        <v>Em uso</v>
      </c>
      <c r="G1061" s="211" t="s">
        <v>1065</v>
      </c>
      <c r="H1061" s="211" t="str">
        <f>IFERROR(VLOOKUP(D1061,Consolidado!$E$3:$K$311,7,0),"")</f>
        <v>Metricas e Ferramentas</v>
      </c>
      <c r="I1061" s="257"/>
    </row>
    <row r="1062" spans="4:9">
      <c r="D1062" s="267">
        <v>12610</v>
      </c>
      <c r="E1062" s="211">
        <v>692538</v>
      </c>
      <c r="F1062" s="263" t="str">
        <f>IFERROR(IF(COUNTIF(Consolidado!$E$3:$E$358,'Range de Logins'!$D1062)&gt;0,"Em uso","Livre"),"-")</f>
        <v>Livre</v>
      </c>
      <c r="G1062" s="211" t="s">
        <v>1065</v>
      </c>
      <c r="H1062" s="211" t="str">
        <f>IFERROR(VLOOKUP(D1062,Consolidado!$E$3:$K$311,7,0),"")</f>
        <v/>
      </c>
      <c r="I1062" s="257"/>
    </row>
    <row r="1063" spans="4:9">
      <c r="D1063" s="267">
        <v>17122</v>
      </c>
      <c r="E1063" s="211" t="s">
        <v>26</v>
      </c>
      <c r="F1063" s="263" t="str">
        <f>IFERROR(IF(COUNTIF(Consolidado!$E$3:$E$358,'Range de Logins'!$D1063)&gt;0,"Em uso","Livre"),"-")</f>
        <v>Livre</v>
      </c>
      <c r="G1063" s="211" t="s">
        <v>1265</v>
      </c>
      <c r="H1063" s="211" t="str">
        <f>IFERROR(VLOOKUP(D1063,Consolidado!$E$3:$K$311,7,0),"")</f>
        <v/>
      </c>
      <c r="I1063" s="257"/>
    </row>
    <row r="1064" spans="4:9">
      <c r="D1064" s="267">
        <v>12645</v>
      </c>
      <c r="E1064" s="211" t="s">
        <v>26</v>
      </c>
      <c r="F1064" s="263" t="str">
        <f>IFERROR(IF(COUNTIF(Consolidado!$E$3:$E$358,'Range de Logins'!$D1064)&gt;0,"Em uso","Livre"),"-")</f>
        <v>Em uso</v>
      </c>
      <c r="G1064" s="211" t="s">
        <v>1265</v>
      </c>
      <c r="H1064" s="211" t="str">
        <f>IFERROR(VLOOKUP(D1064,Consolidado!$E$3:$K$311,7,0),"")</f>
        <v>PSG</v>
      </c>
      <c r="I1064" s="257"/>
    </row>
    <row r="1065" spans="4:9">
      <c r="D1065" s="267">
        <v>12650</v>
      </c>
      <c r="E1065" s="211">
        <v>839234</v>
      </c>
      <c r="F1065" s="263" t="str">
        <f>IFERROR(IF(COUNTIF(Consolidado!$E$3:$E$358,'Range de Logins'!$D1065)&gt;0,"Em uso","Livre"),"-")</f>
        <v>Em uso</v>
      </c>
      <c r="G1065" s="211" t="s">
        <v>1065</v>
      </c>
      <c r="H1065" s="211" t="str">
        <f>IFERROR(VLOOKUP(D1065,Consolidado!$E$3:$K$311,7,0),"")</f>
        <v>BCD</v>
      </c>
      <c r="I1065" s="257"/>
    </row>
    <row r="1066" spans="4:9">
      <c r="D1066" s="267">
        <v>12654</v>
      </c>
      <c r="E1066" s="211">
        <v>689074</v>
      </c>
      <c r="F1066" s="263" t="str">
        <f>IFERROR(IF(COUNTIF(Consolidado!$E$3:$E$358,'Range de Logins'!$D1066)&gt;0,"Em uso","Livre"),"-")</f>
        <v>Livre</v>
      </c>
      <c r="G1066" s="211" t="s">
        <v>1065</v>
      </c>
      <c r="H1066" s="211" t="str">
        <f>IFERROR(VLOOKUP(D1066,Consolidado!$E$3:$K$311,7,0),"")</f>
        <v/>
      </c>
      <c r="I1066" s="257"/>
    </row>
    <row r="1067" spans="4:9">
      <c r="D1067" s="267">
        <v>12800</v>
      </c>
      <c r="E1067" s="211" t="s">
        <v>26</v>
      </c>
      <c r="F1067" s="263" t="str">
        <f>IFERROR(IF(COUNTIF(Consolidado!$E$3:$E$358,'Range de Logins'!$D1067)&gt;0,"Em uso","Livre"),"-")</f>
        <v>Livre</v>
      </c>
      <c r="G1067" s="211" t="s">
        <v>1065</v>
      </c>
      <c r="H1067" s="211" t="str">
        <f>IFERROR(VLOOKUP(D1067,Consolidado!$E$3:$K$311,7,0),"")</f>
        <v/>
      </c>
      <c r="I1067" s="257"/>
    </row>
    <row r="1068" spans="4:9">
      <c r="D1068" s="267">
        <v>17123</v>
      </c>
      <c r="E1068" s="211" t="s">
        <v>26</v>
      </c>
      <c r="F1068" s="263" t="str">
        <f>IFERROR(IF(COUNTIF(Consolidado!$E$3:$E$358,'Range de Logins'!$D1068)&gt;0,"Em uso","Livre"),"-")</f>
        <v>Livre</v>
      </c>
      <c r="G1068" s="211" t="s">
        <v>1265</v>
      </c>
      <c r="H1068" s="211" t="str">
        <f>IFERROR(VLOOKUP(D1068,Consolidado!$E$3:$K$311,7,0),"")</f>
        <v/>
      </c>
      <c r="I1068" s="257"/>
    </row>
    <row r="1069" spans="4:9">
      <c r="D1069" s="267">
        <v>12664</v>
      </c>
      <c r="E1069" s="211">
        <v>184364</v>
      </c>
      <c r="F1069" s="263" t="str">
        <f>IFERROR(IF(COUNTIF(Consolidado!$E$3:$E$358,'Range de Logins'!$D1069)&gt;0,"Em uso","Livre"),"-")</f>
        <v>Em uso</v>
      </c>
      <c r="G1069" s="211" t="s">
        <v>1065</v>
      </c>
      <c r="H1069" s="211" t="str">
        <f>IFERROR(VLOOKUP(D1069,Consolidado!$E$3:$K$311,7,0),"")</f>
        <v>Order Management</v>
      </c>
      <c r="I1069" s="257"/>
    </row>
    <row r="1070" spans="4:9">
      <c r="D1070" s="267">
        <v>12665</v>
      </c>
      <c r="E1070" s="211">
        <v>767867</v>
      </c>
      <c r="F1070" s="263" t="str">
        <f>IFERROR(IF(COUNTIF(Consolidado!$E$3:$E$358,'Range de Logins'!$D1070)&gt;0,"Em uso","Livre"),"-")</f>
        <v>Em uso</v>
      </c>
      <c r="G1070" s="211" t="s">
        <v>1065</v>
      </c>
      <c r="H1070" s="211" t="str">
        <f>IFERROR(VLOOKUP(D1070,Consolidado!$E$3:$K$311,7,0),"")</f>
        <v>FUPO</v>
      </c>
      <c r="I1070" s="257"/>
    </row>
    <row r="1071" spans="4:9">
      <c r="D1071" s="267">
        <v>12666</v>
      </c>
      <c r="E1071" s="211">
        <v>689457</v>
      </c>
      <c r="F1071" s="263" t="str">
        <f>IFERROR(IF(COUNTIF(Consolidado!$E$3:$E$358,'Range de Logins'!$D1071)&gt;0,"Em uso","Livre"),"-")</f>
        <v>Em uso</v>
      </c>
      <c r="G1071" s="211" t="s">
        <v>1065</v>
      </c>
      <c r="H1071" s="211" t="str">
        <f>IFERROR(VLOOKUP(D1071,Consolidado!$E$3:$K$311,7,0),"")</f>
        <v>IPG</v>
      </c>
      <c r="I1071" s="257"/>
    </row>
    <row r="1072" spans="4:9">
      <c r="D1072" s="267">
        <v>17124</v>
      </c>
      <c r="E1072" s="211" t="s">
        <v>26</v>
      </c>
      <c r="F1072" s="263" t="str">
        <f>IFERROR(IF(COUNTIF(Consolidado!$E$3:$E$358,'Range de Logins'!$D1072)&gt;0,"Em uso","Livre"),"-")</f>
        <v>Livre</v>
      </c>
      <c r="G1072" s="211" t="s">
        <v>1265</v>
      </c>
      <c r="H1072" s="211" t="str">
        <f>IFERROR(VLOOKUP(D1072,Consolidado!$E$3:$K$311,7,0),"")</f>
        <v/>
      </c>
      <c r="I1072" s="257"/>
    </row>
    <row r="1073" spans="4:9">
      <c r="D1073" s="267">
        <v>12669</v>
      </c>
      <c r="E1073" s="211">
        <v>689274</v>
      </c>
      <c r="F1073" s="263" t="str">
        <f>IFERROR(IF(COUNTIF(Consolidado!$E$3:$E$358,'Range de Logins'!$D1073)&gt;0,"Em uso","Livre"),"-")</f>
        <v>Livre</v>
      </c>
      <c r="G1073" s="211" t="s">
        <v>1065</v>
      </c>
      <c r="H1073" s="211" t="str">
        <f>IFERROR(VLOOKUP(D1073,Consolidado!$E$3:$K$311,7,0),"")</f>
        <v/>
      </c>
      <c r="I1073" s="257"/>
    </row>
    <row r="1074" spans="4:9">
      <c r="D1074" s="267">
        <v>12672</v>
      </c>
      <c r="E1074" s="211" t="s">
        <v>26</v>
      </c>
      <c r="F1074" s="263" t="str">
        <f>IFERROR(IF(COUNTIF(Consolidado!$E$3:$E$358,'Range de Logins'!$D1074)&gt;0,"Em uso","Livre"),"-")</f>
        <v>Em uso</v>
      </c>
      <c r="G1074" s="211" t="s">
        <v>1265</v>
      </c>
      <c r="H1074" s="211" t="str">
        <f>IFERROR(VLOOKUP(D1074,Consolidado!$E$3:$K$311,7,0),"")</f>
        <v>IPG</v>
      </c>
      <c r="I1074" s="257"/>
    </row>
    <row r="1075" spans="4:9">
      <c r="D1075" s="267">
        <v>12680</v>
      </c>
      <c r="E1075" s="211">
        <v>365476</v>
      </c>
      <c r="F1075" s="263" t="str">
        <f>IFERROR(IF(COUNTIF(Consolidado!$E$3:$E$358,'Range de Logins'!$D1075)&gt;0,"Em uso","Livre"),"-")</f>
        <v>Em uso</v>
      </c>
      <c r="G1075" s="211" t="s">
        <v>1065</v>
      </c>
      <c r="H1075" s="211" t="str">
        <f>IFERROR(VLOOKUP(D1075,Consolidado!$E$3:$K$311,7,0),"")</f>
        <v>Unassisted</v>
      </c>
      <c r="I1075" s="257"/>
    </row>
    <row r="1076" spans="4:9">
      <c r="D1076" s="267">
        <v>12681</v>
      </c>
      <c r="E1076" s="211" t="s">
        <v>26</v>
      </c>
      <c r="F1076" s="263" t="str">
        <f>IFERROR(IF(COUNTIF(Consolidado!$E$3:$E$358,'Range de Logins'!$D1076)&gt;0,"Em uso","Livre"),"-")</f>
        <v>Em uso</v>
      </c>
      <c r="G1076" s="211" t="s">
        <v>1065</v>
      </c>
      <c r="H1076" s="211" t="str">
        <f>IFERROR(VLOOKUP(D1076,Consolidado!$E$3:$K$311,7,0),"")</f>
        <v>Mídia Social</v>
      </c>
      <c r="I1076" s="257"/>
    </row>
    <row r="1077" spans="4:9">
      <c r="D1077" s="267">
        <v>12682</v>
      </c>
      <c r="E1077" s="211" t="s">
        <v>26</v>
      </c>
      <c r="F1077" s="263" t="str">
        <f>IFERROR(IF(COUNTIF(Consolidado!$E$3:$E$358,'Range de Logins'!$D1077)&gt;0,"Em uso","Livre"),"-")</f>
        <v>Em uso</v>
      </c>
      <c r="G1077" s="211" t="s">
        <v>1065</v>
      </c>
      <c r="H1077" s="211" t="str">
        <f>IFERROR(VLOOKUP(D1077,Consolidado!$E$3:$K$311,7,0),"")</f>
        <v>Mídia Social</v>
      </c>
      <c r="I1077" s="257"/>
    </row>
    <row r="1078" spans="4:9">
      <c r="D1078" s="267">
        <v>12685</v>
      </c>
      <c r="E1078" s="211" t="s">
        <v>26</v>
      </c>
      <c r="F1078" s="263" t="str">
        <f>IFERROR(IF(COUNTIF(Consolidado!$E$3:$E$358,'Range de Logins'!$D1078)&gt;0,"Em uso","Livre"),"-")</f>
        <v>Livre</v>
      </c>
      <c r="G1078" s="211" t="s">
        <v>1265</v>
      </c>
      <c r="H1078" s="211" t="str">
        <f>IFERROR(VLOOKUP(D1078,Consolidado!$E$3:$K$311,7,0),"")</f>
        <v/>
      </c>
      <c r="I1078" s="257"/>
    </row>
    <row r="1079" spans="4:9">
      <c r="D1079" s="267">
        <v>17126</v>
      </c>
      <c r="E1079" s="211" t="s">
        <v>26</v>
      </c>
      <c r="F1079" s="263" t="str">
        <f>IFERROR(IF(COUNTIF(Consolidado!$E$3:$E$358,'Range de Logins'!$D1079)&gt;0,"Em uso","Livre"),"-")</f>
        <v>Livre</v>
      </c>
      <c r="G1079" s="211" t="s">
        <v>1265</v>
      </c>
      <c r="H1079" s="211" t="str">
        <f>IFERROR(VLOOKUP(D1079,Consolidado!$E$3:$K$311,7,0),"")</f>
        <v/>
      </c>
      <c r="I1079" s="257"/>
    </row>
    <row r="1080" spans="4:9">
      <c r="D1080" s="267">
        <v>12694</v>
      </c>
      <c r="E1080" s="211">
        <v>561247</v>
      </c>
      <c r="F1080" s="263" t="str">
        <f>IFERROR(IF(COUNTIF(Consolidado!$E$3:$E$358,'Range de Logins'!$D1080)&gt;0,"Em uso","Livre"),"-")</f>
        <v>Em uso</v>
      </c>
      <c r="G1080" s="211" t="s">
        <v>1065</v>
      </c>
      <c r="H1080" s="211" t="str">
        <f>IFERROR(VLOOKUP(D1080,Consolidado!$E$3:$K$311,7,0),"")</f>
        <v>FUPOTECH</v>
      </c>
      <c r="I1080" s="257"/>
    </row>
    <row r="1081" spans="4:9">
      <c r="D1081" s="267">
        <v>12697</v>
      </c>
      <c r="E1081" s="211">
        <v>659723</v>
      </c>
      <c r="F1081" s="263" t="str">
        <f>IFERROR(IF(COUNTIF(Consolidado!$E$3:$E$358,'Range de Logins'!$D1081)&gt;0,"Em uso","Livre"),"-")</f>
        <v>Em uso</v>
      </c>
      <c r="G1081" s="211" t="s">
        <v>1065</v>
      </c>
      <c r="H1081" s="211" t="str">
        <f>IFERROR(VLOOKUP(D1081,Consolidado!$E$3:$K$311,7,0),"")</f>
        <v>ECR</v>
      </c>
      <c r="I1081" s="257"/>
    </row>
    <row r="1082" spans="4:9">
      <c r="D1082" s="267">
        <v>17127</v>
      </c>
      <c r="E1082" s="211" t="s">
        <v>26</v>
      </c>
      <c r="F1082" s="263" t="str">
        <f>IFERROR(IF(COUNTIF(Consolidado!$E$3:$E$358,'Range de Logins'!$D1082)&gt;0,"Em uso","Livre"),"-")</f>
        <v>Livre</v>
      </c>
      <c r="G1082" s="211" t="s">
        <v>1265</v>
      </c>
      <c r="H1082" s="211" t="str">
        <f>IFERROR(VLOOKUP(D1082,Consolidado!$E$3:$K$311,7,0),"")</f>
        <v/>
      </c>
      <c r="I1082" s="257"/>
    </row>
    <row r="1083" spans="4:9">
      <c r="D1083" s="267">
        <v>12701</v>
      </c>
      <c r="E1083" s="211" t="s">
        <v>26</v>
      </c>
      <c r="F1083" s="263" t="str">
        <f>IFERROR(IF(COUNTIF(Consolidado!$E$3:$E$358,'Range de Logins'!$D1083)&gt;0,"Em uso","Livre"),"-")</f>
        <v>Em uso</v>
      </c>
      <c r="G1083" s="211" t="s">
        <v>1065</v>
      </c>
      <c r="H1083" s="211" t="str">
        <f>IFERROR(VLOOKUP(D1083,Consolidado!$E$3:$K$311,7,0),"")</f>
        <v>Mídia Social</v>
      </c>
      <c r="I1083" s="257"/>
    </row>
    <row r="1084" spans="4:9">
      <c r="D1084" s="267">
        <v>12702</v>
      </c>
      <c r="E1084" s="211" t="s">
        <v>26</v>
      </c>
      <c r="F1084" s="263" t="str">
        <f>IFERROR(IF(COUNTIF(Consolidado!$E$3:$E$358,'Range de Logins'!$D1084)&gt;0,"Em uso","Livre"),"-")</f>
        <v>Em uso</v>
      </c>
      <c r="G1084" s="211" t="s">
        <v>1065</v>
      </c>
      <c r="H1084" s="211" t="str">
        <f>IFERROR(VLOOKUP(D1084,Consolidado!$E$3:$K$311,7,0),"")</f>
        <v>Mídia Social</v>
      </c>
      <c r="I1084" s="257"/>
    </row>
    <row r="1085" spans="4:9">
      <c r="D1085" s="267">
        <v>12703</v>
      </c>
      <c r="E1085" s="211" t="s">
        <v>26</v>
      </c>
      <c r="F1085" s="263" t="str">
        <f>IFERROR(IF(COUNTIF(Consolidado!$E$3:$E$358,'Range de Logins'!$D1085)&gt;0,"Em uso","Livre"),"-")</f>
        <v>Livre</v>
      </c>
      <c r="G1085" s="211" t="s">
        <v>1265</v>
      </c>
      <c r="H1085" s="211" t="str">
        <f>IFERROR(VLOOKUP(D1085,Consolidado!$E$3:$K$311,7,0),"")</f>
        <v/>
      </c>
      <c r="I1085" s="257"/>
    </row>
    <row r="1086" spans="4:9">
      <c r="D1086" s="267">
        <v>12711</v>
      </c>
      <c r="E1086" s="211" t="s">
        <v>26</v>
      </c>
      <c r="F1086" s="263" t="str">
        <f>IFERROR(IF(COUNTIF(Consolidado!$E$3:$E$358,'Range de Logins'!$D1086)&gt;0,"Em uso","Livre"),"-")</f>
        <v>Livre</v>
      </c>
      <c r="G1086" s="211" t="s">
        <v>1065</v>
      </c>
      <c r="H1086" s="211" t="str">
        <f>IFERROR(VLOOKUP(D1086,Consolidado!$E$3:$K$311,7,0),"")</f>
        <v/>
      </c>
      <c r="I1086" s="257"/>
    </row>
    <row r="1087" spans="4:9">
      <c r="D1087" s="267">
        <v>12715</v>
      </c>
      <c r="E1087" s="211">
        <v>528463</v>
      </c>
      <c r="F1087" s="263" t="str">
        <f>IFERROR(IF(COUNTIF(Consolidado!$E$3:$E$358,'Range de Logins'!$D1087)&gt;0,"Em uso","Livre"),"-")</f>
        <v>Livre</v>
      </c>
      <c r="G1087" s="211" t="s">
        <v>1065</v>
      </c>
      <c r="H1087" s="211" t="str">
        <f>IFERROR(VLOOKUP(D1087,Consolidado!$E$3:$K$311,7,0),"")</f>
        <v/>
      </c>
      <c r="I1087" s="257"/>
    </row>
    <row r="1088" spans="4:9">
      <c r="D1088" s="267">
        <v>12718</v>
      </c>
      <c r="E1088" s="211">
        <v>958357</v>
      </c>
      <c r="F1088" s="263" t="str">
        <f>IFERROR(IF(COUNTIF(Consolidado!$E$3:$E$358,'Range de Logins'!$D1088)&gt;0,"Em uso","Livre"),"-")</f>
        <v>Em uso</v>
      </c>
      <c r="G1088" s="211" t="s">
        <v>1065</v>
      </c>
      <c r="H1088" s="211" t="str">
        <f>IFERROR(VLOOKUP(D1088,Consolidado!$E$3:$K$311,7,0),"")</f>
        <v>IPG</v>
      </c>
      <c r="I1088" s="257"/>
    </row>
    <row r="1089" spans="4:9">
      <c r="D1089" s="267">
        <v>12730</v>
      </c>
      <c r="E1089" s="211" t="s">
        <v>26</v>
      </c>
      <c r="F1089" s="263" t="str">
        <f>IFERROR(IF(COUNTIF(Consolidado!$E$3:$E$358,'Range de Logins'!$D1089)&gt;0,"Em uso","Livre"),"-")</f>
        <v>Em uso</v>
      </c>
      <c r="G1089" s="211" t="s">
        <v>1065</v>
      </c>
      <c r="H1089" s="211" t="str">
        <f>IFERROR(VLOOKUP(D1089,Consolidado!$E$3:$K$311,7,0),"")</f>
        <v>Mídia Social</v>
      </c>
      <c r="I1089" s="257"/>
    </row>
    <row r="1090" spans="4:9">
      <c r="D1090" s="267">
        <v>17128</v>
      </c>
      <c r="E1090" s="211" t="s">
        <v>26</v>
      </c>
      <c r="F1090" s="263" t="str">
        <f>IFERROR(IF(COUNTIF(Consolidado!$E$3:$E$358,'Range de Logins'!$D1090)&gt;0,"Em uso","Livre"),"-")</f>
        <v>Livre</v>
      </c>
      <c r="G1090" s="211" t="s">
        <v>1265</v>
      </c>
      <c r="H1090" s="211" t="str">
        <f>IFERROR(VLOOKUP(D1090,Consolidado!$E$3:$K$311,7,0),"")</f>
        <v/>
      </c>
      <c r="I1090" s="257"/>
    </row>
    <row r="1091" spans="4:9">
      <c r="D1091" s="267">
        <v>12737</v>
      </c>
      <c r="E1091" s="211" t="s">
        <v>26</v>
      </c>
      <c r="F1091" s="263" t="str">
        <f>IFERROR(IF(COUNTIF(Consolidado!$E$3:$E$358,'Range de Logins'!$D1091)&gt;0,"Em uso","Livre"),"-")</f>
        <v>Em uso</v>
      </c>
      <c r="G1091" s="211" t="s">
        <v>1065</v>
      </c>
      <c r="H1091" s="211" t="str">
        <f>IFERROR(VLOOKUP(D1091,Consolidado!$E$3:$K$311,7,0),"")</f>
        <v>Mídia Social</v>
      </c>
      <c r="I1091" s="257"/>
    </row>
    <row r="1092" spans="4:9">
      <c r="D1092" s="267">
        <v>12740</v>
      </c>
      <c r="E1092" s="211">
        <v>258376</v>
      </c>
      <c r="F1092" s="263" t="str">
        <f>IFERROR(IF(COUNTIF(Consolidado!$E$3:$E$358,'Range de Logins'!$D1092)&gt;0,"Em uso","Livre"),"-")</f>
        <v>Em uso</v>
      </c>
      <c r="G1092" s="211" t="s">
        <v>1065</v>
      </c>
      <c r="H1092" s="211" t="str">
        <f>IFERROR(VLOOKUP(D1092,Consolidado!$E$3:$K$311,7,0),"")</f>
        <v>Mídia Social</v>
      </c>
      <c r="I1092" s="257"/>
    </row>
    <row r="1093" spans="4:9">
      <c r="D1093" s="267">
        <v>17129</v>
      </c>
      <c r="E1093" s="211" t="s">
        <v>26</v>
      </c>
      <c r="F1093" s="263" t="str">
        <f>IFERROR(IF(COUNTIF(Consolidado!$E$3:$E$358,'Range de Logins'!$D1093)&gt;0,"Em uso","Livre"),"-")</f>
        <v>Livre</v>
      </c>
      <c r="G1093" s="211" t="s">
        <v>1265</v>
      </c>
      <c r="H1093" s="211" t="str">
        <f>IFERROR(VLOOKUP(D1093,Consolidado!$E$3:$K$311,7,0),"")</f>
        <v/>
      </c>
      <c r="I1093" s="257"/>
    </row>
    <row r="1094" spans="4:9">
      <c r="D1094" s="267">
        <v>12746</v>
      </c>
      <c r="E1094" s="211">
        <v>294568</v>
      </c>
      <c r="F1094" s="263" t="str">
        <f>IFERROR(IF(COUNTIF(Consolidado!$E$3:$E$358,'Range de Logins'!$D1094)&gt;0,"Em uso","Livre"),"-")</f>
        <v>Em uso</v>
      </c>
      <c r="G1094" s="211" t="s">
        <v>1065</v>
      </c>
      <c r="H1094" s="211" t="str">
        <f>IFERROR(VLOOKUP(D1094,Consolidado!$E$3:$K$311,7,0),"")</f>
        <v>Mentor</v>
      </c>
      <c r="I1094" s="257"/>
    </row>
    <row r="1095" spans="4:9">
      <c r="D1095" s="267">
        <v>12747</v>
      </c>
      <c r="E1095" s="211">
        <v>285789</v>
      </c>
      <c r="F1095" s="263" t="str">
        <f>IFERROR(IF(COUNTIF(Consolidado!$E$3:$E$358,'Range de Logins'!$D1095)&gt;0,"Em uso","Livre"),"-")</f>
        <v>Livre</v>
      </c>
      <c r="G1095" s="211" t="s">
        <v>1065</v>
      </c>
      <c r="H1095" s="211" t="str">
        <f>IFERROR(VLOOKUP(D1095,Consolidado!$E$3:$K$311,7,0),"")</f>
        <v/>
      </c>
      <c r="I1095" s="257"/>
    </row>
    <row r="1096" spans="4:9">
      <c r="D1096" s="267">
        <v>12753</v>
      </c>
      <c r="E1096" s="211">
        <v>822540</v>
      </c>
      <c r="F1096" s="263" t="str">
        <f>IFERROR(IF(COUNTIF(Consolidado!$E$3:$E$358,'Range de Logins'!$D1096)&gt;0,"Em uso","Livre"),"-")</f>
        <v>Em uso</v>
      </c>
      <c r="G1096" s="211" t="s">
        <v>1065</v>
      </c>
      <c r="H1096" s="211" t="str">
        <f>IFERROR(VLOOKUP(D1096,Consolidado!$E$3:$K$311,7,0),"")</f>
        <v>IPG</v>
      </c>
      <c r="I1096" s="257"/>
    </row>
    <row r="1097" spans="4:9">
      <c r="D1097" s="267">
        <v>12754</v>
      </c>
      <c r="E1097" s="211">
        <v>325124</v>
      </c>
      <c r="F1097" s="263" t="str">
        <f>IFERROR(IF(COUNTIF(Consolidado!$E$3:$E$358,'Range de Logins'!$D1097)&gt;0,"Em uso","Livre"),"-")</f>
        <v>Em uso</v>
      </c>
      <c r="G1097" s="211" t="s">
        <v>1065</v>
      </c>
      <c r="H1097" s="211" t="str">
        <f>IFERROR(VLOOKUP(D1097,Consolidado!$E$3:$K$311,7,0),"")</f>
        <v>ECR</v>
      </c>
      <c r="I1097" s="257"/>
    </row>
    <row r="1098" spans="4:9">
      <c r="D1098" s="267">
        <v>12762</v>
      </c>
      <c r="E1098" s="211">
        <v>834601</v>
      </c>
      <c r="F1098" s="263" t="str">
        <f>IFERROR(IF(COUNTIF(Consolidado!$E$3:$E$358,'Range de Logins'!$D1098)&gt;0,"Em uso","Livre"),"-")</f>
        <v>Livre</v>
      </c>
      <c r="G1098" s="211" t="s">
        <v>1065</v>
      </c>
      <c r="H1098" s="211" t="str">
        <f>IFERROR(VLOOKUP(D1098,Consolidado!$E$3:$K$311,7,0),"")</f>
        <v/>
      </c>
      <c r="I1098" s="257"/>
    </row>
    <row r="1099" spans="4:9">
      <c r="D1099" s="267">
        <v>12763</v>
      </c>
      <c r="E1099" s="211" t="s">
        <v>26</v>
      </c>
      <c r="F1099" s="263" t="str">
        <f>IFERROR(IF(COUNTIF(Consolidado!$E$3:$E$358,'Range de Logins'!$D1099)&gt;0,"Em uso","Livre"),"-")</f>
        <v>Livre</v>
      </c>
      <c r="G1099" s="211" t="s">
        <v>1065</v>
      </c>
      <c r="H1099" s="211" t="str">
        <f>IFERROR(VLOOKUP(D1099,Consolidado!$E$3:$K$311,7,0),"")</f>
        <v/>
      </c>
      <c r="I1099" s="257"/>
    </row>
    <row r="1100" spans="4:9">
      <c r="D1100" s="267">
        <v>12766</v>
      </c>
      <c r="E1100" s="211">
        <v>716957</v>
      </c>
      <c r="F1100" s="263" t="str">
        <f>IFERROR(IF(COUNTIF(Consolidado!$E$3:$E$358,'Range de Logins'!$D1100)&gt;0,"Em uso","Livre"),"-")</f>
        <v>Em uso</v>
      </c>
      <c r="G1100" s="211" t="s">
        <v>1065</v>
      </c>
      <c r="H1100" s="211" t="str">
        <f>IFERROR(VLOOKUP(D1100,Consolidado!$E$3:$K$311,7,0),"")</f>
        <v>Unassisted</v>
      </c>
      <c r="I1100" s="257"/>
    </row>
    <row r="1101" spans="4:9">
      <c r="D1101" s="267">
        <v>12768</v>
      </c>
      <c r="E1101" s="211">
        <v>457565</v>
      </c>
      <c r="F1101" s="263" t="str">
        <f>IFERROR(IF(COUNTIF(Consolidado!$E$3:$E$358,'Range de Logins'!$D1101)&gt;0,"Em uso","Livre"),"-")</f>
        <v>Livre</v>
      </c>
      <c r="G1101" s="211" t="s">
        <v>1065</v>
      </c>
      <c r="H1101" s="211" t="str">
        <f>IFERROR(VLOOKUP(D1101,Consolidado!$E$3:$K$311,7,0),"")</f>
        <v/>
      </c>
      <c r="I1101" s="257"/>
    </row>
    <row r="1102" spans="4:9">
      <c r="D1102" s="267">
        <v>12772</v>
      </c>
      <c r="E1102" s="211" t="s">
        <v>26</v>
      </c>
      <c r="F1102" s="263" t="str">
        <f>IFERROR(IF(COUNTIF(Consolidado!$E$3:$E$358,'Range de Logins'!$D1102)&gt;0,"Em uso","Livre"),"-")</f>
        <v>Em uso</v>
      </c>
      <c r="G1102" s="211" t="s">
        <v>1265</v>
      </c>
      <c r="H1102" s="211" t="str">
        <f>IFERROR(VLOOKUP(D1102,Consolidado!$E$3:$K$311,7,0),"")</f>
        <v>PSG</v>
      </c>
      <c r="I1102" s="257"/>
    </row>
    <row r="1103" spans="4:9">
      <c r="D1103" s="267">
        <v>12783</v>
      </c>
      <c r="E1103" s="211" t="s">
        <v>26</v>
      </c>
      <c r="F1103" s="263" t="str">
        <f>IFERROR(IF(COUNTIF(Consolidado!$E$3:$E$358,'Range de Logins'!$D1103)&gt;0,"Em uso","Livre"),"-")</f>
        <v>Livre</v>
      </c>
      <c r="G1103" s="211" t="s">
        <v>1265</v>
      </c>
      <c r="H1103" s="211" t="str">
        <f>IFERROR(VLOOKUP(D1103,Consolidado!$E$3:$K$311,7,0),"")</f>
        <v/>
      </c>
      <c r="I1103" s="257"/>
    </row>
    <row r="1104" spans="4:9">
      <c r="D1104" s="267">
        <v>12793</v>
      </c>
      <c r="E1104" s="211" t="s">
        <v>26</v>
      </c>
      <c r="F1104" s="263" t="str">
        <f>IFERROR(IF(COUNTIF(Consolidado!$E$3:$E$358,'Range de Logins'!$D1104)&gt;0,"Em uso","Livre"),"-")</f>
        <v>Em uso</v>
      </c>
      <c r="G1104" s="211" t="s">
        <v>1265</v>
      </c>
      <c r="H1104" s="211" t="str">
        <f>IFERROR(VLOOKUP(D1104,Consolidado!$E$3:$K$311,7,0),"")</f>
        <v>Order Management</v>
      </c>
      <c r="I1104" s="257"/>
    </row>
    <row r="1105" spans="4:9">
      <c r="D1105" s="267">
        <v>12798</v>
      </c>
      <c r="E1105" s="211">
        <v>461281</v>
      </c>
      <c r="F1105" s="263" t="str">
        <f>IFERROR(IF(COUNTIF(Consolidado!$E$3:$E$358,'Range de Logins'!$D1105)&gt;0,"Em uso","Livre"),"-")</f>
        <v>Em uso</v>
      </c>
      <c r="G1105" s="211" t="s">
        <v>1065</v>
      </c>
      <c r="H1105" s="211" t="str">
        <f>IFERROR(VLOOKUP(D1105,Consolidado!$E$3:$K$311,7,0),"")</f>
        <v>IPG</v>
      </c>
      <c r="I1105" s="257"/>
    </row>
    <row r="1106" spans="4:9">
      <c r="D1106" s="267">
        <v>12799</v>
      </c>
      <c r="E1106" s="211" t="s">
        <v>26</v>
      </c>
      <c r="F1106" s="263" t="str">
        <f>IFERROR(IF(COUNTIF(Consolidado!$E$3:$E$358,'Range de Logins'!$D1106)&gt;0,"Em uso","Livre"),"-")</f>
        <v>Em uso</v>
      </c>
      <c r="G1106" s="211" t="s">
        <v>1065</v>
      </c>
      <c r="H1106" s="211" t="str">
        <f>IFERROR(VLOOKUP(D1106,Consolidado!$E$3:$K$311,7,0),"")</f>
        <v>Mídia Social</v>
      </c>
      <c r="I1106" s="257"/>
    </row>
    <row r="1107" spans="4:9">
      <c r="D1107" s="267">
        <v>17130</v>
      </c>
      <c r="E1107" s="211" t="s">
        <v>26</v>
      </c>
      <c r="F1107" s="263" t="str">
        <f>IFERROR(IF(COUNTIF(Consolidado!$E$3:$E$358,'Range de Logins'!$D1107)&gt;0,"Em uso","Livre"),"-")</f>
        <v>Livre</v>
      </c>
      <c r="G1107" s="211" t="s">
        <v>1265</v>
      </c>
      <c r="H1107" s="211" t="str">
        <f>IFERROR(VLOOKUP(D1107,Consolidado!$E$3:$K$311,7,0),"")</f>
        <v/>
      </c>
      <c r="I1107" s="257"/>
    </row>
    <row r="1108" spans="4:9">
      <c r="D1108" s="267">
        <v>12801</v>
      </c>
      <c r="E1108" s="211">
        <v>920588</v>
      </c>
      <c r="F1108" s="263" t="str">
        <f>IFERROR(IF(COUNTIF(Consolidado!$E$3:$E$358,'Range de Logins'!$D1108)&gt;0,"Em uso","Livre"),"-")</f>
        <v>Livre</v>
      </c>
      <c r="G1108" s="211" t="s">
        <v>1065</v>
      </c>
      <c r="H1108" s="211" t="str">
        <f>IFERROR(VLOOKUP(D1108,Consolidado!$E$3:$K$311,7,0),"")</f>
        <v/>
      </c>
      <c r="I1108" s="257"/>
    </row>
    <row r="1109" spans="4:9">
      <c r="D1109" s="267">
        <v>12803</v>
      </c>
      <c r="E1109" s="211">
        <v>835740</v>
      </c>
      <c r="F1109" s="263" t="str">
        <f>IFERROR(IF(COUNTIF(Consolidado!$E$3:$E$358,'Range de Logins'!$D1109)&gt;0,"Em uso","Livre"),"-")</f>
        <v>Livre</v>
      </c>
      <c r="G1109" s="211" t="s">
        <v>1065</v>
      </c>
      <c r="H1109" s="211" t="str">
        <f>IFERROR(VLOOKUP(D1109,Consolidado!$E$3:$K$311,7,0),"")</f>
        <v/>
      </c>
      <c r="I1109" s="257"/>
    </row>
    <row r="1110" spans="4:9">
      <c r="D1110" s="267">
        <v>12807</v>
      </c>
      <c r="E1110" s="211" t="s">
        <v>26</v>
      </c>
      <c r="F1110" s="263" t="str">
        <f>IFERROR(IF(COUNTIF(Consolidado!$E$3:$E$358,'Range de Logins'!$D1110)&gt;0,"Em uso","Livre"),"-")</f>
        <v>Em uso</v>
      </c>
      <c r="G1110" s="211" t="s">
        <v>1265</v>
      </c>
      <c r="H1110" s="211" t="str">
        <f>IFERROR(VLOOKUP(D1110,Consolidado!$E$3:$K$311,7,0),"")</f>
        <v>IPG</v>
      </c>
      <c r="I1110" s="257"/>
    </row>
    <row r="1111" spans="4:9">
      <c r="D1111" s="267">
        <v>12809</v>
      </c>
      <c r="E1111" s="211">
        <v>297854</v>
      </c>
      <c r="F1111" s="263" t="str">
        <f>IFERROR(IF(COUNTIF(Consolidado!$E$3:$E$358,'Range de Logins'!$D1111)&gt;0,"Em uso","Livre"),"-")</f>
        <v>Em uso</v>
      </c>
      <c r="G1111" s="211" t="s">
        <v>1065</v>
      </c>
      <c r="H1111" s="211" t="str">
        <f>IFERROR(VLOOKUP(D1111,Consolidado!$E$3:$K$311,7,0),"")</f>
        <v>TCO</v>
      </c>
      <c r="I1111" s="257"/>
    </row>
    <row r="1112" spans="4:9">
      <c r="D1112" s="267">
        <v>17131</v>
      </c>
      <c r="E1112" s="211" t="s">
        <v>26</v>
      </c>
      <c r="F1112" s="263" t="str">
        <f>IFERROR(IF(COUNTIF(Consolidado!$E$3:$E$358,'Range de Logins'!$D1112)&gt;0,"Em uso","Livre"),"-")</f>
        <v>Livre</v>
      </c>
      <c r="G1112" s="211" t="s">
        <v>1265</v>
      </c>
      <c r="H1112" s="211" t="str">
        <f>IFERROR(VLOOKUP(D1112,Consolidado!$E$3:$K$311,7,0),"")</f>
        <v/>
      </c>
      <c r="I1112" s="257"/>
    </row>
    <row r="1113" spans="4:9">
      <c r="D1113" s="267">
        <v>17132</v>
      </c>
      <c r="E1113" s="211" t="s">
        <v>26</v>
      </c>
      <c r="F1113" s="263" t="str">
        <f>IFERROR(IF(COUNTIF(Consolidado!$E$3:$E$358,'Range de Logins'!$D1113)&gt;0,"Em uso","Livre"),"-")</f>
        <v>Livre</v>
      </c>
      <c r="G1113" s="211" t="s">
        <v>1265</v>
      </c>
      <c r="H1113" s="211" t="str">
        <f>IFERROR(VLOOKUP(D1113,Consolidado!$E$3:$K$311,7,0),"")</f>
        <v/>
      </c>
      <c r="I1113" s="257"/>
    </row>
    <row r="1114" spans="4:9">
      <c r="D1114" s="267">
        <v>12819</v>
      </c>
      <c r="E1114" s="211" t="s">
        <v>26</v>
      </c>
      <c r="F1114" s="263" t="str">
        <f>IFERROR(IF(COUNTIF(Consolidado!$E$3:$E$358,'Range de Logins'!$D1114)&gt;0,"Em uso","Livre"),"-")</f>
        <v>Em uso</v>
      </c>
      <c r="G1114" s="211" t="s">
        <v>1265</v>
      </c>
      <c r="H1114" s="211" t="str">
        <f>IFERROR(VLOOKUP(D1114,Consolidado!$E$3:$K$311,7,0),"")</f>
        <v>IPG</v>
      </c>
      <c r="I1114" s="257"/>
    </row>
    <row r="1115" spans="4:9">
      <c r="D1115" s="267">
        <v>12846</v>
      </c>
      <c r="E1115" s="211" t="s">
        <v>26</v>
      </c>
      <c r="F1115" s="263" t="str">
        <f>IFERROR(IF(COUNTIF(Consolidado!$E$3:$E$358,'Range de Logins'!$D1115)&gt;0,"Em uso","Livre"),"-")</f>
        <v>Livre</v>
      </c>
      <c r="G1115" s="211" t="s">
        <v>1265</v>
      </c>
      <c r="H1115" s="211" t="str">
        <f>IFERROR(VLOOKUP(D1115,Consolidado!$E$3:$K$311,7,0),"")</f>
        <v/>
      </c>
      <c r="I1115" s="257"/>
    </row>
    <row r="1116" spans="4:9">
      <c r="D1116" s="267">
        <v>12849</v>
      </c>
      <c r="E1116" s="211" t="s">
        <v>26</v>
      </c>
      <c r="F1116" s="263" t="str">
        <f>IFERROR(IF(COUNTIF(Consolidado!$E$3:$E$358,'Range de Logins'!$D1116)&gt;0,"Em uso","Livre"),"-")</f>
        <v>Livre</v>
      </c>
      <c r="G1116" s="211" t="s">
        <v>1265</v>
      </c>
      <c r="H1116" s="211" t="str">
        <f>IFERROR(VLOOKUP(D1116,Consolidado!$E$3:$K$311,7,0),"")</f>
        <v/>
      </c>
      <c r="I1116" s="257"/>
    </row>
    <row r="1117" spans="4:9">
      <c r="D1117" s="267">
        <v>12866</v>
      </c>
      <c r="E1117" s="211">
        <v>956541</v>
      </c>
      <c r="F1117" s="263" t="str">
        <f>IFERROR(IF(COUNTIF(Consolidado!$E$3:$E$358,'Range de Logins'!$D1117)&gt;0,"Em uso","Livre"),"-")</f>
        <v>Em uso</v>
      </c>
      <c r="G1117" s="211" t="s">
        <v>1065</v>
      </c>
      <c r="H1117" s="211" t="str">
        <f>IFERROR(VLOOKUP(D1117,Consolidado!$E$3:$K$311,7,0),"")</f>
        <v>TCO</v>
      </c>
      <c r="I1117" s="257"/>
    </row>
    <row r="1118" spans="4:9">
      <c r="D1118" s="267">
        <v>17133</v>
      </c>
      <c r="E1118" s="211" t="s">
        <v>26</v>
      </c>
      <c r="F1118" s="263" t="str">
        <f>IFERROR(IF(COUNTIF(Consolidado!$E$3:$E$358,'Range de Logins'!$D1118)&gt;0,"Em uso","Livre"),"-")</f>
        <v>Livre</v>
      </c>
      <c r="G1118" s="211" t="s">
        <v>1265</v>
      </c>
      <c r="H1118" s="211" t="str">
        <f>IFERROR(VLOOKUP(D1118,Consolidado!$E$3:$K$311,7,0),"")</f>
        <v/>
      </c>
      <c r="I1118" s="257"/>
    </row>
    <row r="1119" spans="4:9">
      <c r="D1119" s="267">
        <v>17135</v>
      </c>
      <c r="E1119" s="211" t="s">
        <v>26</v>
      </c>
      <c r="F1119" s="263" t="str">
        <f>IFERROR(IF(COUNTIF(Consolidado!$E$3:$E$358,'Range de Logins'!$D1119)&gt;0,"Em uso","Livre"),"-")</f>
        <v>Livre</v>
      </c>
      <c r="G1119" s="211" t="s">
        <v>1265</v>
      </c>
      <c r="H1119" s="211" t="str">
        <f>IFERROR(VLOOKUP(D1119,Consolidado!$E$3:$K$311,7,0),"")</f>
        <v/>
      </c>
      <c r="I1119" s="257"/>
    </row>
    <row r="1120" spans="4:9">
      <c r="D1120" s="267">
        <v>17138</v>
      </c>
      <c r="E1120" s="211" t="s">
        <v>26</v>
      </c>
      <c r="F1120" s="263" t="str">
        <f>IFERROR(IF(COUNTIF(Consolidado!$E$3:$E$358,'Range de Logins'!$D1120)&gt;0,"Em uso","Livre"),"-")</f>
        <v>Livre</v>
      </c>
      <c r="G1120" s="211" t="s">
        <v>1265</v>
      </c>
      <c r="H1120" s="211" t="str">
        <f>IFERROR(VLOOKUP(D1120,Consolidado!$E$3:$K$311,7,0),"")</f>
        <v/>
      </c>
      <c r="I1120" s="257"/>
    </row>
    <row r="1121" spans="4:9">
      <c r="D1121" s="267">
        <v>12903</v>
      </c>
      <c r="E1121" s="211">
        <v>465686</v>
      </c>
      <c r="F1121" s="263" t="str">
        <f>IFERROR(IF(COUNTIF(Consolidado!$E$3:$E$358,'Range de Logins'!$D1121)&gt;0,"Em uso","Livre"),"-")</f>
        <v>Livre</v>
      </c>
      <c r="G1121" s="211" t="s">
        <v>1065</v>
      </c>
      <c r="H1121" s="211" t="str">
        <f>IFERROR(VLOOKUP(D1121,Consolidado!$E$3:$K$311,7,0),"")</f>
        <v/>
      </c>
      <c r="I1121" s="257"/>
    </row>
    <row r="1122" spans="4:9">
      <c r="D1122" s="267">
        <v>12920</v>
      </c>
      <c r="E1122" s="211" t="s">
        <v>26</v>
      </c>
      <c r="F1122" s="263" t="str">
        <f>IFERROR(IF(COUNTIF(Consolidado!$E$3:$E$358,'Range de Logins'!$D1122)&gt;0,"Em uso","Livre"),"-")</f>
        <v>Livre</v>
      </c>
      <c r="G1122" s="211" t="s">
        <v>1265</v>
      </c>
      <c r="H1122" s="211" t="str">
        <f>IFERROR(VLOOKUP(D1122,Consolidado!$E$3:$K$311,7,0),"")</f>
        <v/>
      </c>
      <c r="I1122" s="257"/>
    </row>
    <row r="1123" spans="4:9">
      <c r="D1123" s="267">
        <v>12955</v>
      </c>
      <c r="E1123" s="211">
        <v>830796</v>
      </c>
      <c r="F1123" s="263" t="str">
        <f>IFERROR(IF(COUNTIF(Consolidado!$E$3:$E$358,'Range de Logins'!$D1123)&gt;0,"Em uso","Livre"),"-")</f>
        <v>Livre</v>
      </c>
      <c r="G1123" s="211" t="s">
        <v>1065</v>
      </c>
      <c r="H1123" s="211" t="str">
        <f>IFERROR(VLOOKUP(D1123,Consolidado!$E$3:$K$311,7,0),"")</f>
        <v/>
      </c>
      <c r="I1123" s="257"/>
    </row>
    <row r="1124" spans="4:9">
      <c r="D1124" s="267">
        <v>12927</v>
      </c>
      <c r="E1124" s="211" t="s">
        <v>26</v>
      </c>
      <c r="F1124" s="263" t="str">
        <f>IFERROR(IF(COUNTIF(Consolidado!$E$3:$E$358,'Range de Logins'!$D1124)&gt;0,"Em uso","Livre"),"-")</f>
        <v>Em uso</v>
      </c>
      <c r="G1124" s="211" t="s">
        <v>1265</v>
      </c>
      <c r="H1124" s="211" t="str">
        <f>IFERROR(VLOOKUP(D1124,Consolidado!$E$3:$K$311,7,0),"")</f>
        <v>IPG</v>
      </c>
      <c r="I1124" s="257"/>
    </row>
    <row r="1125" spans="4:9">
      <c r="D1125" s="267">
        <v>17139</v>
      </c>
      <c r="E1125" s="211" t="s">
        <v>26</v>
      </c>
      <c r="F1125" s="263" t="str">
        <f>IFERROR(IF(COUNTIF(Consolidado!$E$3:$E$358,'Range de Logins'!$D1125)&gt;0,"Em uso","Livre"),"-")</f>
        <v>Livre</v>
      </c>
      <c r="G1125" s="211" t="s">
        <v>1265</v>
      </c>
      <c r="H1125" s="211" t="str">
        <f>IFERROR(VLOOKUP(D1125,Consolidado!$E$3:$K$311,7,0),"")</f>
        <v/>
      </c>
      <c r="I1125" s="257"/>
    </row>
    <row r="1126" spans="4:9">
      <c r="D1126" s="267">
        <v>17140</v>
      </c>
      <c r="E1126" s="211" t="s">
        <v>26</v>
      </c>
      <c r="F1126" s="263" t="str">
        <f>IFERROR(IF(COUNTIF(Consolidado!$E$3:$E$358,'Range de Logins'!$D1126)&gt;0,"Em uso","Livre"),"-")</f>
        <v>Livre</v>
      </c>
      <c r="G1126" s="211" t="s">
        <v>1265</v>
      </c>
      <c r="H1126" s="211" t="str">
        <f>IFERROR(VLOOKUP(D1126,Consolidado!$E$3:$K$311,7,0),"")</f>
        <v/>
      </c>
      <c r="I1126" s="257"/>
    </row>
    <row r="1127" spans="4:9">
      <c r="D1127" s="267">
        <v>12974</v>
      </c>
      <c r="E1127" s="211">
        <v>874897</v>
      </c>
      <c r="F1127" s="263" t="str">
        <f>IFERROR(IF(COUNTIF(Consolidado!$E$3:$E$358,'Range de Logins'!$D1127)&gt;0,"Em uso","Livre"),"-")</f>
        <v>Em uso</v>
      </c>
      <c r="G1127" s="211" t="s">
        <v>1065</v>
      </c>
      <c r="H1127" s="211" t="str">
        <f>IFERROR(VLOOKUP(D1127,Consolidado!$E$3:$K$311,7,0),"")</f>
        <v>ECR</v>
      </c>
      <c r="I1127" s="257"/>
    </row>
    <row r="1128" spans="4:9">
      <c r="D1128" s="267">
        <v>12982</v>
      </c>
      <c r="E1128" s="211" t="s">
        <v>26</v>
      </c>
      <c r="F1128" s="263" t="str">
        <f>IFERROR(IF(COUNTIF(Consolidado!$E$3:$E$358,'Range de Logins'!$D1128)&gt;0,"Em uso","Livre"),"-")</f>
        <v>Livre</v>
      </c>
      <c r="G1128" s="211" t="s">
        <v>1065</v>
      </c>
      <c r="H1128" s="211" t="str">
        <f>IFERROR(VLOOKUP(D1128,Consolidado!$E$3:$K$311,7,0),"")</f>
        <v/>
      </c>
      <c r="I1128" s="257" t="s">
        <v>2715</v>
      </c>
    </row>
    <row r="1129" spans="4:9">
      <c r="D1129" s="267">
        <v>17148</v>
      </c>
      <c r="E1129" s="211" t="s">
        <v>26</v>
      </c>
      <c r="F1129" s="263" t="str">
        <f>IFERROR(IF(COUNTIF(Consolidado!$E$3:$E$358,'Range de Logins'!$D1129)&gt;0,"Em uso","Livre"),"-")</f>
        <v>Livre</v>
      </c>
      <c r="G1129" s="211" t="s">
        <v>1265</v>
      </c>
      <c r="H1129" s="211" t="str">
        <f>IFERROR(VLOOKUP(D1129,Consolidado!$E$3:$K$311,7,0),"")</f>
        <v/>
      </c>
      <c r="I1129" s="257"/>
    </row>
    <row r="1130" spans="4:9">
      <c r="D1130" s="267">
        <v>17002</v>
      </c>
      <c r="E1130" s="211">
        <v>864521</v>
      </c>
      <c r="F1130" s="263" t="str">
        <f>IFERROR(IF(COUNTIF(Consolidado!$E$3:$E$358,'Range de Logins'!$D1130)&gt;0,"Em uso","Livre"),"-")</f>
        <v>Em uso</v>
      </c>
      <c r="G1130" s="211" t="s">
        <v>1065</v>
      </c>
      <c r="H1130" s="211" t="str">
        <f>IFERROR(VLOOKUP(D1130,Consolidado!$E$3:$K$311,7,0),"")</f>
        <v>FUPO</v>
      </c>
      <c r="I1130" s="257"/>
    </row>
    <row r="1131" spans="4:9">
      <c r="D1131" s="267">
        <v>17003</v>
      </c>
      <c r="E1131" s="211" t="s">
        <v>26</v>
      </c>
      <c r="F1131" s="263" t="str">
        <f>IFERROR(IF(COUNTIF(Consolidado!$E$3:$E$358,'Range de Logins'!$D1131)&gt;0,"Em uso","Livre"),"-")</f>
        <v>Em uso</v>
      </c>
      <c r="G1131" s="211" t="s">
        <v>1265</v>
      </c>
      <c r="H1131" s="211" t="str">
        <f>IFERROR(VLOOKUP(D1131,Consolidado!$E$3:$K$311,7,0),"")</f>
        <v>IPG</v>
      </c>
      <c r="I1131" s="257"/>
    </row>
    <row r="1132" spans="4:9">
      <c r="D1132" s="267">
        <v>17004</v>
      </c>
      <c r="E1132" s="211" t="s">
        <v>26</v>
      </c>
      <c r="F1132" s="263" t="str">
        <f>IFERROR(IF(COUNTIF(Consolidado!$E$3:$E$358,'Range de Logins'!$D1132)&gt;0,"Em uso","Livre"),"-")</f>
        <v>Em uso</v>
      </c>
      <c r="G1132" s="211" t="s">
        <v>1265</v>
      </c>
      <c r="H1132" s="211" t="str">
        <f>IFERROR(VLOOKUP(D1132,Consolidado!$E$3:$K$311,7,0),"")</f>
        <v>PSG</v>
      </c>
      <c r="I1132" s="257"/>
    </row>
    <row r="1133" spans="4:9">
      <c r="D1133" s="267">
        <v>17005</v>
      </c>
      <c r="E1133" s="211" t="s">
        <v>26</v>
      </c>
      <c r="F1133" s="263" t="str">
        <f>IFERROR(IF(COUNTIF(Consolidado!$E$3:$E$358,'Range de Logins'!$D1133)&gt;0,"Em uso","Livre"),"-")</f>
        <v>Em uso</v>
      </c>
      <c r="G1133" s="211" t="s">
        <v>1265</v>
      </c>
      <c r="H1133" s="211" t="str">
        <f>IFERROR(VLOOKUP(D1133,Consolidado!$E$3:$K$311,7,0),"")</f>
        <v>IPG</v>
      </c>
      <c r="I1133" s="257"/>
    </row>
    <row r="1134" spans="4:9">
      <c r="D1134" s="267">
        <v>17006</v>
      </c>
      <c r="E1134" s="211" t="s">
        <v>26</v>
      </c>
      <c r="F1134" s="263" t="str">
        <f>IFERROR(IF(COUNTIF(Consolidado!$E$3:$E$358,'Range de Logins'!$D1134)&gt;0,"Em uso","Livre"),"-")</f>
        <v>Livre</v>
      </c>
      <c r="G1134" s="211" t="s">
        <v>1265</v>
      </c>
      <c r="H1134" s="211" t="str">
        <f>IFERROR(VLOOKUP(D1134,Consolidado!$E$3:$K$311,7,0),"")</f>
        <v/>
      </c>
      <c r="I1134" s="257"/>
    </row>
    <row r="1135" spans="4:9">
      <c r="D1135" s="267">
        <v>17009</v>
      </c>
      <c r="E1135" s="211" t="s">
        <v>26</v>
      </c>
      <c r="F1135" s="263" t="str">
        <f>IFERROR(IF(COUNTIF(Consolidado!$E$3:$E$358,'Range de Logins'!$D1135)&gt;0,"Em uso","Livre"),"-")</f>
        <v>Em uso</v>
      </c>
      <c r="G1135" s="211" t="s">
        <v>1265</v>
      </c>
      <c r="H1135" s="211" t="str">
        <f>IFERROR(VLOOKUP(D1135,Consolidado!$E$3:$K$311,7,0),"")</f>
        <v>PSG</v>
      </c>
      <c r="I1135" s="257"/>
    </row>
    <row r="1136" spans="4:9">
      <c r="D1136" s="267">
        <v>17010</v>
      </c>
      <c r="E1136" s="211" t="s">
        <v>26</v>
      </c>
      <c r="F1136" s="263" t="str">
        <f>IFERROR(IF(COUNTIF(Consolidado!$E$3:$E$358,'Range de Logins'!$D1136)&gt;0,"Em uso","Livre"),"-")</f>
        <v>Livre</v>
      </c>
      <c r="G1136" s="211" t="s">
        <v>1265</v>
      </c>
      <c r="H1136" s="211" t="str">
        <f>IFERROR(VLOOKUP(D1136,Consolidado!$E$3:$K$311,7,0),"")</f>
        <v/>
      </c>
      <c r="I1136" s="257"/>
    </row>
    <row r="1137" spans="4:9">
      <c r="D1137" s="267">
        <v>17011</v>
      </c>
      <c r="E1137" s="211" t="s">
        <v>26</v>
      </c>
      <c r="F1137" s="263" t="str">
        <f>IFERROR(IF(COUNTIF(Consolidado!$E$3:$E$358,'Range de Logins'!$D1137)&gt;0,"Em uso","Livre"),"-")</f>
        <v>Livre</v>
      </c>
      <c r="G1137" s="211" t="s">
        <v>1265</v>
      </c>
      <c r="H1137" s="211" t="str">
        <f>IFERROR(VLOOKUP(D1137,Consolidado!$E$3:$K$311,7,0),"")</f>
        <v/>
      </c>
      <c r="I1137" s="257"/>
    </row>
    <row r="1138" spans="4:9">
      <c r="D1138" s="267">
        <v>17012</v>
      </c>
      <c r="E1138" s="211" t="s">
        <v>26</v>
      </c>
      <c r="F1138" s="263" t="str">
        <f>IFERROR(IF(COUNTIF(Consolidado!$E$3:$E$358,'Range de Logins'!$D1138)&gt;0,"Em uso","Livre"),"-")</f>
        <v>Livre</v>
      </c>
      <c r="G1138" s="211" t="s">
        <v>1265</v>
      </c>
      <c r="H1138" s="211" t="str">
        <f>IFERROR(VLOOKUP(D1138,Consolidado!$E$3:$K$311,7,0),"")</f>
        <v/>
      </c>
      <c r="I1138" s="257"/>
    </row>
    <row r="1139" spans="4:9">
      <c r="D1139" s="267">
        <v>17013</v>
      </c>
      <c r="E1139" s="211" t="s">
        <v>26</v>
      </c>
      <c r="F1139" s="263" t="str">
        <f>IFERROR(IF(COUNTIF(Consolidado!$E$3:$E$358,'Range de Logins'!$D1139)&gt;0,"Em uso","Livre"),"-")</f>
        <v>Livre</v>
      </c>
      <c r="G1139" s="211" t="s">
        <v>1265</v>
      </c>
      <c r="H1139" s="211" t="str">
        <f>IFERROR(VLOOKUP(D1139,Consolidado!$E$3:$K$311,7,0),"")</f>
        <v/>
      </c>
      <c r="I1139" s="257"/>
    </row>
    <row r="1140" spans="4:9">
      <c r="D1140" s="267">
        <v>17014</v>
      </c>
      <c r="E1140" s="211" t="s">
        <v>26</v>
      </c>
      <c r="F1140" s="263" t="str">
        <f>IFERROR(IF(COUNTIF(Consolidado!$E$3:$E$358,'Range de Logins'!$D1140)&gt;0,"Em uso","Livre"),"-")</f>
        <v>Livre</v>
      </c>
      <c r="G1140" s="211" t="s">
        <v>1265</v>
      </c>
      <c r="H1140" s="211" t="str">
        <f>IFERROR(VLOOKUP(D1140,Consolidado!$E$3:$K$311,7,0),"")</f>
        <v/>
      </c>
      <c r="I1140" s="257"/>
    </row>
    <row r="1141" spans="4:9">
      <c r="D1141" s="267">
        <v>17016</v>
      </c>
      <c r="E1141" s="211" t="s">
        <v>26</v>
      </c>
      <c r="F1141" s="263" t="str">
        <f>IFERROR(IF(COUNTIF(Consolidado!$E$3:$E$358,'Range de Logins'!$D1141)&gt;0,"Em uso","Livre"),"-")</f>
        <v>Em uso</v>
      </c>
      <c r="G1141" s="211" t="s">
        <v>1265</v>
      </c>
      <c r="H1141" s="211" t="str">
        <f>IFERROR(VLOOKUP(D1141,Consolidado!$E$3:$K$311,7,0),"")</f>
        <v>IPG</v>
      </c>
      <c r="I1141" s="257"/>
    </row>
    <row r="1142" spans="4:9">
      <c r="D1142" s="267">
        <v>17017</v>
      </c>
      <c r="E1142" s="211" t="s">
        <v>26</v>
      </c>
      <c r="F1142" s="263" t="str">
        <f>IFERROR(IF(COUNTIF(Consolidado!$E$3:$E$358,'Range de Logins'!$D1142)&gt;0,"Em uso","Livre"),"-")</f>
        <v>Livre</v>
      </c>
      <c r="G1142" s="211" t="s">
        <v>1265</v>
      </c>
      <c r="H1142" s="211" t="str">
        <f>IFERROR(VLOOKUP(D1142,Consolidado!$E$3:$K$311,7,0),"")</f>
        <v/>
      </c>
      <c r="I1142" s="257"/>
    </row>
    <row r="1143" spans="4:9">
      <c r="D1143" s="267">
        <v>17018</v>
      </c>
      <c r="E1143" s="211" t="s">
        <v>26</v>
      </c>
      <c r="F1143" s="263" t="str">
        <f>IFERROR(IF(COUNTIF(Consolidado!$E$3:$E$358,'Range de Logins'!$D1143)&gt;0,"Em uso","Livre"),"-")</f>
        <v>Livre</v>
      </c>
      <c r="G1143" s="211" t="s">
        <v>1265</v>
      </c>
      <c r="H1143" s="211" t="str">
        <f>IFERROR(VLOOKUP(D1143,Consolidado!$E$3:$K$311,7,0),"")</f>
        <v/>
      </c>
      <c r="I1143" s="257"/>
    </row>
    <row r="1144" spans="4:9">
      <c r="D1144" s="267">
        <v>17019</v>
      </c>
      <c r="E1144" s="211" t="s">
        <v>26</v>
      </c>
      <c r="F1144" s="263" t="str">
        <f>IFERROR(IF(COUNTIF(Consolidado!$E$3:$E$358,'Range de Logins'!$D1144)&gt;0,"Em uso","Livre"),"-")</f>
        <v>Livre</v>
      </c>
      <c r="G1144" s="211" t="s">
        <v>1265</v>
      </c>
      <c r="H1144" s="211" t="str">
        <f>IFERROR(VLOOKUP(D1144,Consolidado!$E$3:$K$311,7,0),"")</f>
        <v/>
      </c>
      <c r="I1144" s="257"/>
    </row>
    <row r="1145" spans="4:9">
      <c r="D1145" s="267">
        <v>17022</v>
      </c>
      <c r="E1145" s="211" t="s">
        <v>26</v>
      </c>
      <c r="F1145" s="263" t="str">
        <f>IFERROR(IF(COUNTIF(Consolidado!$E$3:$E$358,'Range de Logins'!$D1145)&gt;0,"Em uso","Livre"),"-")</f>
        <v>Livre</v>
      </c>
      <c r="G1145" s="211" t="s">
        <v>1265</v>
      </c>
      <c r="H1145" s="211" t="str">
        <f>IFERROR(VLOOKUP(D1145,Consolidado!$E$3:$K$311,7,0),"")</f>
        <v/>
      </c>
      <c r="I1145" s="257"/>
    </row>
    <row r="1146" spans="4:9">
      <c r="D1146" s="267">
        <v>17023</v>
      </c>
      <c r="E1146" s="211" t="s">
        <v>26</v>
      </c>
      <c r="F1146" s="263" t="str">
        <f>IFERROR(IF(COUNTIF(Consolidado!$E$3:$E$358,'Range de Logins'!$D1146)&gt;0,"Em uso","Livre"),"-")</f>
        <v>Em uso</v>
      </c>
      <c r="G1146" s="211" t="s">
        <v>1265</v>
      </c>
      <c r="H1146" s="211" t="str">
        <f>IFERROR(VLOOKUP(D1146,Consolidado!$E$3:$K$311,7,0),"")</f>
        <v>PSG</v>
      </c>
      <c r="I1146" s="257"/>
    </row>
    <row r="1147" spans="4:9">
      <c r="D1147" s="267">
        <v>17150</v>
      </c>
      <c r="E1147" s="211" t="s">
        <v>26</v>
      </c>
      <c r="F1147" s="263" t="str">
        <f>IFERROR(IF(COUNTIF(Consolidado!$E$3:$E$358,'Range de Logins'!$D1147)&gt;0,"Em uso","Livre"),"-")</f>
        <v>Livre</v>
      </c>
      <c r="G1147" s="211" t="s">
        <v>1265</v>
      </c>
      <c r="H1147" s="211" t="str">
        <f>IFERROR(VLOOKUP(D1147,Consolidado!$E$3:$K$311,7,0),"")</f>
        <v/>
      </c>
      <c r="I1147" s="257"/>
    </row>
    <row r="1148" spans="4:9">
      <c r="D1148" s="267">
        <v>17025</v>
      </c>
      <c r="E1148" s="211" t="s">
        <v>26</v>
      </c>
      <c r="F1148" s="263" t="str">
        <f>IFERROR(IF(COUNTIF(Consolidado!$E$3:$E$358,'Range de Logins'!$D1148)&gt;0,"Em uso","Livre"),"-")</f>
        <v>Livre</v>
      </c>
      <c r="G1148" s="211" t="s">
        <v>1265</v>
      </c>
      <c r="H1148" s="211" t="str">
        <f>IFERROR(VLOOKUP(D1148,Consolidado!$E$3:$K$311,7,0),"")</f>
        <v/>
      </c>
      <c r="I1148" s="257"/>
    </row>
    <row r="1149" spans="4:9">
      <c r="D1149" s="267">
        <v>17027</v>
      </c>
      <c r="E1149" s="211" t="s">
        <v>26</v>
      </c>
      <c r="F1149" s="263" t="str">
        <f>IFERROR(IF(COUNTIF(Consolidado!$E$3:$E$358,'Range de Logins'!$D1149)&gt;0,"Em uso","Livre"),"-")</f>
        <v>Livre</v>
      </c>
      <c r="G1149" s="211" t="s">
        <v>1265</v>
      </c>
      <c r="H1149" s="211" t="str">
        <f>IFERROR(VLOOKUP(D1149,Consolidado!$E$3:$K$311,7,0),"")</f>
        <v/>
      </c>
      <c r="I1149" s="257"/>
    </row>
    <row r="1150" spans="4:9">
      <c r="D1150" s="267">
        <v>17028</v>
      </c>
      <c r="E1150" s="211" t="s">
        <v>26</v>
      </c>
      <c r="F1150" s="263" t="str">
        <f>IFERROR(IF(COUNTIF(Consolidado!$E$3:$E$358,'Range de Logins'!$D1150)&gt;0,"Em uso","Livre"),"-")</f>
        <v>Livre</v>
      </c>
      <c r="G1150" s="211" t="s">
        <v>1265</v>
      </c>
      <c r="H1150" s="211" t="str">
        <f>IFERROR(VLOOKUP(D1150,Consolidado!$E$3:$K$311,7,0),"")</f>
        <v/>
      </c>
      <c r="I1150" s="257"/>
    </row>
    <row r="1151" spans="4:9">
      <c r="D1151" s="267">
        <v>17029</v>
      </c>
      <c r="E1151" s="211" t="s">
        <v>26</v>
      </c>
      <c r="F1151" s="263" t="str">
        <f>IFERROR(IF(COUNTIF(Consolidado!$E$3:$E$358,'Range de Logins'!$D1151)&gt;0,"Em uso","Livre"),"-")</f>
        <v>Em uso</v>
      </c>
      <c r="G1151" s="211" t="s">
        <v>1265</v>
      </c>
      <c r="H1151" s="211" t="str">
        <f>IFERROR(VLOOKUP(D1151,Consolidado!$E$3:$K$311,7,0),"")</f>
        <v>IPG</v>
      </c>
      <c r="I1151" s="257"/>
    </row>
    <row r="1152" spans="4:9">
      <c r="D1152" s="267">
        <v>17030</v>
      </c>
      <c r="E1152" s="211" t="s">
        <v>26</v>
      </c>
      <c r="F1152" s="263" t="str">
        <f>IFERROR(IF(COUNTIF(Consolidado!$E$3:$E$358,'Range de Logins'!$D1152)&gt;0,"Em uso","Livre"),"-")</f>
        <v>Em uso</v>
      </c>
      <c r="G1152" s="211" t="s">
        <v>1265</v>
      </c>
      <c r="H1152" s="211" t="str">
        <f>IFERROR(VLOOKUP(D1152,Consolidado!$E$3:$K$311,7,0),"")</f>
        <v>IPG</v>
      </c>
      <c r="I1152" s="257"/>
    </row>
    <row r="1153" spans="4:9">
      <c r="D1153" s="267">
        <v>17031</v>
      </c>
      <c r="E1153" s="211" t="s">
        <v>26</v>
      </c>
      <c r="F1153" s="263" t="str">
        <f>IFERROR(IF(COUNTIF(Consolidado!$E$3:$E$358,'Range de Logins'!$D1153)&gt;0,"Em uso","Livre"),"-")</f>
        <v>Livre</v>
      </c>
      <c r="G1153" s="211" t="s">
        <v>1265</v>
      </c>
      <c r="H1153" s="211" t="str">
        <f>IFERROR(VLOOKUP(D1153,Consolidado!$E$3:$K$311,7,0),"")</f>
        <v/>
      </c>
      <c r="I1153" s="257"/>
    </row>
    <row r="1154" spans="4:9">
      <c r="D1154" s="267">
        <v>17032</v>
      </c>
      <c r="E1154" s="211" t="s">
        <v>26</v>
      </c>
      <c r="F1154" s="263" t="str">
        <f>IFERROR(IF(COUNTIF(Consolidado!$E$3:$E$358,'Range de Logins'!$D1154)&gt;0,"Em uso","Livre"),"-")</f>
        <v>Livre</v>
      </c>
      <c r="G1154" s="211" t="s">
        <v>1265</v>
      </c>
      <c r="H1154" s="211" t="str">
        <f>IFERROR(VLOOKUP(D1154,Consolidado!$E$3:$K$311,7,0),"")</f>
        <v/>
      </c>
      <c r="I1154" s="257"/>
    </row>
    <row r="1155" spans="4:9">
      <c r="D1155" s="267">
        <v>17035</v>
      </c>
      <c r="E1155" s="211" t="s">
        <v>26</v>
      </c>
      <c r="F1155" s="263" t="str">
        <f>IFERROR(IF(COUNTIF(Consolidado!$E$3:$E$358,'Range de Logins'!$D1155)&gt;0,"Em uso","Livre"),"-")</f>
        <v>Livre</v>
      </c>
      <c r="G1155" s="211" t="s">
        <v>1265</v>
      </c>
      <c r="H1155" s="211" t="str">
        <f>IFERROR(VLOOKUP(D1155,Consolidado!$E$3:$K$311,7,0),"")</f>
        <v/>
      </c>
      <c r="I1155" s="257"/>
    </row>
    <row r="1156" spans="4:9">
      <c r="D1156" s="267">
        <v>17037</v>
      </c>
      <c r="E1156" s="211" t="s">
        <v>26</v>
      </c>
      <c r="F1156" s="263" t="str">
        <f>IFERROR(IF(COUNTIF(Consolidado!$E$3:$E$358,'Range de Logins'!$D1156)&gt;0,"Em uso","Livre"),"-")</f>
        <v>Em uso</v>
      </c>
      <c r="G1156" s="211" t="s">
        <v>1265</v>
      </c>
      <c r="H1156" s="211" t="str">
        <f>IFERROR(VLOOKUP(D1156,Consolidado!$E$3:$K$311,7,0),"")</f>
        <v>IPG</v>
      </c>
      <c r="I1156" s="257"/>
    </row>
    <row r="1157" spans="4:9">
      <c r="D1157" s="267">
        <v>17041</v>
      </c>
      <c r="E1157" s="211" t="s">
        <v>26</v>
      </c>
      <c r="F1157" s="263" t="str">
        <f>IFERROR(IF(COUNTIF(Consolidado!$E$3:$E$358,'Range de Logins'!$D1157)&gt;0,"Em uso","Livre"),"-")</f>
        <v>Livre</v>
      </c>
      <c r="G1157" s="211" t="s">
        <v>1265</v>
      </c>
      <c r="H1157" s="211" t="str">
        <f>IFERROR(VLOOKUP(D1157,Consolidado!$E$3:$K$311,7,0),"")</f>
        <v/>
      </c>
      <c r="I1157" s="257"/>
    </row>
    <row r="1158" spans="4:9">
      <c r="D1158" s="267">
        <v>17042</v>
      </c>
      <c r="E1158" s="211" t="s">
        <v>26</v>
      </c>
      <c r="F1158" s="263" t="str">
        <f>IFERROR(IF(COUNTIF(Consolidado!$E$3:$E$358,'Range de Logins'!$D1158)&gt;0,"Em uso","Livre"),"-")</f>
        <v>Livre</v>
      </c>
      <c r="G1158" s="211" t="s">
        <v>1265</v>
      </c>
      <c r="H1158" s="211" t="str">
        <f>IFERROR(VLOOKUP(D1158,Consolidado!$E$3:$K$311,7,0),"")</f>
        <v/>
      </c>
      <c r="I1158" s="257"/>
    </row>
    <row r="1159" spans="4:9">
      <c r="D1159" s="267">
        <v>17047</v>
      </c>
      <c r="E1159" s="211" t="s">
        <v>26</v>
      </c>
      <c r="F1159" s="263" t="str">
        <f>IFERROR(IF(COUNTIF(Consolidado!$E$3:$E$358,'Range de Logins'!$D1159)&gt;0,"Em uso","Livre"),"-")</f>
        <v>Em uso</v>
      </c>
      <c r="G1159" s="211" t="s">
        <v>1265</v>
      </c>
      <c r="H1159" s="211" t="str">
        <f>IFERROR(VLOOKUP(D1159,Consolidado!$E$3:$K$311,7,0),"")</f>
        <v>IPG</v>
      </c>
      <c r="I1159" s="257"/>
    </row>
    <row r="1160" spans="4:9">
      <c r="D1160" s="267">
        <v>17048</v>
      </c>
      <c r="E1160" s="211" t="s">
        <v>26</v>
      </c>
      <c r="F1160" s="263" t="str">
        <f>IFERROR(IF(COUNTIF(Consolidado!$E$3:$E$358,'Range de Logins'!$D1160)&gt;0,"Em uso","Livre"),"-")</f>
        <v>Em uso</v>
      </c>
      <c r="G1160" s="211" t="s">
        <v>1265</v>
      </c>
      <c r="H1160" s="211" t="str">
        <f>IFERROR(VLOOKUP(D1160,Consolidado!$E$3:$K$311,7,0),"")</f>
        <v>PSG</v>
      </c>
      <c r="I1160" s="257"/>
    </row>
    <row r="1161" spans="4:9">
      <c r="D1161" s="267">
        <v>17049</v>
      </c>
      <c r="E1161" s="211" t="s">
        <v>26</v>
      </c>
      <c r="F1161" s="263" t="str">
        <f>IFERROR(IF(COUNTIF(Consolidado!$E$3:$E$358,'Range de Logins'!$D1161)&gt;0,"Em uso","Livre"),"-")</f>
        <v>Livre</v>
      </c>
      <c r="G1161" s="211" t="s">
        <v>1265</v>
      </c>
      <c r="H1161" s="211" t="str">
        <f>IFERROR(VLOOKUP(D1161,Consolidado!$E$3:$K$311,7,0),"")</f>
        <v/>
      </c>
      <c r="I1161" s="257"/>
    </row>
    <row r="1162" spans="4:9">
      <c r="D1162" s="267">
        <v>17051</v>
      </c>
      <c r="E1162" s="211" t="s">
        <v>26</v>
      </c>
      <c r="F1162" s="263" t="str">
        <f>IFERROR(IF(COUNTIF(Consolidado!$E$3:$E$358,'Range de Logins'!$D1162)&gt;0,"Em uso","Livre"),"-")</f>
        <v>Livre</v>
      </c>
      <c r="G1162" s="211" t="s">
        <v>1265</v>
      </c>
      <c r="H1162" s="211" t="str">
        <f>IFERROR(VLOOKUP(D1162,Consolidado!$E$3:$K$311,7,0),"")</f>
        <v/>
      </c>
      <c r="I1162" s="257"/>
    </row>
    <row r="1163" spans="4:9">
      <c r="D1163" s="267">
        <v>17052</v>
      </c>
      <c r="E1163" s="211" t="s">
        <v>26</v>
      </c>
      <c r="F1163" s="263" t="str">
        <f>IFERROR(IF(COUNTIF(Consolidado!$E$3:$E$358,'Range de Logins'!$D1163)&gt;0,"Em uso","Livre"),"-")</f>
        <v>Livre</v>
      </c>
      <c r="G1163" s="211" t="s">
        <v>1265</v>
      </c>
      <c r="H1163" s="211" t="str">
        <f>IFERROR(VLOOKUP(D1163,Consolidado!$E$3:$K$311,7,0),"")</f>
        <v/>
      </c>
      <c r="I1163" s="257"/>
    </row>
    <row r="1164" spans="4:9">
      <c r="D1164" s="267">
        <v>17151</v>
      </c>
      <c r="E1164" s="211" t="s">
        <v>26</v>
      </c>
      <c r="F1164" s="263" t="str">
        <f>IFERROR(IF(COUNTIF(Consolidado!$E$3:$E$358,'Range de Logins'!$D1164)&gt;0,"Em uso","Livre"),"-")</f>
        <v>Livre</v>
      </c>
      <c r="G1164" s="211" t="s">
        <v>1265</v>
      </c>
      <c r="H1164" s="211" t="str">
        <f>IFERROR(VLOOKUP(D1164,Consolidado!$E$3:$K$311,7,0),"")</f>
        <v/>
      </c>
      <c r="I1164" s="257"/>
    </row>
    <row r="1165" spans="4:9">
      <c r="D1165" s="267">
        <v>17056</v>
      </c>
      <c r="E1165" s="211" t="s">
        <v>26</v>
      </c>
      <c r="F1165" s="263" t="str">
        <f>IFERROR(IF(COUNTIF(Consolidado!$E$3:$E$358,'Range de Logins'!$D1165)&gt;0,"Em uso","Livre"),"-")</f>
        <v>Livre</v>
      </c>
      <c r="G1165" s="211" t="s">
        <v>1265</v>
      </c>
      <c r="H1165" s="211" t="str">
        <f>IFERROR(VLOOKUP(D1165,Consolidado!$E$3:$K$311,7,0),"")</f>
        <v/>
      </c>
      <c r="I1165" s="257"/>
    </row>
    <row r="1166" spans="4:9">
      <c r="D1166" s="267">
        <v>17057</v>
      </c>
      <c r="E1166" s="211" t="s">
        <v>26</v>
      </c>
      <c r="F1166" s="263" t="str">
        <f>IFERROR(IF(COUNTIF(Consolidado!$E$3:$E$358,'Range de Logins'!$D1166)&gt;0,"Em uso","Livre"),"-")</f>
        <v>Em uso</v>
      </c>
      <c r="G1166" s="211" t="s">
        <v>1265</v>
      </c>
      <c r="H1166" s="211" t="str">
        <f>IFERROR(VLOOKUP(D1166,Consolidado!$E$3:$K$311,7,0),"")</f>
        <v>IPG</v>
      </c>
      <c r="I1166" s="257"/>
    </row>
    <row r="1167" spans="4:9">
      <c r="D1167" s="267">
        <v>17058</v>
      </c>
      <c r="E1167" s="211" t="s">
        <v>26</v>
      </c>
      <c r="F1167" s="263" t="str">
        <f>IFERROR(IF(COUNTIF(Consolidado!$E$3:$E$358,'Range de Logins'!$D1167)&gt;0,"Em uso","Livre"),"-")</f>
        <v>Livre</v>
      </c>
      <c r="G1167" s="211" t="s">
        <v>1265</v>
      </c>
      <c r="H1167" s="211" t="str">
        <f>IFERROR(VLOOKUP(D1167,Consolidado!$E$3:$K$311,7,0),"")</f>
        <v/>
      </c>
      <c r="I1167" s="257"/>
    </row>
    <row r="1168" spans="4:9">
      <c r="D1168" s="267">
        <v>17059</v>
      </c>
      <c r="E1168" s="211">
        <v>954456</v>
      </c>
      <c r="F1168" s="263" t="str">
        <f>IFERROR(IF(COUNTIF(Consolidado!$E$3:$E$358,'Range de Logins'!$D1168)&gt;0,"Em uso","Livre"),"-")</f>
        <v>Em uso</v>
      </c>
      <c r="G1168" s="211" t="s">
        <v>1065</v>
      </c>
      <c r="H1168" s="211" t="str">
        <f>IFERROR(VLOOKUP(D1168,Consolidado!$E$3:$K$311,7,0),"")</f>
        <v>ECR</v>
      </c>
      <c r="I1168" s="257"/>
    </row>
    <row r="1169" spans="4:9">
      <c r="D1169" s="267">
        <v>17060</v>
      </c>
      <c r="E1169" s="211" t="s">
        <v>26</v>
      </c>
      <c r="F1169" s="263" t="str">
        <f>IFERROR(IF(COUNTIF(Consolidado!$E$3:$E$358,'Range de Logins'!$D1169)&gt;0,"Em uso","Livre"),"-")</f>
        <v>Livre</v>
      </c>
      <c r="G1169" s="211" t="s">
        <v>1265</v>
      </c>
      <c r="H1169" s="211" t="str">
        <f>IFERROR(VLOOKUP(D1169,Consolidado!$E$3:$K$311,7,0),"")</f>
        <v/>
      </c>
      <c r="I1169" s="257"/>
    </row>
    <row r="1170" spans="4:9">
      <c r="D1170" s="267">
        <v>17063</v>
      </c>
      <c r="E1170" s="211" t="s">
        <v>26</v>
      </c>
      <c r="F1170" s="263" t="str">
        <f>IFERROR(IF(COUNTIF(Consolidado!$E$3:$E$358,'Range de Logins'!$D1170)&gt;0,"Em uso","Livre"),"-")</f>
        <v>Livre</v>
      </c>
      <c r="G1170" s="211" t="s">
        <v>1265</v>
      </c>
      <c r="H1170" s="211" t="str">
        <f>IFERROR(VLOOKUP(D1170,Consolidado!$E$3:$K$311,7,0),"")</f>
        <v/>
      </c>
      <c r="I1170" s="257"/>
    </row>
    <row r="1171" spans="4:9">
      <c r="D1171" s="267">
        <v>17064</v>
      </c>
      <c r="E1171" s="211" t="s">
        <v>26</v>
      </c>
      <c r="F1171" s="263" t="str">
        <f>IFERROR(IF(COUNTIF(Consolidado!$E$3:$E$358,'Range de Logins'!$D1171)&gt;0,"Em uso","Livre"),"-")</f>
        <v>Livre</v>
      </c>
      <c r="G1171" s="211" t="s">
        <v>1265</v>
      </c>
      <c r="H1171" s="211" t="str">
        <f>IFERROR(VLOOKUP(D1171,Consolidado!$E$3:$K$311,7,0),"")</f>
        <v/>
      </c>
      <c r="I1171" s="257"/>
    </row>
    <row r="1172" spans="4:9">
      <c r="D1172" s="267">
        <v>17065</v>
      </c>
      <c r="E1172" s="211" t="s">
        <v>26</v>
      </c>
      <c r="F1172" s="263" t="str">
        <f>IFERROR(IF(COUNTIF(Consolidado!$E$3:$E$358,'Range de Logins'!$D1172)&gt;0,"Em uso","Livre"),"-")</f>
        <v>Em uso</v>
      </c>
      <c r="G1172" s="211" t="s">
        <v>1265</v>
      </c>
      <c r="H1172" s="211" t="str">
        <f>IFERROR(VLOOKUP(D1172,Consolidado!$E$3:$K$311,7,0),"")</f>
        <v>PSG</v>
      </c>
      <c r="I1172" s="257"/>
    </row>
    <row r="1173" spans="4:9">
      <c r="D1173" s="267">
        <v>17066</v>
      </c>
      <c r="E1173" s="211" t="s">
        <v>26</v>
      </c>
      <c r="F1173" s="263" t="str">
        <f>IFERROR(IF(COUNTIF(Consolidado!$E$3:$E$358,'Range de Logins'!$D1173)&gt;0,"Em uso","Livre"),"-")</f>
        <v>Livre</v>
      </c>
      <c r="G1173" s="211" t="s">
        <v>1265</v>
      </c>
      <c r="H1173" s="211" t="str">
        <f>IFERROR(VLOOKUP(D1173,Consolidado!$E$3:$K$311,7,0),"")</f>
        <v/>
      </c>
      <c r="I1173" s="257"/>
    </row>
    <row r="1174" spans="4:9">
      <c r="D1174" s="267">
        <v>17067</v>
      </c>
      <c r="E1174" s="211" t="s">
        <v>26</v>
      </c>
      <c r="F1174" s="263" t="str">
        <f>IFERROR(IF(COUNTIF(Consolidado!$E$3:$E$358,'Range de Logins'!$D1174)&gt;0,"Em uso","Livre"),"-")</f>
        <v>Livre</v>
      </c>
      <c r="G1174" s="211" t="s">
        <v>1265</v>
      </c>
      <c r="H1174" s="211" t="str">
        <f>IFERROR(VLOOKUP(D1174,Consolidado!$E$3:$K$311,7,0),"")</f>
        <v/>
      </c>
      <c r="I1174" s="257"/>
    </row>
    <row r="1175" spans="4:9">
      <c r="D1175" s="267">
        <v>17152</v>
      </c>
      <c r="E1175" s="211" t="s">
        <v>26</v>
      </c>
      <c r="F1175" s="263" t="str">
        <f>IFERROR(IF(COUNTIF(Consolidado!$E$3:$E$358,'Range de Logins'!$D1175)&gt;0,"Em uso","Livre"),"-")</f>
        <v>Livre</v>
      </c>
      <c r="G1175" s="211" t="s">
        <v>1265</v>
      </c>
      <c r="H1175" s="211" t="str">
        <f>IFERROR(VLOOKUP(D1175,Consolidado!$E$3:$K$311,7,0),"")</f>
        <v/>
      </c>
      <c r="I1175" s="257"/>
    </row>
    <row r="1176" spans="4:9">
      <c r="D1176" s="267">
        <v>17154</v>
      </c>
      <c r="E1176" s="211">
        <v>691711</v>
      </c>
      <c r="F1176" s="263" t="str">
        <f>IFERROR(IF(COUNTIF(Consolidado!$E$3:$E$358,'Range de Logins'!$D1176)&gt;0,"Em uso","Livre"),"-")</f>
        <v>Livre</v>
      </c>
      <c r="G1176" s="211" t="s">
        <v>1065</v>
      </c>
      <c r="H1176" s="211" t="str">
        <f>IFERROR(VLOOKUP(D1176,Consolidado!$E$3:$K$311,7,0),"")</f>
        <v/>
      </c>
      <c r="I1176" s="257"/>
    </row>
    <row r="1177" spans="4:9">
      <c r="D1177" s="267">
        <v>17155</v>
      </c>
      <c r="E1177" s="211" t="s">
        <v>26</v>
      </c>
      <c r="F1177" s="263" t="str">
        <f>IFERROR(IF(COUNTIF(Consolidado!$E$3:$E$358,'Range de Logins'!$D1177)&gt;0,"Em uso","Livre"),"-")</f>
        <v>Livre</v>
      </c>
      <c r="G1177" s="211" t="s">
        <v>1265</v>
      </c>
      <c r="H1177" s="211" t="str">
        <f>IFERROR(VLOOKUP(D1177,Consolidado!$E$3:$K$311,7,0),"")</f>
        <v/>
      </c>
      <c r="I1177" s="257"/>
    </row>
    <row r="1178" spans="4:9">
      <c r="D1178" s="267">
        <v>17157</v>
      </c>
      <c r="E1178" s="211" t="s">
        <v>26</v>
      </c>
      <c r="F1178" s="263" t="str">
        <f>IFERROR(IF(COUNTIF(Consolidado!$E$3:$E$358,'Range de Logins'!$D1178)&gt;0,"Em uso","Livre"),"-")</f>
        <v>Livre</v>
      </c>
      <c r="G1178" s="211" t="s">
        <v>1265</v>
      </c>
      <c r="H1178" s="211" t="str">
        <f>IFERROR(VLOOKUP(D1178,Consolidado!$E$3:$K$311,7,0),"")</f>
        <v/>
      </c>
      <c r="I1178" s="257"/>
    </row>
    <row r="1179" spans="4:9">
      <c r="D1179" s="267">
        <v>17158</v>
      </c>
      <c r="E1179" s="211" t="s">
        <v>26</v>
      </c>
      <c r="F1179" s="263" t="str">
        <f>IFERROR(IF(COUNTIF(Consolidado!$E$3:$E$358,'Range de Logins'!$D1179)&gt;0,"Em uso","Livre"),"-")</f>
        <v>Em uso</v>
      </c>
      <c r="G1179" s="211" t="s">
        <v>1265</v>
      </c>
      <c r="H1179" s="211" t="str">
        <f>IFERROR(VLOOKUP(D1179,Consolidado!$E$3:$K$311,7,0),"")</f>
        <v>Qualidade</v>
      </c>
      <c r="I1179" s="257"/>
    </row>
    <row r="1180" spans="4:9">
      <c r="D1180" s="267">
        <v>17160</v>
      </c>
      <c r="E1180" s="211" t="s">
        <v>26</v>
      </c>
      <c r="F1180" s="263" t="str">
        <f>IFERROR(IF(COUNTIF(Consolidado!$E$3:$E$358,'Range de Logins'!$D1180)&gt;0,"Em uso","Livre"),"-")</f>
        <v>Livre</v>
      </c>
      <c r="G1180" s="211" t="s">
        <v>1265</v>
      </c>
      <c r="H1180" s="211" t="str">
        <f>IFERROR(VLOOKUP(D1180,Consolidado!$E$3:$K$311,7,0),"")</f>
        <v/>
      </c>
      <c r="I1180" s="257"/>
    </row>
    <row r="1181" spans="4:9">
      <c r="D1181" s="267">
        <v>17075</v>
      </c>
      <c r="E1181" s="211" t="s">
        <v>26</v>
      </c>
      <c r="F1181" s="263" t="str">
        <f>IFERROR(IF(COUNTIF(Consolidado!$E$3:$E$358,'Range de Logins'!$D1181)&gt;0,"Em uso","Livre"),"-")</f>
        <v>Livre</v>
      </c>
      <c r="G1181" s="211" t="s">
        <v>1265</v>
      </c>
      <c r="H1181" s="211" t="str">
        <f>IFERROR(VLOOKUP(D1181,Consolidado!$E$3:$K$311,7,0),"")</f>
        <v/>
      </c>
      <c r="I1181" s="257"/>
    </row>
    <row r="1182" spans="4:9">
      <c r="D1182" s="267">
        <v>17076</v>
      </c>
      <c r="E1182" s="211" t="s">
        <v>26</v>
      </c>
      <c r="F1182" s="263" t="str">
        <f>IFERROR(IF(COUNTIF(Consolidado!$E$3:$E$358,'Range de Logins'!$D1182)&gt;0,"Em uso","Livre"),"-")</f>
        <v>Livre</v>
      </c>
      <c r="G1182" s="211" t="s">
        <v>1265</v>
      </c>
      <c r="H1182" s="211" t="str">
        <f>IFERROR(VLOOKUP(D1182,Consolidado!$E$3:$K$311,7,0),"")</f>
        <v/>
      </c>
      <c r="I1182" s="257"/>
    </row>
    <row r="1183" spans="4:9">
      <c r="D1183" s="267">
        <v>17161</v>
      </c>
      <c r="E1183" s="211" t="s">
        <v>26</v>
      </c>
      <c r="F1183" s="263" t="str">
        <f>IFERROR(IF(COUNTIF(Consolidado!$E$3:$E$358,'Range de Logins'!$D1183)&gt;0,"Em uso","Livre"),"-")</f>
        <v>Livre</v>
      </c>
      <c r="G1183" s="211" t="s">
        <v>1265</v>
      </c>
      <c r="H1183" s="211" t="str">
        <f>IFERROR(VLOOKUP(D1183,Consolidado!$E$3:$K$311,7,0),"")</f>
        <v/>
      </c>
      <c r="I1183" s="257"/>
    </row>
    <row r="1184" spans="4:9">
      <c r="D1184" s="267">
        <v>17079</v>
      </c>
      <c r="E1184" s="211" t="s">
        <v>26</v>
      </c>
      <c r="F1184" s="263" t="str">
        <f>IFERROR(IF(COUNTIF(Consolidado!$E$3:$E$358,'Range de Logins'!$D1184)&gt;0,"Em uso","Livre"),"-")</f>
        <v>Livre</v>
      </c>
      <c r="G1184" s="211" t="s">
        <v>1265</v>
      </c>
      <c r="H1184" s="211" t="str">
        <f>IFERROR(VLOOKUP(D1184,Consolidado!$E$3:$K$311,7,0),"")</f>
        <v/>
      </c>
      <c r="I1184" s="257"/>
    </row>
    <row r="1185" spans="4:9">
      <c r="D1185" s="267">
        <v>17081</v>
      </c>
      <c r="E1185" s="211" t="s">
        <v>26</v>
      </c>
      <c r="F1185" s="263" t="str">
        <f>IFERROR(IF(COUNTIF(Consolidado!$E$3:$E$358,'Range de Logins'!$D1185)&gt;0,"Em uso","Livre"),"-")</f>
        <v>Livre</v>
      </c>
      <c r="G1185" s="211" t="s">
        <v>1265</v>
      </c>
      <c r="H1185" s="211" t="str">
        <f>IFERROR(VLOOKUP(D1185,Consolidado!$E$3:$K$311,7,0),"")</f>
        <v/>
      </c>
      <c r="I1185" s="257"/>
    </row>
    <row r="1186" spans="4:9">
      <c r="D1186" s="267">
        <v>17082</v>
      </c>
      <c r="E1186" s="211" t="s">
        <v>26</v>
      </c>
      <c r="F1186" s="263" t="str">
        <f>IFERROR(IF(COUNTIF(Consolidado!$E$3:$E$358,'Range de Logins'!$D1186)&gt;0,"Em uso","Livre"),"-")</f>
        <v>Em uso</v>
      </c>
      <c r="G1186" s="211" t="s">
        <v>1265</v>
      </c>
      <c r="H1186" s="211" t="str">
        <f>IFERROR(VLOOKUP(D1186,Consolidado!$E$3:$K$311,7,0),"")</f>
        <v>PSG</v>
      </c>
      <c r="I1186" s="257"/>
    </row>
    <row r="1187" spans="4:9">
      <c r="D1187" s="267">
        <v>17163</v>
      </c>
      <c r="E1187" s="211" t="s">
        <v>26</v>
      </c>
      <c r="F1187" s="263" t="str">
        <f>IFERROR(IF(COUNTIF(Consolidado!$E$3:$E$358,'Range de Logins'!$D1187)&gt;0,"Em uso","Livre"),"-")</f>
        <v>Livre</v>
      </c>
      <c r="G1187" s="211" t="s">
        <v>1265</v>
      </c>
      <c r="H1187" s="211" t="str">
        <f>IFERROR(VLOOKUP(D1187,Consolidado!$E$3:$K$311,7,0),"")</f>
        <v/>
      </c>
      <c r="I1187" s="257"/>
    </row>
    <row r="1188" spans="4:9">
      <c r="D1188" s="267">
        <v>17084</v>
      </c>
      <c r="E1188" s="211" t="s">
        <v>26</v>
      </c>
      <c r="F1188" s="263" t="str">
        <f>IFERROR(IF(COUNTIF(Consolidado!$E$3:$E$358,'Range de Logins'!$D1188)&gt;0,"Em uso","Livre"),"-")</f>
        <v>Livre</v>
      </c>
      <c r="G1188" s="211" t="s">
        <v>1265</v>
      </c>
      <c r="H1188" s="211" t="str">
        <f>IFERROR(VLOOKUP(D1188,Consolidado!$E$3:$K$311,7,0),"")</f>
        <v/>
      </c>
      <c r="I1188" s="257"/>
    </row>
    <row r="1189" spans="4:9">
      <c r="D1189" s="267">
        <v>17085</v>
      </c>
      <c r="E1189" s="211" t="s">
        <v>26</v>
      </c>
      <c r="F1189" s="263" t="str">
        <f>IFERROR(IF(COUNTIF(Consolidado!$E$3:$E$358,'Range de Logins'!$D1189)&gt;0,"Em uso","Livre"),"-")</f>
        <v>Em uso</v>
      </c>
      <c r="G1189" s="211" t="s">
        <v>1265</v>
      </c>
      <c r="H1189" s="211" t="str">
        <f>IFERROR(VLOOKUP(D1189,Consolidado!$E$3:$K$311,7,0),"")</f>
        <v>IPG</v>
      </c>
      <c r="I1189" s="257"/>
    </row>
    <row r="1190" spans="4:9">
      <c r="D1190" s="267">
        <v>17086</v>
      </c>
      <c r="E1190" s="211" t="s">
        <v>26</v>
      </c>
      <c r="F1190" s="263" t="str">
        <f>IFERROR(IF(COUNTIF(Consolidado!$E$3:$E$358,'Range de Logins'!$D1190)&gt;0,"Em uso","Livre"),"-")</f>
        <v>Livre</v>
      </c>
      <c r="G1190" s="211" t="s">
        <v>1265</v>
      </c>
      <c r="H1190" s="211" t="str">
        <f>IFERROR(VLOOKUP(D1190,Consolidado!$E$3:$K$311,7,0),"")</f>
        <v/>
      </c>
      <c r="I1190" s="257"/>
    </row>
    <row r="1191" spans="4:9">
      <c r="D1191" s="267">
        <v>17087</v>
      </c>
      <c r="E1191" s="211" t="s">
        <v>26</v>
      </c>
      <c r="F1191" s="263" t="str">
        <f>IFERROR(IF(COUNTIF(Consolidado!$E$3:$E$358,'Range de Logins'!$D1191)&gt;0,"Em uso","Livre"),"-")</f>
        <v>Em uso</v>
      </c>
      <c r="G1191" s="211" t="s">
        <v>1265</v>
      </c>
      <c r="H1191" s="211" t="str">
        <f>IFERROR(VLOOKUP(D1191,Consolidado!$E$3:$K$311,7,0),"")</f>
        <v>PSG</v>
      </c>
      <c r="I1191" s="257"/>
    </row>
    <row r="1192" spans="4:9">
      <c r="D1192" s="267">
        <v>17164</v>
      </c>
      <c r="E1192" s="211" t="s">
        <v>26</v>
      </c>
      <c r="F1192" s="263" t="str">
        <f>IFERROR(IF(COUNTIF(Consolidado!$E$3:$E$358,'Range de Logins'!$D1192)&gt;0,"Em uso","Livre"),"-")</f>
        <v>Livre</v>
      </c>
      <c r="G1192" s="211" t="s">
        <v>1265</v>
      </c>
      <c r="H1192" s="211" t="str">
        <f>IFERROR(VLOOKUP(D1192,Consolidado!$E$3:$K$311,7,0),"")</f>
        <v/>
      </c>
      <c r="I1192" s="257"/>
    </row>
    <row r="1193" spans="4:9">
      <c r="D1193" s="267">
        <v>17089</v>
      </c>
      <c r="E1193" s="211" t="s">
        <v>26</v>
      </c>
      <c r="F1193" s="263" t="str">
        <f>IFERROR(IF(COUNTIF(Consolidado!$E$3:$E$358,'Range de Logins'!$D1193)&gt;0,"Em uso","Livre"),"-")</f>
        <v>Livre</v>
      </c>
      <c r="G1193" s="211" t="s">
        <v>1265</v>
      </c>
      <c r="H1193" s="211" t="str">
        <f>IFERROR(VLOOKUP(D1193,Consolidado!$E$3:$K$311,7,0),"")</f>
        <v/>
      </c>
      <c r="I1193" s="257"/>
    </row>
    <row r="1194" spans="4:9">
      <c r="D1194" s="267">
        <v>17090</v>
      </c>
      <c r="E1194" s="211" t="s">
        <v>26</v>
      </c>
      <c r="F1194" s="263" t="str">
        <f>IFERROR(IF(COUNTIF(Consolidado!$E$3:$E$358,'Range de Logins'!$D1194)&gt;0,"Em uso","Livre"),"-")</f>
        <v>Livre</v>
      </c>
      <c r="G1194" s="211" t="s">
        <v>1265</v>
      </c>
      <c r="H1194" s="211" t="str">
        <f>IFERROR(VLOOKUP(D1194,Consolidado!$E$3:$K$311,7,0),"")</f>
        <v/>
      </c>
      <c r="I1194" s="257"/>
    </row>
    <row r="1195" spans="4:9">
      <c r="D1195" s="267">
        <v>17092</v>
      </c>
      <c r="E1195" s="211" t="s">
        <v>26</v>
      </c>
      <c r="F1195" s="263" t="str">
        <f>IFERROR(IF(COUNTIF(Consolidado!$E$3:$E$358,'Range de Logins'!$D1195)&gt;0,"Em uso","Livre"),"-")</f>
        <v>Livre</v>
      </c>
      <c r="G1195" s="211" t="s">
        <v>1265</v>
      </c>
      <c r="H1195" s="211" t="str">
        <f>IFERROR(VLOOKUP(D1195,Consolidado!$E$3:$K$311,7,0),"")</f>
        <v/>
      </c>
      <c r="I1195" s="257"/>
    </row>
    <row r="1196" spans="4:9">
      <c r="D1196" s="267">
        <v>17093</v>
      </c>
      <c r="E1196" s="211" t="s">
        <v>26</v>
      </c>
      <c r="F1196" s="263" t="str">
        <f>IFERROR(IF(COUNTIF(Consolidado!$E$3:$E$358,'Range de Logins'!$D1196)&gt;0,"Em uso","Livre"),"-")</f>
        <v>Em uso</v>
      </c>
      <c r="G1196" s="211" t="s">
        <v>1265</v>
      </c>
      <c r="H1196" s="211" t="str">
        <f>IFERROR(VLOOKUP(D1196,Consolidado!$E$3:$K$311,7,0),"")</f>
        <v>IPG</v>
      </c>
      <c r="I1196" s="257"/>
    </row>
    <row r="1197" spans="4:9">
      <c r="D1197" s="267">
        <v>17095</v>
      </c>
      <c r="E1197" s="211" t="s">
        <v>26</v>
      </c>
      <c r="F1197" s="263" t="str">
        <f>IFERROR(IF(COUNTIF(Consolidado!$E$3:$E$358,'Range de Logins'!$D1197)&gt;0,"Em uso","Livre"),"-")</f>
        <v>Em uso</v>
      </c>
      <c r="G1197" s="211" t="s">
        <v>1265</v>
      </c>
      <c r="H1197" s="211" t="str">
        <f>IFERROR(VLOOKUP(D1197,Consolidado!$E$3:$K$311,7,0),"")</f>
        <v>IPG</v>
      </c>
      <c r="I1197" s="257"/>
    </row>
    <row r="1198" spans="4:9">
      <c r="D1198" s="267">
        <v>17097</v>
      </c>
      <c r="E1198" s="211" t="s">
        <v>26</v>
      </c>
      <c r="F1198" s="263" t="str">
        <f>IFERROR(IF(COUNTIF(Consolidado!$E$3:$E$358,'Range de Logins'!$D1198)&gt;0,"Em uso","Livre"),"-")</f>
        <v>Em uso</v>
      </c>
      <c r="G1198" s="211" t="s">
        <v>1265</v>
      </c>
      <c r="H1198" s="211" t="str">
        <f>IFERROR(VLOOKUP(D1198,Consolidado!$E$3:$K$311,7,0),"")</f>
        <v>IPG</v>
      </c>
      <c r="I1198" s="257"/>
    </row>
    <row r="1199" spans="4:9">
      <c r="D1199" s="267">
        <v>17165</v>
      </c>
      <c r="E1199" s="211" t="s">
        <v>26</v>
      </c>
      <c r="F1199" s="263" t="str">
        <f>IFERROR(IF(COUNTIF(Consolidado!$E$3:$E$358,'Range de Logins'!$D1199)&gt;0,"Em uso","Livre"),"-")</f>
        <v>Livre</v>
      </c>
      <c r="G1199" s="211" t="s">
        <v>1265</v>
      </c>
      <c r="H1199" s="211" t="str">
        <f>IFERROR(VLOOKUP(D1199,Consolidado!$E$3:$K$311,7,0),"")</f>
        <v/>
      </c>
      <c r="I1199" s="257"/>
    </row>
    <row r="1200" spans="4:9">
      <c r="D1200" s="267">
        <v>17100</v>
      </c>
      <c r="E1200" s="211" t="s">
        <v>26</v>
      </c>
      <c r="F1200" s="263" t="str">
        <f>IFERROR(IF(COUNTIF(Consolidado!$E$3:$E$358,'Range de Logins'!$D1200)&gt;0,"Em uso","Livre"),"-")</f>
        <v>Livre</v>
      </c>
      <c r="G1200" s="211" t="s">
        <v>1265</v>
      </c>
      <c r="H1200" s="211" t="str">
        <f>IFERROR(VLOOKUP(D1200,Consolidado!$E$3:$K$311,7,0),"")</f>
        <v/>
      </c>
      <c r="I1200" s="257"/>
    </row>
    <row r="1201" spans="4:9">
      <c r="D1201" s="267">
        <v>17101</v>
      </c>
      <c r="E1201" s="211" t="s">
        <v>26</v>
      </c>
      <c r="F1201" s="263" t="str">
        <f>IFERROR(IF(COUNTIF(Consolidado!$E$3:$E$358,'Range de Logins'!$D1201)&gt;0,"Em uso","Livre"),"-")</f>
        <v>Em uso</v>
      </c>
      <c r="G1201" s="211" t="s">
        <v>1265</v>
      </c>
      <c r="H1201" s="211" t="str">
        <f>IFERROR(VLOOKUP(D1201,Consolidado!$E$3:$K$311,7,0),"")</f>
        <v>IPG</v>
      </c>
      <c r="I1201" s="257"/>
    </row>
    <row r="1202" spans="4:9">
      <c r="D1202" s="267">
        <v>17102</v>
      </c>
      <c r="E1202" s="211" t="s">
        <v>26</v>
      </c>
      <c r="F1202" s="263" t="str">
        <f>IFERROR(IF(COUNTIF(Consolidado!$E$3:$E$358,'Range de Logins'!$D1202)&gt;0,"Em uso","Livre"),"-")</f>
        <v>Em uso</v>
      </c>
      <c r="G1202" s="211" t="s">
        <v>1265</v>
      </c>
      <c r="H1202" s="211" t="str">
        <f>IFERROR(VLOOKUP(D1202,Consolidado!$E$3:$K$311,7,0),"")</f>
        <v>PSG</v>
      </c>
      <c r="I1202" s="257"/>
    </row>
    <row r="1203" spans="4:9">
      <c r="D1203" s="267">
        <v>17104</v>
      </c>
      <c r="E1203" s="211" t="s">
        <v>26</v>
      </c>
      <c r="F1203" s="263" t="str">
        <f>IFERROR(IF(COUNTIF(Consolidado!$E$3:$E$358,'Range de Logins'!$D1203)&gt;0,"Em uso","Livre"),"-")</f>
        <v>Em uso</v>
      </c>
      <c r="G1203" s="211" t="s">
        <v>1265</v>
      </c>
      <c r="H1203" s="211" t="str">
        <f>IFERROR(VLOOKUP(D1203,Consolidado!$E$3:$K$311,7,0),"")</f>
        <v>PSG</v>
      </c>
      <c r="I1203" s="257"/>
    </row>
    <row r="1204" spans="4:9">
      <c r="D1204" s="267">
        <v>17105</v>
      </c>
      <c r="E1204" s="211" t="s">
        <v>26</v>
      </c>
      <c r="F1204" s="263" t="str">
        <f>IFERROR(IF(COUNTIF(Consolidado!$E$3:$E$358,'Range de Logins'!$D1204)&gt;0,"Em uso","Livre"),"-")</f>
        <v>Em uso</v>
      </c>
      <c r="G1204" s="211" t="s">
        <v>1065</v>
      </c>
      <c r="H1204" s="211" t="str">
        <f>IFERROR(VLOOKUP(D1204,Consolidado!$E$3:$K$311,7,0),"")</f>
        <v>FUPOTECH</v>
      </c>
      <c r="I1204" s="257"/>
    </row>
    <row r="1205" spans="4:9">
      <c r="D1205" s="267">
        <v>17106</v>
      </c>
      <c r="E1205" s="211" t="s">
        <v>26</v>
      </c>
      <c r="F1205" s="263" t="str">
        <f>IFERROR(IF(COUNTIF(Consolidado!$E$3:$E$358,'Range de Logins'!$D1205)&gt;0,"Em uso","Livre"),"-")</f>
        <v>Livre</v>
      </c>
      <c r="G1205" s="211" t="s">
        <v>1265</v>
      </c>
      <c r="H1205" s="211" t="str">
        <f>IFERROR(VLOOKUP(D1205,Consolidado!$E$3:$K$311,7,0),"")</f>
        <v/>
      </c>
      <c r="I1205" s="257"/>
    </row>
    <row r="1206" spans="4:9">
      <c r="D1206" s="267">
        <v>17111</v>
      </c>
      <c r="E1206" s="211" t="s">
        <v>26</v>
      </c>
      <c r="F1206" s="263" t="str">
        <f>IFERROR(IF(COUNTIF(Consolidado!$E$3:$E$358,'Range de Logins'!$D1206)&gt;0,"Em uso","Livre"),"-")</f>
        <v>Livre</v>
      </c>
      <c r="G1206" s="211" t="s">
        <v>1265</v>
      </c>
      <c r="H1206" s="211" t="str">
        <f>IFERROR(VLOOKUP(D1206,Consolidado!$E$3:$K$311,7,0),"")</f>
        <v/>
      </c>
      <c r="I1206" s="257"/>
    </row>
    <row r="1207" spans="4:9">
      <c r="D1207" s="267">
        <v>17116</v>
      </c>
      <c r="E1207" s="211">
        <v>782254</v>
      </c>
      <c r="F1207" s="263" t="str">
        <f>IFERROR(IF(COUNTIF(Consolidado!$E$3:$E$358,'Range de Logins'!$D1207)&gt;0,"Em uso","Livre"),"-")</f>
        <v>Livre</v>
      </c>
      <c r="G1207" s="211" t="s">
        <v>1065</v>
      </c>
      <c r="H1207" s="211" t="str">
        <f>IFERROR(VLOOKUP(D1207,Consolidado!$E$3:$K$311,7,0),"")</f>
        <v/>
      </c>
      <c r="I1207" s="257"/>
    </row>
    <row r="1208" spans="4:9">
      <c r="D1208" s="267">
        <v>17168</v>
      </c>
      <c r="E1208" s="211">
        <v>450917</v>
      </c>
      <c r="F1208" s="263" t="str">
        <f>IFERROR(IF(COUNTIF(Consolidado!$E$3:$E$358,'Range de Logins'!$D1208)&gt;0,"Em uso","Livre"),"-")</f>
        <v>Livre</v>
      </c>
      <c r="G1208" s="211" t="s">
        <v>1265</v>
      </c>
      <c r="H1208" s="211" t="str">
        <f>IFERROR(VLOOKUP(D1208,Consolidado!$E$3:$K$311,7,0),"")</f>
        <v/>
      </c>
      <c r="I1208" s="257"/>
    </row>
    <row r="1209" spans="4:9">
      <c r="D1209" s="267">
        <v>17119</v>
      </c>
      <c r="E1209" s="211" t="s">
        <v>26</v>
      </c>
      <c r="F1209" s="263" t="str">
        <f>IFERROR(IF(COUNTIF(Consolidado!$E$3:$E$358,'Range de Logins'!$D1209)&gt;0,"Em uso","Livre"),"-")</f>
        <v>Livre</v>
      </c>
      <c r="G1209" s="211" t="s">
        <v>1265</v>
      </c>
      <c r="H1209" s="211" t="str">
        <f>IFERROR(VLOOKUP(D1209,Consolidado!$E$3:$K$311,7,0),"")</f>
        <v/>
      </c>
      <c r="I1209" s="257"/>
    </row>
    <row r="1210" spans="4:9">
      <c r="D1210" s="267">
        <v>17120</v>
      </c>
      <c r="E1210" s="211" t="s">
        <v>26</v>
      </c>
      <c r="F1210" s="263" t="str">
        <f>IFERROR(IF(COUNTIF(Consolidado!$E$3:$E$358,'Range de Logins'!$D1210)&gt;0,"Em uso","Livre"),"-")</f>
        <v>Em uso</v>
      </c>
      <c r="G1210" s="211" t="s">
        <v>1265</v>
      </c>
      <c r="H1210" s="211" t="str">
        <f>IFERROR(VLOOKUP(D1210,Consolidado!$E$3:$K$311,7,0),"")</f>
        <v>IPG</v>
      </c>
      <c r="I1210" s="257"/>
    </row>
    <row r="1211" spans="4:9">
      <c r="D1211" s="267">
        <v>17121</v>
      </c>
      <c r="E1211" s="211" t="s">
        <v>26</v>
      </c>
      <c r="F1211" s="263" t="str">
        <f>IFERROR(IF(COUNTIF(Consolidado!$E$3:$E$358,'Range de Logins'!$D1211)&gt;0,"Em uso","Livre"),"-")</f>
        <v>Livre</v>
      </c>
      <c r="G1211" s="211" t="s">
        <v>1265</v>
      </c>
      <c r="H1211" s="211" t="str">
        <f>IFERROR(VLOOKUP(D1211,Consolidado!$E$3:$K$311,7,0),"")</f>
        <v/>
      </c>
      <c r="I1211" s="257"/>
    </row>
    <row r="1212" spans="4:9">
      <c r="D1212" s="267">
        <v>17170</v>
      </c>
      <c r="E1212" s="211" t="s">
        <v>26</v>
      </c>
      <c r="F1212" s="263" t="str">
        <f>IFERROR(IF(COUNTIF(Consolidado!$E$3:$E$358,'Range de Logins'!$D1212)&gt;0,"Em uso","Livre"),"-")</f>
        <v>Livre</v>
      </c>
      <c r="G1212" s="211" t="s">
        <v>1265</v>
      </c>
      <c r="H1212" s="211" t="str">
        <f>IFERROR(VLOOKUP(D1212,Consolidado!$E$3:$K$311,7,0),"")</f>
        <v/>
      </c>
      <c r="I1212" s="257"/>
    </row>
    <row r="1213" spans="4:9">
      <c r="D1213" s="267">
        <v>17171</v>
      </c>
      <c r="E1213" s="211" t="s">
        <v>26</v>
      </c>
      <c r="F1213" s="263" t="str">
        <f>IFERROR(IF(COUNTIF(Consolidado!$E$3:$E$358,'Range de Logins'!$D1213)&gt;0,"Em uso","Livre"),"-")</f>
        <v>Livre</v>
      </c>
      <c r="G1213" s="211" t="s">
        <v>1265</v>
      </c>
      <c r="H1213" s="211" t="str">
        <f>IFERROR(VLOOKUP(D1213,Consolidado!$E$3:$K$311,7,0),"")</f>
        <v/>
      </c>
      <c r="I1213" s="257"/>
    </row>
    <row r="1214" spans="4:9">
      <c r="D1214" s="267">
        <v>17173</v>
      </c>
      <c r="E1214" s="211" t="s">
        <v>26</v>
      </c>
      <c r="F1214" s="263" t="str">
        <f>IFERROR(IF(COUNTIF(Consolidado!$E$3:$E$358,'Range de Logins'!$D1214)&gt;0,"Em uso","Livre"),"-")</f>
        <v>Livre</v>
      </c>
      <c r="G1214" s="211" t="s">
        <v>1265</v>
      </c>
      <c r="H1214" s="211" t="str">
        <f>IFERROR(VLOOKUP(D1214,Consolidado!$E$3:$K$311,7,0),"")</f>
        <v/>
      </c>
      <c r="I1214" s="257"/>
    </row>
    <row r="1215" spans="4:9">
      <c r="D1215" s="267">
        <v>17174</v>
      </c>
      <c r="E1215" s="211" t="s">
        <v>26</v>
      </c>
      <c r="F1215" s="263" t="str">
        <f>IFERROR(IF(COUNTIF(Consolidado!$E$3:$E$358,'Range de Logins'!$D1215)&gt;0,"Em uso","Livre"),"-")</f>
        <v>Livre</v>
      </c>
      <c r="G1215" s="211" t="s">
        <v>1265</v>
      </c>
      <c r="H1215" s="211" t="str">
        <f>IFERROR(VLOOKUP(D1215,Consolidado!$E$3:$K$311,7,0),"")</f>
        <v/>
      </c>
      <c r="I1215" s="257"/>
    </row>
    <row r="1216" spans="4:9">
      <c r="D1216" s="267">
        <v>17178</v>
      </c>
      <c r="E1216" s="211" t="s">
        <v>26</v>
      </c>
      <c r="F1216" s="263" t="str">
        <f>IFERROR(IF(COUNTIF(Consolidado!$E$3:$E$358,'Range de Logins'!$D1216)&gt;0,"Em uso","Livre"),"-")</f>
        <v>Livre</v>
      </c>
      <c r="G1216" s="211" t="s">
        <v>1265</v>
      </c>
      <c r="H1216" s="211" t="str">
        <f>IFERROR(VLOOKUP(D1216,Consolidado!$E$3:$K$311,7,0),"")</f>
        <v/>
      </c>
      <c r="I1216" s="257"/>
    </row>
    <row r="1217" spans="4:9">
      <c r="D1217" s="267">
        <v>17179</v>
      </c>
      <c r="E1217" s="211" t="s">
        <v>26</v>
      </c>
      <c r="F1217" s="263" t="str">
        <f>IFERROR(IF(COUNTIF(Consolidado!$E$3:$E$358,'Range de Logins'!$D1217)&gt;0,"Em uso","Livre"),"-")</f>
        <v>Livre</v>
      </c>
      <c r="G1217" s="211" t="s">
        <v>1265</v>
      </c>
      <c r="H1217" s="211" t="str">
        <f>IFERROR(VLOOKUP(D1217,Consolidado!$E$3:$K$311,7,0),"")</f>
        <v/>
      </c>
      <c r="I1217" s="257"/>
    </row>
    <row r="1218" spans="4:9">
      <c r="D1218" s="267">
        <v>17134</v>
      </c>
      <c r="E1218" s="211" t="s">
        <v>26</v>
      </c>
      <c r="F1218" s="263" t="str">
        <f>IFERROR(IF(COUNTIF(Consolidado!$E$3:$E$358,'Range de Logins'!$D1218)&gt;0,"Em uso","Livre"),"-")</f>
        <v>Em uso</v>
      </c>
      <c r="G1218" s="211" t="s">
        <v>1065</v>
      </c>
      <c r="H1218" s="211" t="str">
        <f>IFERROR(VLOOKUP(D1218,Consolidado!$E$3:$K$311,7,0),"")</f>
        <v>PSG</v>
      </c>
      <c r="I1218" s="257"/>
    </row>
    <row r="1219" spans="4:9">
      <c r="D1219" s="267">
        <v>17136</v>
      </c>
      <c r="E1219" s="211" t="s">
        <v>26</v>
      </c>
      <c r="F1219" s="263" t="str">
        <f>IFERROR(IF(COUNTIF(Consolidado!$E$3:$E$358,'Range de Logins'!$D1219)&gt;0,"Em uso","Livre"),"-")</f>
        <v>Em uso</v>
      </c>
      <c r="G1219" s="211" t="s">
        <v>1265</v>
      </c>
      <c r="H1219" s="211" t="str">
        <f>IFERROR(VLOOKUP(D1219,Consolidado!$E$3:$K$311,7,0),"")</f>
        <v>IPG</v>
      </c>
      <c r="I1219" s="257"/>
    </row>
    <row r="1220" spans="4:9">
      <c r="D1220" s="267">
        <v>17137</v>
      </c>
      <c r="E1220" s="211" t="s">
        <v>26</v>
      </c>
      <c r="F1220" s="263" t="str">
        <f>IFERROR(IF(COUNTIF(Consolidado!$E$3:$E$358,'Range de Logins'!$D1220)&gt;0,"Em uso","Livre"),"-")</f>
        <v>Em uso</v>
      </c>
      <c r="G1220" s="211" t="s">
        <v>1265</v>
      </c>
      <c r="H1220" s="211" t="str">
        <f>IFERROR(VLOOKUP(D1220,Consolidado!$E$3:$K$311,7,0),"")</f>
        <v>PSG</v>
      </c>
      <c r="I1220" s="257"/>
    </row>
    <row r="1221" spans="4:9">
      <c r="D1221" s="267">
        <v>17181</v>
      </c>
      <c r="E1221" s="211" t="s">
        <v>26</v>
      </c>
      <c r="F1221" s="263" t="str">
        <f>IFERROR(IF(COUNTIF(Consolidado!$E$3:$E$358,'Range de Logins'!$D1221)&gt;0,"Em uso","Livre"),"-")</f>
        <v>Livre</v>
      </c>
      <c r="G1221" s="211" t="s">
        <v>1265</v>
      </c>
      <c r="H1221" s="211" t="str">
        <f>IFERROR(VLOOKUP(D1221,Consolidado!$E$3:$K$311,7,0),"")</f>
        <v/>
      </c>
      <c r="I1221" s="257"/>
    </row>
    <row r="1222" spans="4:9">
      <c r="D1222" s="267">
        <v>17182</v>
      </c>
      <c r="E1222" s="211" t="s">
        <v>26</v>
      </c>
      <c r="F1222" s="263" t="str">
        <f>IFERROR(IF(COUNTIF(Consolidado!$E$3:$E$358,'Range de Logins'!$D1222)&gt;0,"Em uso","Livre"),"-")</f>
        <v>Livre</v>
      </c>
      <c r="G1222" s="211" t="s">
        <v>1265</v>
      </c>
      <c r="H1222" s="211" t="str">
        <f>IFERROR(VLOOKUP(D1222,Consolidado!$E$3:$K$311,7,0),"")</f>
        <v/>
      </c>
      <c r="I1222" s="257"/>
    </row>
    <row r="1223" spans="4:9">
      <c r="D1223" s="267">
        <v>17183</v>
      </c>
      <c r="E1223" s="211" t="s">
        <v>26</v>
      </c>
      <c r="F1223" s="263" t="str">
        <f>IFERROR(IF(COUNTIF(Consolidado!$E$3:$E$358,'Range de Logins'!$D1223)&gt;0,"Em uso","Livre"),"-")</f>
        <v>Em uso</v>
      </c>
      <c r="G1223" s="211" t="s">
        <v>1265</v>
      </c>
      <c r="H1223" s="211" t="str">
        <f>IFERROR(VLOOKUP(D1223,Consolidado!$E$3:$K$311,7,0),"")</f>
        <v>IPG</v>
      </c>
      <c r="I1223" s="257"/>
    </row>
    <row r="1224" spans="4:9">
      <c r="D1224" s="267">
        <v>17141</v>
      </c>
      <c r="E1224" s="211" t="s">
        <v>26</v>
      </c>
      <c r="F1224" s="263" t="str">
        <f>IFERROR(IF(COUNTIF(Consolidado!$E$3:$E$358,'Range de Logins'!$D1224)&gt;0,"Em uso","Livre"),"-")</f>
        <v>Em uso</v>
      </c>
      <c r="G1224" s="211" t="s">
        <v>1265</v>
      </c>
      <c r="H1224" s="211" t="str">
        <f>IFERROR(VLOOKUP(D1224,Consolidado!$E$3:$K$311,7,0),"")</f>
        <v>PSG</v>
      </c>
      <c r="I1224" s="257"/>
    </row>
    <row r="1225" spans="4:9">
      <c r="D1225" s="267">
        <v>17142</v>
      </c>
      <c r="E1225" s="211" t="s">
        <v>26</v>
      </c>
      <c r="F1225" s="263" t="str">
        <f>IFERROR(IF(COUNTIF(Consolidado!$E$3:$E$358,'Range de Logins'!$D1225)&gt;0,"Em uso","Livre"),"-")</f>
        <v>Em uso</v>
      </c>
      <c r="G1225" s="211" t="s">
        <v>1265</v>
      </c>
      <c r="H1225" s="211" t="str">
        <f>IFERROR(VLOOKUP(D1225,Consolidado!$E$3:$K$311,7,0),"")</f>
        <v>IPG</v>
      </c>
      <c r="I1225" s="257"/>
    </row>
    <row r="1226" spans="4:9">
      <c r="D1226" s="267">
        <v>17143</v>
      </c>
      <c r="E1226" s="211" t="s">
        <v>26</v>
      </c>
      <c r="F1226" s="263" t="str">
        <f>IFERROR(IF(COUNTIF(Consolidado!$E$3:$E$358,'Range de Logins'!$D1226)&gt;0,"Em uso","Livre"),"-")</f>
        <v>Em uso</v>
      </c>
      <c r="G1226" s="211" t="s">
        <v>1265</v>
      </c>
      <c r="H1226" s="211" t="str">
        <f>IFERROR(VLOOKUP(D1226,Consolidado!$E$3:$K$311,7,0),"")</f>
        <v>PSG</v>
      </c>
      <c r="I1226" s="257"/>
    </row>
    <row r="1227" spans="4:9">
      <c r="D1227" s="267">
        <v>17144</v>
      </c>
      <c r="E1227" s="211" t="s">
        <v>26</v>
      </c>
      <c r="F1227" s="263" t="str">
        <f>IFERROR(IF(COUNTIF(Consolidado!$E$3:$E$358,'Range de Logins'!$D1227)&gt;0,"Em uso","Livre"),"-")</f>
        <v>Livre</v>
      </c>
      <c r="G1227" s="211" t="s">
        <v>1265</v>
      </c>
      <c r="H1227" s="211" t="str">
        <f>IFERROR(VLOOKUP(D1227,Consolidado!$E$3:$K$311,7,0),"")</f>
        <v/>
      </c>
      <c r="I1227" s="257"/>
    </row>
    <row r="1228" spans="4:9">
      <c r="D1228" s="267">
        <v>17146</v>
      </c>
      <c r="E1228" s="211">
        <v>557592</v>
      </c>
      <c r="F1228" s="263" t="str">
        <f>IFERROR(IF(COUNTIF(Consolidado!$E$3:$E$358,'Range de Logins'!$D1228)&gt;0,"Em uso","Livre"),"-")</f>
        <v>Livre</v>
      </c>
      <c r="G1228" s="211" t="s">
        <v>1065</v>
      </c>
      <c r="H1228" s="211" t="str">
        <f>IFERROR(VLOOKUP(D1228,Consolidado!$E$3:$K$311,7,0),"")</f>
        <v/>
      </c>
      <c r="I1228" s="257"/>
    </row>
    <row r="1229" spans="4:9">
      <c r="D1229" s="267">
        <v>17147</v>
      </c>
      <c r="E1229" s="211" t="s">
        <v>26</v>
      </c>
      <c r="F1229" s="263" t="str">
        <f>IFERROR(IF(COUNTIF(Consolidado!$E$3:$E$358,'Range de Logins'!$D1229)&gt;0,"Em uso","Livre"),"-")</f>
        <v>Livre</v>
      </c>
      <c r="G1229" s="211" t="s">
        <v>1265</v>
      </c>
      <c r="H1229" s="211" t="str">
        <f>IFERROR(VLOOKUP(D1229,Consolidado!$E$3:$K$311,7,0),"")</f>
        <v/>
      </c>
      <c r="I1229" s="257"/>
    </row>
    <row r="1230" spans="4:9">
      <c r="D1230" s="267">
        <v>17184</v>
      </c>
      <c r="E1230" s="211" t="s">
        <v>26</v>
      </c>
      <c r="F1230" s="263" t="str">
        <f>IFERROR(IF(COUNTIF(Consolidado!$E$3:$E$358,'Range de Logins'!$D1230)&gt;0,"Em uso","Livre"),"-")</f>
        <v>Em uso</v>
      </c>
      <c r="G1230" s="211" t="s">
        <v>1265</v>
      </c>
      <c r="H1230" s="211" t="str">
        <f>IFERROR(VLOOKUP(D1230,Consolidado!$E$3:$K$311,7,0),"")</f>
        <v>IPG</v>
      </c>
      <c r="I1230" s="257"/>
    </row>
    <row r="1231" spans="4:9">
      <c r="D1231" s="267">
        <v>17185</v>
      </c>
      <c r="E1231" s="211" t="s">
        <v>26</v>
      </c>
      <c r="F1231" s="263" t="str">
        <f>IFERROR(IF(COUNTIF(Consolidado!$E$3:$E$358,'Range de Logins'!$D1231)&gt;0,"Em uso","Livre"),"-")</f>
        <v>Livre</v>
      </c>
      <c r="G1231" s="211" t="s">
        <v>1265</v>
      </c>
      <c r="H1231" s="211" t="str">
        <f>IFERROR(VLOOKUP(D1231,Consolidado!$E$3:$K$311,7,0),"")</f>
        <v/>
      </c>
      <c r="I1231" s="257"/>
    </row>
    <row r="1232" spans="4:9">
      <c r="D1232" s="267">
        <v>17166</v>
      </c>
      <c r="E1232" s="211" t="s">
        <v>26</v>
      </c>
      <c r="F1232" s="263" t="str">
        <f>IFERROR(IF(COUNTIF(Consolidado!$E$3:$E$358,'Range de Logins'!$D1232)&gt;0,"Em uso","Livre"),"-")</f>
        <v>Livre</v>
      </c>
      <c r="G1232" s="211" t="s">
        <v>1265</v>
      </c>
      <c r="H1232" s="211" t="str">
        <f>IFERROR(VLOOKUP(D1232,Consolidado!$E$3:$K$311,7,0),"")</f>
        <v/>
      </c>
      <c r="I1232" s="257"/>
    </row>
    <row r="1233" spans="4:9">
      <c r="D1233" s="267">
        <v>17167</v>
      </c>
      <c r="E1233" s="211" t="s">
        <v>26</v>
      </c>
      <c r="F1233" s="263" t="str">
        <f>IFERROR(IF(COUNTIF(Consolidado!$E$3:$E$358,'Range de Logins'!$D1233)&gt;0,"Em uso","Livre"),"-")</f>
        <v>Em uso</v>
      </c>
      <c r="G1233" s="211" t="s">
        <v>1265</v>
      </c>
      <c r="H1233" s="211" t="str">
        <f>IFERROR(VLOOKUP(D1233,Consolidado!$E$3:$K$311,7,0),"")</f>
        <v>IPG</v>
      </c>
      <c r="I1233" s="257"/>
    </row>
    <row r="1234" spans="4:9">
      <c r="D1234" s="267">
        <v>17186</v>
      </c>
      <c r="E1234" s="211" t="s">
        <v>26</v>
      </c>
      <c r="F1234" s="263" t="str">
        <f>IFERROR(IF(COUNTIF(Consolidado!$E$3:$E$358,'Range de Logins'!$D1234)&gt;0,"Em uso","Livre"),"-")</f>
        <v>Em uso</v>
      </c>
      <c r="G1234" s="211" t="s">
        <v>1065</v>
      </c>
      <c r="H1234" s="211" t="str">
        <f>IFERROR(VLOOKUP(D1234,Consolidado!$E$3:$K$311,7,0),"")</f>
        <v>IPG</v>
      </c>
      <c r="I1234" s="257"/>
    </row>
    <row r="1235" spans="4:9">
      <c r="D1235" s="267">
        <v>17169</v>
      </c>
      <c r="E1235" s="211" t="s">
        <v>26</v>
      </c>
      <c r="F1235" s="263" t="str">
        <f>IFERROR(IF(COUNTIF(Consolidado!$E$3:$E$358,'Range de Logins'!$D1235)&gt;0,"Em uso","Livre"),"-")</f>
        <v>Em uso</v>
      </c>
      <c r="G1235" s="211" t="s">
        <v>1265</v>
      </c>
      <c r="H1235" s="211" t="str">
        <f>IFERROR(VLOOKUP(D1235,Consolidado!$E$3:$K$311,7,0),"")</f>
        <v>IPG</v>
      </c>
      <c r="I1235" s="257"/>
    </row>
    <row r="1236" spans="4:9">
      <c r="D1236" s="267">
        <v>17187</v>
      </c>
      <c r="E1236" s="211" t="s">
        <v>26</v>
      </c>
      <c r="F1236" s="263" t="str">
        <f>IFERROR(IF(COUNTIF(Consolidado!$E$3:$E$358,'Range de Logins'!$D1236)&gt;0,"Em uso","Livre"),"-")</f>
        <v>Livre</v>
      </c>
      <c r="G1236" s="211" t="s">
        <v>1265</v>
      </c>
      <c r="H1236" s="211" t="str">
        <f>IFERROR(VLOOKUP(D1236,Consolidado!$E$3:$K$311,7,0),"")</f>
        <v/>
      </c>
      <c r="I1236" s="257"/>
    </row>
    <row r="1237" spans="4:9">
      <c r="D1237" s="267">
        <v>17172</v>
      </c>
      <c r="E1237" s="211" t="s">
        <v>26</v>
      </c>
      <c r="F1237" s="263" t="str">
        <f>IFERROR(IF(COUNTIF(Consolidado!$E$3:$E$358,'Range de Logins'!$D1237)&gt;0,"Em uso","Livre"),"-")</f>
        <v>Em uso</v>
      </c>
      <c r="G1237" s="211" t="s">
        <v>1265</v>
      </c>
      <c r="H1237" s="211" t="str">
        <f>IFERROR(VLOOKUP(D1237,Consolidado!$E$3:$K$311,7,0),"")</f>
        <v>PSG</v>
      </c>
      <c r="I1237" s="257"/>
    </row>
    <row r="1238" spans="4:9">
      <c r="D1238" s="267">
        <v>17189</v>
      </c>
      <c r="E1238" s="211" t="s">
        <v>26</v>
      </c>
      <c r="F1238" s="263" t="str">
        <f>IFERROR(IF(COUNTIF(Consolidado!$E$3:$E$358,'Range de Logins'!$D1238)&gt;0,"Em uso","Livre"),"-")</f>
        <v>Em uso</v>
      </c>
      <c r="G1238" s="211" t="s">
        <v>1265</v>
      </c>
      <c r="H1238" s="211" t="str">
        <f>IFERROR(VLOOKUP(D1238,Consolidado!$E$3:$K$311,7,0),"")</f>
        <v>PSG</v>
      </c>
      <c r="I1238" s="257"/>
    </row>
    <row r="1239" spans="4:9">
      <c r="D1239" s="267">
        <v>17175</v>
      </c>
      <c r="E1239" s="211" t="s">
        <v>26</v>
      </c>
      <c r="F1239" s="263" t="str">
        <f>IFERROR(IF(COUNTIF(Consolidado!$E$3:$E$358,'Range de Logins'!$D1239)&gt;0,"Em uso","Livre"),"-")</f>
        <v>Em uso</v>
      </c>
      <c r="G1239" s="211" t="s">
        <v>1265</v>
      </c>
      <c r="H1239" s="211" t="str">
        <f>IFERROR(VLOOKUP(D1239,Consolidado!$E$3:$K$311,7,0),"")</f>
        <v>IPG</v>
      </c>
      <c r="I1239" s="257"/>
    </row>
    <row r="1240" spans="4:9">
      <c r="D1240" s="267">
        <v>17176</v>
      </c>
      <c r="E1240" s="211" t="s">
        <v>26</v>
      </c>
      <c r="F1240" s="263" t="str">
        <f>IFERROR(IF(COUNTIF(Consolidado!$E$3:$E$358,'Range de Logins'!$D1240)&gt;0,"Em uso","Livre"),"-")</f>
        <v>Livre</v>
      </c>
      <c r="G1240" s="211" t="s">
        <v>1265</v>
      </c>
      <c r="H1240" s="211" t="str">
        <f>IFERROR(VLOOKUP(D1240,Consolidado!$E$3:$K$311,7,0),"")</f>
        <v/>
      </c>
      <c r="I1240" s="257"/>
    </row>
    <row r="1241" spans="4:9">
      <c r="D1241" s="267">
        <v>17177</v>
      </c>
      <c r="E1241" s="211" t="s">
        <v>26</v>
      </c>
      <c r="F1241" s="263" t="str">
        <f>IFERROR(IF(COUNTIF(Consolidado!$E$3:$E$358,'Range de Logins'!$D1241)&gt;0,"Em uso","Livre"),"-")</f>
        <v>Em uso</v>
      </c>
      <c r="G1241" s="211" t="s">
        <v>1265</v>
      </c>
      <c r="H1241" s="211" t="str">
        <f>IFERROR(VLOOKUP(D1241,Consolidado!$E$3:$K$311,7,0),"")</f>
        <v>IPG</v>
      </c>
      <c r="I1241" s="257"/>
    </row>
    <row r="1242" spans="4:9">
      <c r="D1242" s="267">
        <v>17190</v>
      </c>
      <c r="E1242" s="211" t="s">
        <v>26</v>
      </c>
      <c r="F1242" s="263" t="str">
        <f>IFERROR(IF(COUNTIF(Consolidado!$E$3:$E$358,'Range de Logins'!$D1242)&gt;0,"Em uso","Livre"),"-")</f>
        <v>Em uso</v>
      </c>
      <c r="G1242" s="211" t="s">
        <v>1265</v>
      </c>
      <c r="H1242" s="211" t="str">
        <f>IFERROR(VLOOKUP(D1242,Consolidado!$E$3:$K$311,7,0),"")</f>
        <v>IPG</v>
      </c>
      <c r="I1242" s="257"/>
    </row>
    <row r="1243" spans="4:9">
      <c r="D1243" s="267">
        <v>17193</v>
      </c>
      <c r="E1243" s="211" t="s">
        <v>26</v>
      </c>
      <c r="F1243" s="263" t="str">
        <f>IFERROR(IF(COUNTIF(Consolidado!$E$3:$E$358,'Range de Logins'!$D1243)&gt;0,"Em uso","Livre"),"-")</f>
        <v>Em uso</v>
      </c>
      <c r="G1243" s="211" t="s">
        <v>1265</v>
      </c>
      <c r="H1243" s="211" t="str">
        <f>IFERROR(VLOOKUP(D1243,Consolidado!$E$3:$K$311,7,0),"")</f>
        <v>PSG</v>
      </c>
      <c r="I1243" s="257"/>
    </row>
    <row r="1244" spans="4:9">
      <c r="D1244" s="267">
        <v>17180</v>
      </c>
      <c r="E1244" s="211" t="s">
        <v>26</v>
      </c>
      <c r="F1244" s="263" t="str">
        <f>IFERROR(IF(COUNTIF(Consolidado!$E$3:$E$358,'Range de Logins'!$D1244)&gt;0,"Em uso","Livre"),"-")</f>
        <v>Livre</v>
      </c>
      <c r="G1244" s="211" t="s">
        <v>1265</v>
      </c>
      <c r="H1244" s="211" t="str">
        <f>IFERROR(VLOOKUP(D1244,Consolidado!$E$3:$K$311,7,0),"")</f>
        <v/>
      </c>
      <c r="I1244" s="257"/>
    </row>
    <row r="1245" spans="4:9">
      <c r="D1245" s="267">
        <v>17194</v>
      </c>
      <c r="E1245" s="211" t="s">
        <v>26</v>
      </c>
      <c r="F1245" s="263" t="str">
        <f>IFERROR(IF(COUNTIF(Consolidado!$E$3:$E$358,'Range de Logins'!$D1245)&gt;0,"Em uso","Livre"),"-")</f>
        <v>Livre</v>
      </c>
      <c r="G1245" s="211" t="s">
        <v>1265</v>
      </c>
      <c r="H1245" s="211" t="str">
        <f>IFERROR(VLOOKUP(D1245,Consolidado!$E$3:$K$311,7,0),"")</f>
        <v/>
      </c>
      <c r="I1245" s="257"/>
    </row>
    <row r="1246" spans="4:9">
      <c r="D1246" s="267">
        <v>17195</v>
      </c>
      <c r="E1246" s="211" t="s">
        <v>26</v>
      </c>
      <c r="F1246" s="263" t="str">
        <f>IFERROR(IF(COUNTIF(Consolidado!$E$3:$E$358,'Range de Logins'!$D1246)&gt;0,"Em uso","Livre"),"-")</f>
        <v>Livre</v>
      </c>
      <c r="G1246" s="211" t="s">
        <v>1265</v>
      </c>
      <c r="H1246" s="211" t="str">
        <f>IFERROR(VLOOKUP(D1246,Consolidado!$E$3:$K$311,7,0),"")</f>
        <v/>
      </c>
      <c r="I1246" s="257"/>
    </row>
    <row r="1247" spans="4:9">
      <c r="D1247" s="267">
        <v>17188</v>
      </c>
      <c r="E1247" s="211" t="s">
        <v>26</v>
      </c>
      <c r="F1247" s="263" t="str">
        <f>IFERROR(IF(COUNTIF(Consolidado!$E$3:$E$358,'Range de Logins'!$D1247)&gt;0,"Em uso","Livre"),"-")</f>
        <v>Livre</v>
      </c>
      <c r="G1247" s="211" t="s">
        <v>1265</v>
      </c>
      <c r="H1247" s="211" t="str">
        <f>IFERROR(VLOOKUP(D1247,Consolidado!$E$3:$K$311,7,0),"")</f>
        <v/>
      </c>
      <c r="I1247" s="257"/>
    </row>
    <row r="1248" spans="4:9">
      <c r="D1248" s="267">
        <v>17191</v>
      </c>
      <c r="E1248" s="211" t="s">
        <v>26</v>
      </c>
      <c r="F1248" s="263" t="str">
        <f>IFERROR(IF(COUNTIF(Consolidado!$E$3:$E$358,'Range de Logins'!$D1248)&gt;0,"Em uso","Livre"),"-")</f>
        <v>Livre</v>
      </c>
      <c r="G1248" s="211" t="s">
        <v>1265</v>
      </c>
      <c r="H1248" s="211" t="str">
        <f>IFERROR(VLOOKUP(D1248,Consolidado!$E$3:$K$311,7,0),"")</f>
        <v/>
      </c>
      <c r="I1248" s="257"/>
    </row>
    <row r="1249" spans="4:9">
      <c r="D1249" s="267">
        <v>17196</v>
      </c>
      <c r="E1249" s="211" t="s">
        <v>26</v>
      </c>
      <c r="F1249" s="263" t="str">
        <f>IFERROR(IF(COUNTIF(Consolidado!$E$3:$E$358,'Range de Logins'!$D1249)&gt;0,"Em uso","Livre"),"-")</f>
        <v>Em uso</v>
      </c>
      <c r="G1249" s="211" t="s">
        <v>1265</v>
      </c>
      <c r="H1249" s="211" t="str">
        <f>IFERROR(VLOOKUP(D1249,Consolidado!$E$3:$K$311,7,0),"")</f>
        <v>PSG</v>
      </c>
      <c r="I1249" s="257"/>
    </row>
    <row r="1250" spans="4:9">
      <c r="D1250" s="267">
        <v>17197</v>
      </c>
      <c r="E1250" s="211" t="s">
        <v>26</v>
      </c>
      <c r="F1250" s="263" t="str">
        <f>IFERROR(IF(COUNTIF(Consolidado!$E$3:$E$358,'Range de Logins'!$D1250)&gt;0,"Em uso","Livre"),"-")</f>
        <v>Livre</v>
      </c>
      <c r="G1250" s="211" t="s">
        <v>1265</v>
      </c>
      <c r="H1250" s="211" t="str">
        <f>IFERROR(VLOOKUP(D1250,Consolidado!$E$3:$K$311,7,0),"")</f>
        <v/>
      </c>
      <c r="I1250" s="257"/>
    </row>
    <row r="1251" spans="4:9">
      <c r="D1251" s="267">
        <v>17198</v>
      </c>
      <c r="E1251" s="211" t="s">
        <v>26</v>
      </c>
      <c r="F1251" s="263" t="str">
        <f>IFERROR(IF(COUNTIF(Consolidado!$E$3:$E$358,'Range de Logins'!$D1251)&gt;0,"Em uso","Livre"),"-")</f>
        <v>Em uso</v>
      </c>
      <c r="G1251" s="211" t="s">
        <v>1265</v>
      </c>
      <c r="H1251" s="211" t="str">
        <f>IFERROR(VLOOKUP(D1251,Consolidado!$E$3:$K$311,7,0),"")</f>
        <v>IPG</v>
      </c>
      <c r="I1251" s="257"/>
    </row>
    <row r="1252" spans="4:9" ht="15.75" thickBot="1">
      <c r="D1252" s="268">
        <v>17199</v>
      </c>
      <c r="E1252" s="269" t="s">
        <v>26</v>
      </c>
      <c r="F1252" s="270" t="str">
        <f>IFERROR(IF(COUNTIF(Consolidado!$E$3:$E$358,'Range de Logins'!$D1252)&gt;0,"Em uso","Livre"),"-")</f>
        <v>Livre</v>
      </c>
      <c r="G1252" s="269" t="s">
        <v>1265</v>
      </c>
      <c r="H1252" s="269" t="str">
        <f>IFERROR(VLOOKUP(D1252,Consolidado!$E$3:$K$311,7,0),"")</f>
        <v/>
      </c>
      <c r="I1252" s="262"/>
    </row>
  </sheetData>
  <sheetProtection password="DE72" sheet="1" objects="1" scenarios="1" formatCells="0" formatColumns="0" formatRows="0" insertColumns="0" insertRows="0" insertHyperlinks="0" deleteColumns="0" deleteRows="0" sort="0" autoFilter="0" pivotTables="0"/>
  <autoFilter ref="D6:I1252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Consolidado</vt:lpstr>
      <vt:lpstr>Production</vt:lpstr>
      <vt:lpstr>Leaders</vt:lpstr>
      <vt:lpstr>Staff</vt:lpstr>
      <vt:lpstr>Attrition</vt:lpstr>
      <vt:lpstr>HC</vt:lpstr>
      <vt:lpstr>Grupos CMS</vt:lpstr>
      <vt:lpstr>Skills</vt:lpstr>
      <vt:lpstr>Termed</vt:lpstr>
      <vt:lpstr>Parametros</vt:lpstr>
      <vt:lpstr>Range de Logins</vt:lpstr>
      <vt:lpstr>Cells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Roediger</dc:creator>
  <cp:lastModifiedBy>Pedro Carmo</cp:lastModifiedBy>
  <cp:lastPrinted>2016-01-11T21:59:59Z</cp:lastPrinted>
  <dcterms:created xsi:type="dcterms:W3CDTF">2009-07-16T20:31:36Z</dcterms:created>
  <dcterms:modified xsi:type="dcterms:W3CDTF">2016-12-16T18:16:19Z</dcterms:modified>
</cp:coreProperties>
</file>